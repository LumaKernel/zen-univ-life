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ozomu_igarashi\Desktop\環境省e-stat\e-stat用マクロ\e-stat用集約結果_20230317-105641\④処理状況\①全体集計\"/>
    </mc:Choice>
  </mc:AlternateContent>
  <bookViews>
    <workbookView xWindow="0" yWindow="0" windowWidth="28800" windowHeight="11640"/>
  </bookViews>
  <sheets>
    <sheet name="ごみ処理概要" sheetId="2" r:id="rId1"/>
    <sheet name="ごみ搬入量内訳" sheetId="3" r:id="rId2"/>
    <sheet name="施設区分別搬入量内訳" sheetId="4" r:id="rId3"/>
    <sheet name="ごみ処理量内訳" sheetId="5" r:id="rId4"/>
    <sheet name="資源化量内訳" sheetId="6" r:id="rId5"/>
    <sheet name="施設資源化量内訳" sheetId="7" r:id="rId6"/>
    <sheet name="災害廃棄物搬入量" sheetId="8" r:id="rId7"/>
    <sheet name="ごみ集計結果" sheetId="9" r:id="rId8"/>
    <sheet name="ごみフローシート" sheetId="10" r:id="rId9"/>
  </sheets>
  <definedNames>
    <definedName name="_xlnm._FilterDatabase" localSheetId="0" hidden="1">ごみ処理概要!$A$5:$AP$5</definedName>
    <definedName name="_xlnm._FilterDatabase" localSheetId="3" hidden="1">ごみ処理量内訳!$A$5:$AS$5</definedName>
    <definedName name="_xlnm._FilterDatabase" localSheetId="1" hidden="1">ごみ搬入量内訳!$A$6:$DM$6</definedName>
    <definedName name="_xlnm._FilterDatabase" localSheetId="6" hidden="1">災害廃棄物搬入量!$A$5:$CY$5</definedName>
    <definedName name="_xlnm._FilterDatabase" localSheetId="2" hidden="1">施設区分別搬入量内訳!$A$6:$EN$6</definedName>
    <definedName name="_xlnm._FilterDatabase" localSheetId="5" hidden="1">施設資源化量内訳!$A$5:$FO$5</definedName>
    <definedName name="_xlnm._FilterDatabase" localSheetId="4" hidden="1">資源化量内訳!$A$4:$CJ$4</definedName>
    <definedName name="_xlnm.Print_Area" localSheetId="8">ごみフローシート!$A$1:$P$40</definedName>
    <definedName name="_xlnm.Print_Area" localSheetId="7">ごみ集計結果!$A$1:$Q$51</definedName>
    <definedName name="_xlnm.Print_Area" localSheetId="0">ごみ処理概要!$2:$5</definedName>
    <definedName name="_xlnm.Print_Area" localSheetId="3">ごみ処理量内訳!$2:$5</definedName>
    <definedName name="_xlnm.Print_Area" localSheetId="1">ごみ搬入量内訳!$2:$6</definedName>
    <definedName name="_xlnm.Print_Area" localSheetId="6">災害廃棄物搬入量!$2:$5</definedName>
    <definedName name="_xlnm.Print_Area" localSheetId="2">施設区分別搬入量内訳!$2:$6</definedName>
    <definedName name="_xlnm.Print_Area" localSheetId="5">施設資源化量内訳!$2:$5</definedName>
    <definedName name="_xlnm.Print_Area" localSheetId="4">資源化量内訳!$2:$4</definedName>
    <definedName name="_xlnm.Print_Titles" localSheetId="0">ごみ処理概要!$A:$B,ごみ処理概要!$2:$5</definedName>
    <definedName name="_xlnm.Print_Titles" localSheetId="3">ごみ処理量内訳!$A:$B,ごみ処理量内訳!$2:$5</definedName>
    <definedName name="_xlnm.Print_Titles" localSheetId="1">ごみ搬入量内訳!$A:$B,ごみ搬入量内訳!$2:$6</definedName>
    <definedName name="_xlnm.Print_Titles" localSheetId="6">災害廃棄物搬入量!$A:$B,災害廃棄物搬入量!$2:$5</definedName>
    <definedName name="_xlnm.Print_Titles" localSheetId="2">施設区分別搬入量内訳!$A:$B,施設区分別搬入量内訳!$2:$6</definedName>
    <definedName name="_xlnm.Print_Titles" localSheetId="5">施設資源化量内訳!$A:$B,施設資源化量内訳!$2:$5</definedName>
    <definedName name="_xlnm.Print_Titles" localSheetId="4">資源化量内訳!$A:$B,資源化量内訳!$2:$4</definedName>
  </definedNames>
  <calcPr calcId="152511" iterate="1" iterateCount="1" iterateDelta="0.0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0" i="9" l="1"/>
  <c r="E15" i="9" s="1"/>
  <c r="Y2" i="9"/>
  <c r="Y16" i="9" s="1"/>
  <c r="V2" i="9"/>
  <c r="AB2" i="9" s="1"/>
  <c r="N2" i="9"/>
  <c r="O2" i="9" s="1"/>
  <c r="AA1795" i="9"/>
  <c r="AA1787" i="9"/>
  <c r="AA1779" i="9"/>
  <c r="AA1771" i="9"/>
  <c r="AA1763" i="9"/>
  <c r="AA1755" i="9"/>
  <c r="AA1747" i="9"/>
  <c r="AA1739" i="9"/>
  <c r="AA1731" i="9"/>
  <c r="AA1723" i="9"/>
  <c r="AA1715" i="9"/>
  <c r="AA1707" i="9"/>
  <c r="AA1699" i="9"/>
  <c r="AA1691" i="9"/>
  <c r="AA1683" i="9"/>
  <c r="AA1675" i="9"/>
  <c r="AA1667" i="9"/>
  <c r="AA1659" i="9"/>
  <c r="AA1651" i="9"/>
  <c r="AA1643" i="9"/>
  <c r="AA1635" i="9"/>
  <c r="AA1627" i="9"/>
  <c r="AA1619" i="9"/>
  <c r="AA1611" i="9"/>
  <c r="AA1603" i="9"/>
  <c r="AA1595" i="9"/>
  <c r="AA1587" i="9"/>
  <c r="AA1579" i="9"/>
  <c r="AA1571" i="9"/>
  <c r="AA1563" i="9"/>
  <c r="AA1555" i="9"/>
  <c r="AA1547" i="9"/>
  <c r="AA1539" i="9"/>
  <c r="AA1531" i="9"/>
  <c r="AA1523" i="9"/>
  <c r="AA1515" i="9"/>
  <c r="AA1507" i="9"/>
  <c r="AA1499" i="9"/>
  <c r="AA1491" i="9"/>
  <c r="AA1483" i="9"/>
  <c r="AA1475" i="9"/>
  <c r="AA1467" i="9"/>
  <c r="AA1459" i="9"/>
  <c r="AA1451" i="9"/>
  <c r="AA1443" i="9"/>
  <c r="AA1435" i="9"/>
  <c r="AA1427" i="9"/>
  <c r="AA1419" i="9"/>
  <c r="AA1411" i="9"/>
  <c r="AA1403" i="9"/>
  <c r="AA1395" i="9"/>
  <c r="AA1387" i="9"/>
  <c r="AA1379" i="9"/>
  <c r="AA1371" i="9"/>
  <c r="AA1363" i="9"/>
  <c r="AA1355" i="9"/>
  <c r="AA1347" i="9"/>
  <c r="AA1339" i="9"/>
  <c r="AA1331" i="9"/>
  <c r="AA1323" i="9"/>
  <c r="AA1315" i="9"/>
  <c r="AA1307" i="9"/>
  <c r="AA1299" i="9"/>
  <c r="AA1291" i="9"/>
  <c r="AA1283" i="9"/>
  <c r="AA1275" i="9"/>
  <c r="AA1267" i="9"/>
  <c r="AA1259" i="9"/>
  <c r="AA1251" i="9"/>
  <c r="AA1243" i="9"/>
  <c r="AA1235" i="9"/>
  <c r="AA1227" i="9"/>
  <c r="AA1219" i="9"/>
  <c r="AA1211" i="9"/>
  <c r="AA1203" i="9"/>
  <c r="AA1195" i="9"/>
  <c r="AA1187" i="9"/>
  <c r="AA1179" i="9"/>
  <c r="AA1171" i="9"/>
  <c r="AA1163" i="9"/>
  <c r="AA1155" i="9"/>
  <c r="AA1147" i="9"/>
  <c r="AA1139" i="9"/>
  <c r="AA1131" i="9"/>
  <c r="AA1123" i="9"/>
  <c r="AA1115" i="9"/>
  <c r="AA1107" i="9"/>
  <c r="AA1099" i="9"/>
  <c r="AA1091" i="9"/>
  <c r="AA1083" i="9"/>
  <c r="AA1075" i="9"/>
  <c r="AA1067" i="9"/>
  <c r="AA1059" i="9"/>
  <c r="AA1051" i="9"/>
  <c r="AA1043" i="9"/>
  <c r="AA1035" i="9"/>
  <c r="AA1027" i="9"/>
  <c r="AA1019" i="9"/>
  <c r="AA1011" i="9"/>
  <c r="AA1003" i="9"/>
  <c r="AA995" i="9"/>
  <c r="AA987" i="9"/>
  <c r="AA979" i="9"/>
  <c r="AA971" i="9"/>
  <c r="AA963" i="9"/>
  <c r="AA955" i="9"/>
  <c r="AA947" i="9"/>
  <c r="AA939" i="9"/>
  <c r="AA931" i="9"/>
  <c r="AA923" i="9"/>
  <c r="AA915" i="9"/>
  <c r="AA907" i="9"/>
  <c r="AA899" i="9"/>
  <c r="AA891" i="9"/>
  <c r="AA883" i="9"/>
  <c r="AA875" i="9"/>
  <c r="AA867" i="9"/>
  <c r="AA859" i="9"/>
  <c r="AA851" i="9"/>
  <c r="AA843" i="9"/>
  <c r="AA835" i="9"/>
  <c r="AA827" i="9"/>
  <c r="AA819" i="9"/>
  <c r="AA811" i="9"/>
  <c r="AA803" i="9"/>
  <c r="AA795" i="9"/>
  <c r="AA787" i="9"/>
  <c r="AA1794" i="9"/>
  <c r="AA1786" i="9"/>
  <c r="AA1778" i="9"/>
  <c r="AA1770" i="9"/>
  <c r="AA1762" i="9"/>
  <c r="AA1754" i="9"/>
  <c r="AA1746" i="9"/>
  <c r="AA1738" i="9"/>
  <c r="AA1730" i="9"/>
  <c r="AA1722" i="9"/>
  <c r="AA1714" i="9"/>
  <c r="AA1706" i="9"/>
  <c r="AA1698" i="9"/>
  <c r="AA1690" i="9"/>
  <c r="AA1682" i="9"/>
  <c r="AA1674" i="9"/>
  <c r="AA1666" i="9"/>
  <c r="AA1658" i="9"/>
  <c r="AA1650" i="9"/>
  <c r="AA1642" i="9"/>
  <c r="AA1634" i="9"/>
  <c r="AA1626" i="9"/>
  <c r="AA1618" i="9"/>
  <c r="AA1610" i="9"/>
  <c r="AA1602" i="9"/>
  <c r="AA1594" i="9"/>
  <c r="AA1586" i="9"/>
  <c r="AA1578" i="9"/>
  <c r="AA1570" i="9"/>
  <c r="AA1562" i="9"/>
  <c r="AA1554" i="9"/>
  <c r="AA1546" i="9"/>
  <c r="AA1538" i="9"/>
  <c r="AA1530" i="9"/>
  <c r="AA1522" i="9"/>
  <c r="AA1514" i="9"/>
  <c r="AA1506" i="9"/>
  <c r="AA1498" i="9"/>
  <c r="AA1490" i="9"/>
  <c r="AA1482" i="9"/>
  <c r="AA1474" i="9"/>
  <c r="AA1466" i="9"/>
  <c r="AA1458" i="9"/>
  <c r="AA1450" i="9"/>
  <c r="AA1442" i="9"/>
  <c r="AA1434" i="9"/>
  <c r="AA1426" i="9"/>
  <c r="AA1418" i="9"/>
  <c r="AA1410" i="9"/>
  <c r="AA1402" i="9"/>
  <c r="AA1394" i="9"/>
  <c r="AA1386" i="9"/>
  <c r="AA1378" i="9"/>
  <c r="AA1370" i="9"/>
  <c r="AA1362" i="9"/>
  <c r="AA1354" i="9"/>
  <c r="AA1346" i="9"/>
  <c r="AA1338" i="9"/>
  <c r="AA1330" i="9"/>
  <c r="AA1322" i="9"/>
  <c r="AA1314" i="9"/>
  <c r="AA1306" i="9"/>
  <c r="AA1298" i="9"/>
  <c r="AA1290" i="9"/>
  <c r="AA1282" i="9"/>
  <c r="AA1274" i="9"/>
  <c r="AA1266" i="9"/>
  <c r="AA1258" i="9"/>
  <c r="AA1250" i="9"/>
  <c r="AA1242" i="9"/>
  <c r="AA1234" i="9"/>
  <c r="AA1226" i="9"/>
  <c r="AA1218" i="9"/>
  <c r="AA1210" i="9"/>
  <c r="AA1202" i="9"/>
  <c r="AA1194" i="9"/>
  <c r="AA1186" i="9"/>
  <c r="AA1178" i="9"/>
  <c r="AA1170" i="9"/>
  <c r="AA1162" i="9"/>
  <c r="AA1154" i="9"/>
  <c r="AA1146" i="9"/>
  <c r="AA1138" i="9"/>
  <c r="AA1130" i="9"/>
  <c r="AA1122" i="9"/>
  <c r="AA1114" i="9"/>
  <c r="AA1106" i="9"/>
  <c r="AA1098" i="9"/>
  <c r="AA1090" i="9"/>
  <c r="AA1082" i="9"/>
  <c r="AA1074" i="9"/>
  <c r="AA1066" i="9"/>
  <c r="AA1058" i="9"/>
  <c r="AA1050" i="9"/>
  <c r="AA1042" i="9"/>
  <c r="AA1034" i="9"/>
  <c r="AA1026" i="9"/>
  <c r="AA1018" i="9"/>
  <c r="AA1010" i="9"/>
  <c r="AA1002" i="9"/>
  <c r="AA1793" i="9"/>
  <c r="AA1785" i="9"/>
  <c r="AA1777" i="9"/>
  <c r="AA1769" i="9"/>
  <c r="AA1761" i="9"/>
  <c r="AA1753" i="9"/>
  <c r="AA1745" i="9"/>
  <c r="AA1737" i="9"/>
  <c r="AA1729" i="9"/>
  <c r="AA1721" i="9"/>
  <c r="AA1713" i="9"/>
  <c r="AA1705" i="9"/>
  <c r="AA1697" i="9"/>
  <c r="AA1689" i="9"/>
  <c r="AA1681" i="9"/>
  <c r="AA1673" i="9"/>
  <c r="AA1665" i="9"/>
  <c r="AA1657" i="9"/>
  <c r="AA1649" i="9"/>
  <c r="AA1641" i="9"/>
  <c r="AA1633" i="9"/>
  <c r="AA1625" i="9"/>
  <c r="AA1617" i="9"/>
  <c r="AA1609" i="9"/>
  <c r="AA1601" i="9"/>
  <c r="AA1593" i="9"/>
  <c r="AA1585" i="9"/>
  <c r="AA1577" i="9"/>
  <c r="AA1569" i="9"/>
  <c r="AA1561" i="9"/>
  <c r="AA1553" i="9"/>
  <c r="AA1545" i="9"/>
  <c r="AA1537" i="9"/>
  <c r="AA1529" i="9"/>
  <c r="AA1521" i="9"/>
  <c r="AA1513" i="9"/>
  <c r="AA1505" i="9"/>
  <c r="AA1497" i="9"/>
  <c r="AA1489" i="9"/>
  <c r="AA1481" i="9"/>
  <c r="AA1473" i="9"/>
  <c r="AA1465" i="9"/>
  <c r="AA1457" i="9"/>
  <c r="AA1449" i="9"/>
  <c r="AA1441" i="9"/>
  <c r="AA1433" i="9"/>
  <c r="AA1425" i="9"/>
  <c r="AA1417" i="9"/>
  <c r="AA1409" i="9"/>
  <c r="AA1401" i="9"/>
  <c r="AA1393" i="9"/>
  <c r="AA1385" i="9"/>
  <c r="AA1377" i="9"/>
  <c r="AA1369" i="9"/>
  <c r="AA1361" i="9"/>
  <c r="AA1353" i="9"/>
  <c r="AA1345" i="9"/>
  <c r="AA1337" i="9"/>
  <c r="AA1329" i="9"/>
  <c r="AA1321" i="9"/>
  <c r="AA1313" i="9"/>
  <c r="AA1305" i="9"/>
  <c r="AA1297" i="9"/>
  <c r="AA1289" i="9"/>
  <c r="AA1281" i="9"/>
  <c r="AA1273" i="9"/>
  <c r="AA1265" i="9"/>
  <c r="AA1257" i="9"/>
  <c r="AA1249" i="9"/>
  <c r="AA1241" i="9"/>
  <c r="AA1233" i="9"/>
  <c r="AA1225" i="9"/>
  <c r="AA1217" i="9"/>
  <c r="AA1209" i="9"/>
  <c r="AA1201" i="9"/>
  <c r="AA1193" i="9"/>
  <c r="AA1185" i="9"/>
  <c r="AA1177" i="9"/>
  <c r="AA1169" i="9"/>
  <c r="AA1161" i="9"/>
  <c r="AA1792" i="9"/>
  <c r="AA1784" i="9"/>
  <c r="AA1776" i="9"/>
  <c r="AA1768" i="9"/>
  <c r="AA1760" i="9"/>
  <c r="AA1752" i="9"/>
  <c r="AA1744" i="9"/>
  <c r="AA1736" i="9"/>
  <c r="AA1728" i="9"/>
  <c r="AA1720" i="9"/>
  <c r="AA1712" i="9"/>
  <c r="AA1704" i="9"/>
  <c r="AA1696" i="9"/>
  <c r="AA1688" i="9"/>
  <c r="AA1680" i="9"/>
  <c r="AA1672" i="9"/>
  <c r="AA1664" i="9"/>
  <c r="AA1656" i="9"/>
  <c r="AA1648" i="9"/>
  <c r="AA1640" i="9"/>
  <c r="AA1632" i="9"/>
  <c r="AA1624" i="9"/>
  <c r="AA1616" i="9"/>
  <c r="AA1608" i="9"/>
  <c r="AA1600" i="9"/>
  <c r="AA1592" i="9"/>
  <c r="AA1584" i="9"/>
  <c r="AA1576" i="9"/>
  <c r="AA1568" i="9"/>
  <c r="AA1560" i="9"/>
  <c r="AA1552" i="9"/>
  <c r="AA1544" i="9"/>
  <c r="AA1536" i="9"/>
  <c r="AA1528" i="9"/>
  <c r="AA1520" i="9"/>
  <c r="AA1512" i="9"/>
  <c r="AA1504" i="9"/>
  <c r="AA1496" i="9"/>
  <c r="AA1488" i="9"/>
  <c r="AA1480" i="9"/>
  <c r="AA1472" i="9"/>
  <c r="AA1464" i="9"/>
  <c r="AA1456" i="9"/>
  <c r="AA1448" i="9"/>
  <c r="AA1440" i="9"/>
  <c r="AA1432" i="9"/>
  <c r="AA1424" i="9"/>
  <c r="AA1416" i="9"/>
  <c r="AA1408" i="9"/>
  <c r="AA1400" i="9"/>
  <c r="AA1392" i="9"/>
  <c r="AA1384" i="9"/>
  <c r="AA1376" i="9"/>
  <c r="AA1368" i="9"/>
  <c r="AA1360" i="9"/>
  <c r="AA1352" i="9"/>
  <c r="AA1344" i="9"/>
  <c r="AA1336" i="9"/>
  <c r="AA1328" i="9"/>
  <c r="AA1320" i="9"/>
  <c r="AA1312" i="9"/>
  <c r="AA1304" i="9"/>
  <c r="AA1296" i="9"/>
  <c r="AA1288" i="9"/>
  <c r="AA1280" i="9"/>
  <c r="AA1272" i="9"/>
  <c r="AA1264" i="9"/>
  <c r="AA1256" i="9"/>
  <c r="AA1248" i="9"/>
  <c r="AA1240" i="9"/>
  <c r="AA1232" i="9"/>
  <c r="AA1224" i="9"/>
  <c r="AA1216" i="9"/>
  <c r="AA1208" i="9"/>
  <c r="AA1200" i="9"/>
  <c r="AA1192" i="9"/>
  <c r="AA1184" i="9"/>
  <c r="AA1176" i="9"/>
  <c r="AA1168" i="9"/>
  <c r="AA1160" i="9"/>
  <c r="AA1152" i="9"/>
  <c r="AA1144" i="9"/>
  <c r="AA1136" i="9"/>
  <c r="AA1128" i="9"/>
  <c r="AA1120" i="9"/>
  <c r="AA1112" i="9"/>
  <c r="AA1104" i="9"/>
  <c r="AA1096" i="9"/>
  <c r="AA1088" i="9"/>
  <c r="AA1080" i="9"/>
  <c r="AA1072" i="9"/>
  <c r="AA1064" i="9"/>
  <c r="AA1056" i="9"/>
  <c r="AA1048" i="9"/>
  <c r="AA1040" i="9"/>
  <c r="AA1032" i="9"/>
  <c r="AA1024" i="9"/>
  <c r="AA1016" i="9"/>
  <c r="AA1008" i="9"/>
  <c r="AA1000" i="9"/>
  <c r="AA992" i="9"/>
  <c r="AA984" i="9"/>
  <c r="AA976" i="9"/>
  <c r="AA968" i="9"/>
  <c r="AA960" i="9"/>
  <c r="AA952" i="9"/>
  <c r="AA1791" i="9"/>
  <c r="AA1783" i="9"/>
  <c r="AA1775" i="9"/>
  <c r="AA1767" i="9"/>
  <c r="AA1759" i="9"/>
  <c r="AA1751" i="9"/>
  <c r="AA1743" i="9"/>
  <c r="AA1735" i="9"/>
  <c r="AA1727" i="9"/>
  <c r="AA1719" i="9"/>
  <c r="AA1711" i="9"/>
  <c r="AA1703" i="9"/>
  <c r="AA1695" i="9"/>
  <c r="AA1687" i="9"/>
  <c r="AA1679" i="9"/>
  <c r="AA1671" i="9"/>
  <c r="AA1663" i="9"/>
  <c r="AA1655" i="9"/>
  <c r="AA1647" i="9"/>
  <c r="AA1639" i="9"/>
  <c r="AA1631" i="9"/>
  <c r="AA1623" i="9"/>
  <c r="AA1615" i="9"/>
  <c r="AA1607" i="9"/>
  <c r="AA1599" i="9"/>
  <c r="AA1591" i="9"/>
  <c r="AA1583" i="9"/>
  <c r="AA1575" i="9"/>
  <c r="AA1567" i="9"/>
  <c r="AA1559" i="9"/>
  <c r="AA1551" i="9"/>
  <c r="AA1543" i="9"/>
  <c r="AA1535" i="9"/>
  <c r="AA1527" i="9"/>
  <c r="AA1519" i="9"/>
  <c r="AA1511" i="9"/>
  <c r="AA1503" i="9"/>
  <c r="AA1495" i="9"/>
  <c r="AA1487" i="9"/>
  <c r="AA1479" i="9"/>
  <c r="AA1471" i="9"/>
  <c r="AA1463" i="9"/>
  <c r="AA1455" i="9"/>
  <c r="AA1447" i="9"/>
  <c r="AA1439" i="9"/>
  <c r="AA1431" i="9"/>
  <c r="AA1423" i="9"/>
  <c r="AA1415" i="9"/>
  <c r="AA1407" i="9"/>
  <c r="AA1399" i="9"/>
  <c r="AA1391" i="9"/>
  <c r="AA1383" i="9"/>
  <c r="AA1375" i="9"/>
  <c r="AA1367" i="9"/>
  <c r="AA1359" i="9"/>
  <c r="AA1351" i="9"/>
  <c r="AA1343" i="9"/>
  <c r="AA1335" i="9"/>
  <c r="AA1327" i="9"/>
  <c r="AA1319" i="9"/>
  <c r="AA1311" i="9"/>
  <c r="AA1303" i="9"/>
  <c r="AA1295" i="9"/>
  <c r="AA1287" i="9"/>
  <c r="AA1279" i="9"/>
  <c r="AA1271" i="9"/>
  <c r="AA1263" i="9"/>
  <c r="AA1255" i="9"/>
  <c r="AA1247" i="9"/>
  <c r="AA1239" i="9"/>
  <c r="AA1231" i="9"/>
  <c r="AA1223" i="9"/>
  <c r="AA1215" i="9"/>
  <c r="AA1207" i="9"/>
  <c r="AA1199" i="9"/>
  <c r="AA1191" i="9"/>
  <c r="AA1183" i="9"/>
  <c r="AA1175" i="9"/>
  <c r="AA1167" i="9"/>
  <c r="AA1159" i="9"/>
  <c r="AA1151" i="9"/>
  <c r="AA1143" i="9"/>
  <c r="AA1135" i="9"/>
  <c r="AA1127" i="9"/>
  <c r="AA1119" i="9"/>
  <c r="AA1111" i="9"/>
  <c r="AA1103" i="9"/>
  <c r="AA1095" i="9"/>
  <c r="AA1087" i="9"/>
  <c r="AA1079" i="9"/>
  <c r="AA1071" i="9"/>
  <c r="AA1063" i="9"/>
  <c r="AA1055" i="9"/>
  <c r="AA1047" i="9"/>
  <c r="AA1039" i="9"/>
  <c r="AA1031" i="9"/>
  <c r="AA1023" i="9"/>
  <c r="AA1015" i="9"/>
  <c r="AA1007" i="9"/>
  <c r="AA999" i="9"/>
  <c r="AA991" i="9"/>
  <c r="AA983" i="9"/>
  <c r="AA975" i="9"/>
  <c r="AA967" i="9"/>
  <c r="AA959" i="9"/>
  <c r="AA951" i="9"/>
  <c r="AA943" i="9"/>
  <c r="AA935" i="9"/>
  <c r="AA927" i="9"/>
  <c r="AA919" i="9"/>
  <c r="AA911" i="9"/>
  <c r="AA903" i="9"/>
  <c r="AA895" i="9"/>
  <c r="AA887" i="9"/>
  <c r="AA879" i="9"/>
  <c r="AA871" i="9"/>
  <c r="AA863" i="9"/>
  <c r="AA855" i="9"/>
  <c r="AA847" i="9"/>
  <c r="AA839" i="9"/>
  <c r="AA831" i="9"/>
  <c r="AA823" i="9"/>
  <c r="AA815" i="9"/>
  <c r="AA807" i="9"/>
  <c r="AA799" i="9"/>
  <c r="AA791" i="9"/>
  <c r="AA783" i="9"/>
  <c r="AA1790" i="9"/>
  <c r="AA1782" i="9"/>
  <c r="AA1774" i="9"/>
  <c r="AA1766" i="9"/>
  <c r="AA1758" i="9"/>
  <c r="AA1750" i="9"/>
  <c r="AA1742" i="9"/>
  <c r="AA1734" i="9"/>
  <c r="AA1726" i="9"/>
  <c r="AA1718" i="9"/>
  <c r="AA1710" i="9"/>
  <c r="AA1702" i="9"/>
  <c r="AA1694" i="9"/>
  <c r="AA1686" i="9"/>
  <c r="AA1678" i="9"/>
  <c r="AA1670" i="9"/>
  <c r="AA1662" i="9"/>
  <c r="AA1654" i="9"/>
  <c r="AA1646" i="9"/>
  <c r="AA1638" i="9"/>
  <c r="AA1630" i="9"/>
  <c r="AA1622" i="9"/>
  <c r="AA1614" i="9"/>
  <c r="AA1606" i="9"/>
  <c r="AA1598" i="9"/>
  <c r="AA1590" i="9"/>
  <c r="AA1582" i="9"/>
  <c r="AA1574" i="9"/>
  <c r="AA1566" i="9"/>
  <c r="AA1558" i="9"/>
  <c r="AA1550" i="9"/>
  <c r="AA1542" i="9"/>
  <c r="AA1534" i="9"/>
  <c r="AA1526" i="9"/>
  <c r="AA1518" i="9"/>
  <c r="AA1510" i="9"/>
  <c r="AA1502" i="9"/>
  <c r="AA1494" i="9"/>
  <c r="AA1486" i="9"/>
  <c r="AA1478" i="9"/>
  <c r="AA1470" i="9"/>
  <c r="AA1462" i="9"/>
  <c r="AA1454" i="9"/>
  <c r="AA1446" i="9"/>
  <c r="AA1438" i="9"/>
  <c r="AA1430" i="9"/>
  <c r="AA1422" i="9"/>
  <c r="AA1414" i="9"/>
  <c r="AA1406" i="9"/>
  <c r="AA1398" i="9"/>
  <c r="AA1390" i="9"/>
  <c r="AA1382" i="9"/>
  <c r="AA1374" i="9"/>
  <c r="AA1366" i="9"/>
  <c r="AA1358" i="9"/>
  <c r="AA1350" i="9"/>
  <c r="AA1342" i="9"/>
  <c r="AA1334" i="9"/>
  <c r="AA1326" i="9"/>
  <c r="AA1318" i="9"/>
  <c r="AA1310" i="9"/>
  <c r="AA1302" i="9"/>
  <c r="AA1294" i="9"/>
  <c r="AA1286" i="9"/>
  <c r="AA1278" i="9"/>
  <c r="AA1270" i="9"/>
  <c r="AA1262" i="9"/>
  <c r="AA1254" i="9"/>
  <c r="AA1246" i="9"/>
  <c r="AA1238" i="9"/>
  <c r="AA1230" i="9"/>
  <c r="AA1222" i="9"/>
  <c r="AA1214" i="9"/>
  <c r="AA1206" i="9"/>
  <c r="AA1198" i="9"/>
  <c r="AA1190" i="9"/>
  <c r="AA1182" i="9"/>
  <c r="AA1174" i="9"/>
  <c r="AA1166" i="9"/>
  <c r="AA1158" i="9"/>
  <c r="AA1150" i="9"/>
  <c r="AA1142" i="9"/>
  <c r="AA1789" i="9"/>
  <c r="AA1781" i="9"/>
  <c r="AA1773" i="9"/>
  <c r="AA1765" i="9"/>
  <c r="AA1757" i="9"/>
  <c r="AA1749" i="9"/>
  <c r="AA1741" i="9"/>
  <c r="AA1733" i="9"/>
  <c r="AA1725" i="9"/>
  <c r="AA1717" i="9"/>
  <c r="AA1709" i="9"/>
  <c r="AA1701" i="9"/>
  <c r="AA1693" i="9"/>
  <c r="AA1685" i="9"/>
  <c r="AA1677" i="9"/>
  <c r="AA1669" i="9"/>
  <c r="AA1661" i="9"/>
  <c r="AA1653" i="9"/>
  <c r="AA1645" i="9"/>
  <c r="AA1637" i="9"/>
  <c r="AA1629" i="9"/>
  <c r="AA1621" i="9"/>
  <c r="AA1613" i="9"/>
  <c r="AA1605" i="9"/>
  <c r="AA1597" i="9"/>
  <c r="AA1589" i="9"/>
  <c r="AA1581" i="9"/>
  <c r="AA1573" i="9"/>
  <c r="AA1565" i="9"/>
  <c r="AA1557" i="9"/>
  <c r="AA1549" i="9"/>
  <c r="AA1541" i="9"/>
  <c r="AA1533" i="9"/>
  <c r="AA1525" i="9"/>
  <c r="AA1517" i="9"/>
  <c r="AA1509" i="9"/>
  <c r="AA1501" i="9"/>
  <c r="AA1493" i="9"/>
  <c r="AA1485" i="9"/>
  <c r="AA1477" i="9"/>
  <c r="AA1469" i="9"/>
  <c r="AA1461" i="9"/>
  <c r="AA1453" i="9"/>
  <c r="AA1445" i="9"/>
  <c r="AA1437" i="9"/>
  <c r="AA1429" i="9"/>
  <c r="AA1421" i="9"/>
  <c r="AA1413" i="9"/>
  <c r="AA1405" i="9"/>
  <c r="AA1397" i="9"/>
  <c r="AA1389" i="9"/>
  <c r="AA1381" i="9"/>
  <c r="AA1373" i="9"/>
  <c r="AA1365" i="9"/>
  <c r="AA1357" i="9"/>
  <c r="AA1349" i="9"/>
  <c r="AA1341" i="9"/>
  <c r="AA1333" i="9"/>
  <c r="AA1325" i="9"/>
  <c r="AA1317" i="9"/>
  <c r="AA1309" i="9"/>
  <c r="AA1301" i="9"/>
  <c r="AA1293" i="9"/>
  <c r="AA1285" i="9"/>
  <c r="AA1277" i="9"/>
  <c r="AA1269" i="9"/>
  <c r="AA1261" i="9"/>
  <c r="AA1253" i="9"/>
  <c r="AA1245" i="9"/>
  <c r="AA1237" i="9"/>
  <c r="AA1229" i="9"/>
  <c r="AA1221" i="9"/>
  <c r="AA1213" i="9"/>
  <c r="AA1205" i="9"/>
  <c r="AA1197" i="9"/>
  <c r="AA1189" i="9"/>
  <c r="AA1181" i="9"/>
  <c r="AA1173" i="9"/>
  <c r="AA1165" i="9"/>
  <c r="AA1157" i="9"/>
  <c r="AA1149" i="9"/>
  <c r="AA1141" i="9"/>
  <c r="AA1788" i="9"/>
  <c r="AA1724" i="9"/>
  <c r="AA1660" i="9"/>
  <c r="AA1596" i="9"/>
  <c r="AA1532" i="9"/>
  <c r="AA1468" i="9"/>
  <c r="AA1404" i="9"/>
  <c r="AA1340" i="9"/>
  <c r="AA1276" i="9"/>
  <c r="AA1212" i="9"/>
  <c r="AA1153" i="9"/>
  <c r="AA1129" i="9"/>
  <c r="AA1113" i="9"/>
  <c r="AA1097" i="9"/>
  <c r="AA1081" i="9"/>
  <c r="AA1065" i="9"/>
  <c r="AA1049" i="9"/>
  <c r="AA1033" i="9"/>
  <c r="AA1017" i="9"/>
  <c r="AA1001" i="9"/>
  <c r="AA988" i="9"/>
  <c r="AA974" i="9"/>
  <c r="AA962" i="9"/>
  <c r="AA949" i="9"/>
  <c r="AA938" i="9"/>
  <c r="AA928" i="9"/>
  <c r="AA917" i="9"/>
  <c r="AA906" i="9"/>
  <c r="AA896" i="9"/>
  <c r="AA885" i="9"/>
  <c r="AA874" i="9"/>
  <c r="AA864" i="9"/>
  <c r="AA853" i="9"/>
  <c r="AA842" i="9"/>
  <c r="AA832" i="9"/>
  <c r="AA821" i="9"/>
  <c r="AA810" i="9"/>
  <c r="AA800" i="9"/>
  <c r="AA789" i="9"/>
  <c r="AA779" i="9"/>
  <c r="AA771" i="9"/>
  <c r="AA763" i="9"/>
  <c r="AA755" i="9"/>
  <c r="AA747" i="9"/>
  <c r="AA739" i="9"/>
  <c r="AA731" i="9"/>
  <c r="AA723" i="9"/>
  <c r="AA715" i="9"/>
  <c r="AA707" i="9"/>
  <c r="AA699" i="9"/>
  <c r="AA691" i="9"/>
  <c r="AA683" i="9"/>
  <c r="AA675" i="9"/>
  <c r="AA667" i="9"/>
  <c r="AA659" i="9"/>
  <c r="AA651" i="9"/>
  <c r="AA643" i="9"/>
  <c r="AA635" i="9"/>
  <c r="AA627" i="9"/>
  <c r="AA619" i="9"/>
  <c r="AA611" i="9"/>
  <c r="AA603" i="9"/>
  <c r="AA595" i="9"/>
  <c r="AA587" i="9"/>
  <c r="AA579" i="9"/>
  <c r="AA571" i="9"/>
  <c r="AA563" i="9"/>
  <c r="AA555" i="9"/>
  <c r="AA547" i="9"/>
  <c r="AA539" i="9"/>
  <c r="AA531" i="9"/>
  <c r="AA523" i="9"/>
  <c r="AA515" i="9"/>
  <c r="AA507" i="9"/>
  <c r="AA499" i="9"/>
  <c r="AA491" i="9"/>
  <c r="AA483" i="9"/>
  <c r="AA475" i="9"/>
  <c r="AA467" i="9"/>
  <c r="AA459" i="9"/>
  <c r="AA451" i="9"/>
  <c r="AA443" i="9"/>
  <c r="AA435" i="9"/>
  <c r="AA427" i="9"/>
  <c r="AA419" i="9"/>
  <c r="AA411" i="9"/>
  <c r="AA403" i="9"/>
  <c r="AA395" i="9"/>
  <c r="AA387" i="9"/>
  <c r="AA379" i="9"/>
  <c r="AA371" i="9"/>
  <c r="AA363" i="9"/>
  <c r="AA355" i="9"/>
  <c r="AA347" i="9"/>
  <c r="AA339" i="9"/>
  <c r="AA331" i="9"/>
  <c r="AA323" i="9"/>
  <c r="AA315" i="9"/>
  <c r="AA307" i="9"/>
  <c r="AA299" i="9"/>
  <c r="AA291" i="9"/>
  <c r="AA283" i="9"/>
  <c r="AA275" i="9"/>
  <c r="AA267" i="9"/>
  <c r="AA259" i="9"/>
  <c r="AA251" i="9"/>
  <c r="AA243" i="9"/>
  <c r="AA235" i="9"/>
  <c r="AA227" i="9"/>
  <c r="AA219" i="9"/>
  <c r="AA211" i="9"/>
  <c r="AA203" i="9"/>
  <c r="AA195" i="9"/>
  <c r="AA187" i="9"/>
  <c r="AA179" i="9"/>
  <c r="AA171" i="9"/>
  <c r="AA163" i="9"/>
  <c r="AA155" i="9"/>
  <c r="AA147" i="9"/>
  <c r="AA141" i="9"/>
  <c r="AA137" i="9"/>
  <c r="AA127" i="9"/>
  <c r="AA1780" i="9"/>
  <c r="AA1716" i="9"/>
  <c r="AA1652" i="9"/>
  <c r="AA1588" i="9"/>
  <c r="AA1524" i="9"/>
  <c r="AA1460" i="9"/>
  <c r="AA1396" i="9"/>
  <c r="AA1332" i="9"/>
  <c r="AA1268" i="9"/>
  <c r="AA1204" i="9"/>
  <c r="AA1148" i="9"/>
  <c r="AA1126" i="9"/>
  <c r="AA1110" i="9"/>
  <c r="AA1094" i="9"/>
  <c r="AA1078" i="9"/>
  <c r="AA1062" i="9"/>
  <c r="AA1046" i="9"/>
  <c r="AA1030" i="9"/>
  <c r="AA1014" i="9"/>
  <c r="AA998" i="9"/>
  <c r="AA986" i="9"/>
  <c r="AA973" i="9"/>
  <c r="AA961" i="9"/>
  <c r="AA948" i="9"/>
  <c r="AA937" i="9"/>
  <c r="AA926" i="9"/>
  <c r="AA916" i="9"/>
  <c r="AA905" i="9"/>
  <c r="AA894" i="9"/>
  <c r="AA884" i="9"/>
  <c r="AA873" i="9"/>
  <c r="AA862" i="9"/>
  <c r="AA852" i="9"/>
  <c r="AA841" i="9"/>
  <c r="AA830" i="9"/>
  <c r="AA820" i="9"/>
  <c r="AA809" i="9"/>
  <c r="AA798" i="9"/>
  <c r="AA788" i="9"/>
  <c r="AA778" i="9"/>
  <c r="AA770" i="9"/>
  <c r="AA762" i="9"/>
  <c r="AA754" i="9"/>
  <c r="AA746" i="9"/>
  <c r="AA738" i="9"/>
  <c r="AA730" i="9"/>
  <c r="AA722" i="9"/>
  <c r="AA714" i="9"/>
  <c r="AA706" i="9"/>
  <c r="AA698" i="9"/>
  <c r="AA690" i="9"/>
  <c r="AA682" i="9"/>
  <c r="AA674" i="9"/>
  <c r="AA666" i="9"/>
  <c r="AA658" i="9"/>
  <c r="AA650" i="9"/>
  <c r="AA642" i="9"/>
  <c r="AA634" i="9"/>
  <c r="AA626" i="9"/>
  <c r="AA618" i="9"/>
  <c r="AA610" i="9"/>
  <c r="AA602" i="9"/>
  <c r="AA594" i="9"/>
  <c r="AA586" i="9"/>
  <c r="AA578" i="9"/>
  <c r="AA570" i="9"/>
  <c r="AA562" i="9"/>
  <c r="AA1772" i="9"/>
  <c r="AA1708" i="9"/>
  <c r="AA1644" i="9"/>
  <c r="AA1580" i="9"/>
  <c r="AA1516" i="9"/>
  <c r="AA1452" i="9"/>
  <c r="AA1388" i="9"/>
  <c r="AA1324" i="9"/>
  <c r="AA1260" i="9"/>
  <c r="AA1196" i="9"/>
  <c r="AA1145" i="9"/>
  <c r="AA1125" i="9"/>
  <c r="AA1109" i="9"/>
  <c r="AA1093" i="9"/>
  <c r="AA1077" i="9"/>
  <c r="AA1061" i="9"/>
  <c r="AA1045" i="9"/>
  <c r="AA1029" i="9"/>
  <c r="AA1013" i="9"/>
  <c r="AA997" i="9"/>
  <c r="AA985" i="9"/>
  <c r="AA972" i="9"/>
  <c r="AA958" i="9"/>
  <c r="AA946" i="9"/>
  <c r="AA936" i="9"/>
  <c r="AA925" i="9"/>
  <c r="AA914" i="9"/>
  <c r="AA904" i="9"/>
  <c r="AA893" i="9"/>
  <c r="AA882" i="9"/>
  <c r="AA872" i="9"/>
  <c r="AA861" i="9"/>
  <c r="AA850" i="9"/>
  <c r="AA840" i="9"/>
  <c r="AA829" i="9"/>
  <c r="AA818" i="9"/>
  <c r="AA808" i="9"/>
  <c r="AA797" i="9"/>
  <c r="AA786" i="9"/>
  <c r="AA777" i="9"/>
  <c r="AA769" i="9"/>
  <c r="AA761" i="9"/>
  <c r="AA753" i="9"/>
  <c r="AA745" i="9"/>
  <c r="AA737" i="9"/>
  <c r="AA729" i="9"/>
  <c r="AA721" i="9"/>
  <c r="AA713" i="9"/>
  <c r="AA705" i="9"/>
  <c r="AA697" i="9"/>
  <c r="AA689" i="9"/>
  <c r="AA681" i="9"/>
  <c r="AA673" i="9"/>
  <c r="AA665" i="9"/>
  <c r="AA657" i="9"/>
  <c r="AA649" i="9"/>
  <c r="AA641" i="9"/>
  <c r="AA633" i="9"/>
  <c r="AA625" i="9"/>
  <c r="AA617" i="9"/>
  <c r="AA609" i="9"/>
  <c r="AA601" i="9"/>
  <c r="AA593" i="9"/>
  <c r="AA585" i="9"/>
  <c r="AA577" i="9"/>
  <c r="AA569" i="9"/>
  <c r="AA561" i="9"/>
  <c r="AA553" i="9"/>
  <c r="AA545" i="9"/>
  <c r="AA537" i="9"/>
  <c r="AA529" i="9"/>
  <c r="AA521" i="9"/>
  <c r="AA513" i="9"/>
  <c r="AA505" i="9"/>
  <c r="AA497" i="9"/>
  <c r="AA489" i="9"/>
  <c r="AA481" i="9"/>
  <c r="AA473" i="9"/>
  <c r="AA465" i="9"/>
  <c r="AA457" i="9"/>
  <c r="AA449" i="9"/>
  <c r="AA1764" i="9"/>
  <c r="AA1700" i="9"/>
  <c r="AA1636" i="9"/>
  <c r="AA1572" i="9"/>
  <c r="AA1508" i="9"/>
  <c r="AA1444" i="9"/>
  <c r="AA1380" i="9"/>
  <c r="AA1316" i="9"/>
  <c r="AA1252" i="9"/>
  <c r="AA1188" i="9"/>
  <c r="AA1140" i="9"/>
  <c r="AA1124" i="9"/>
  <c r="AA1108" i="9"/>
  <c r="AA1092" i="9"/>
  <c r="AA1076" i="9"/>
  <c r="AA1060" i="9"/>
  <c r="AA1044" i="9"/>
  <c r="AA1028" i="9"/>
  <c r="AA1012" i="9"/>
  <c r="AA996" i="9"/>
  <c r="AA982" i="9"/>
  <c r="AA970" i="9"/>
  <c r="AA957" i="9"/>
  <c r="AA945" i="9"/>
  <c r="AA934" i="9"/>
  <c r="AA924" i="9"/>
  <c r="AA913" i="9"/>
  <c r="AA902" i="9"/>
  <c r="AA892" i="9"/>
  <c r="AA881" i="9"/>
  <c r="AA870" i="9"/>
  <c r="AA860" i="9"/>
  <c r="AA849" i="9"/>
  <c r="AA838" i="9"/>
  <c r="AA828" i="9"/>
  <c r="AA817" i="9"/>
  <c r="AA806" i="9"/>
  <c r="AA796" i="9"/>
  <c r="AA785" i="9"/>
  <c r="AA776" i="9"/>
  <c r="AA768" i="9"/>
  <c r="AA760" i="9"/>
  <c r="AA752" i="9"/>
  <c r="AA744" i="9"/>
  <c r="AA736" i="9"/>
  <c r="AA728" i="9"/>
  <c r="AA720" i="9"/>
  <c r="AA712" i="9"/>
  <c r="AA704" i="9"/>
  <c r="AA696" i="9"/>
  <c r="AA688" i="9"/>
  <c r="AA680" i="9"/>
  <c r="AA672" i="9"/>
  <c r="AA664" i="9"/>
  <c r="AA656" i="9"/>
  <c r="AA648" i="9"/>
  <c r="AA640" i="9"/>
  <c r="AA632" i="9"/>
  <c r="AA624" i="9"/>
  <c r="AA616" i="9"/>
  <c r="AA608" i="9"/>
  <c r="AA600" i="9"/>
  <c r="AA592" i="9"/>
  <c r="AA584" i="9"/>
  <c r="AA576" i="9"/>
  <c r="AA568" i="9"/>
  <c r="AA560" i="9"/>
  <c r="AA552" i="9"/>
  <c r="AA544" i="9"/>
  <c r="AA536" i="9"/>
  <c r="AA528" i="9"/>
  <c r="AA520" i="9"/>
  <c r="AA512" i="9"/>
  <c r="AA504" i="9"/>
  <c r="AA496" i="9"/>
  <c r="AA488" i="9"/>
  <c r="AA480" i="9"/>
  <c r="AA472" i="9"/>
  <c r="AA464" i="9"/>
  <c r="AA456" i="9"/>
  <c r="AA448" i="9"/>
  <c r="AA440" i="9"/>
  <c r="AA432" i="9"/>
  <c r="AA424" i="9"/>
  <c r="AA416" i="9"/>
  <c r="AA408" i="9"/>
  <c r="AA400" i="9"/>
  <c r="AA392" i="9"/>
  <c r="AA384" i="9"/>
  <c r="AA376" i="9"/>
  <c r="AA368" i="9"/>
  <c r="AA360" i="9"/>
  <c r="AA352" i="9"/>
  <c r="AA344" i="9"/>
  <c r="AA336" i="9"/>
  <c r="AA328" i="9"/>
  <c r="AA320" i="9"/>
  <c r="AA312" i="9"/>
  <c r="AA304" i="9"/>
  <c r="AA296" i="9"/>
  <c r="AA288" i="9"/>
  <c r="AA280" i="9"/>
  <c r="AA272" i="9"/>
  <c r="AA264" i="9"/>
  <c r="AA256" i="9"/>
  <c r="AA248" i="9"/>
  <c r="AA240" i="9"/>
  <c r="AA232" i="9"/>
  <c r="AA224" i="9"/>
  <c r="AA216" i="9"/>
  <c r="AA208" i="9"/>
  <c r="AA200" i="9"/>
  <c r="AA192" i="9"/>
  <c r="AA184" i="9"/>
  <c r="AA1756" i="9"/>
  <c r="AA1692" i="9"/>
  <c r="AA1628" i="9"/>
  <c r="AA1564" i="9"/>
  <c r="AA1500" i="9"/>
  <c r="AA1436" i="9"/>
  <c r="AA1372" i="9"/>
  <c r="AA1308" i="9"/>
  <c r="AA1244" i="9"/>
  <c r="AA1180" i="9"/>
  <c r="AA1137" i="9"/>
  <c r="AA1121" i="9"/>
  <c r="AA1105" i="9"/>
  <c r="AA1089" i="9"/>
  <c r="AA1073" i="9"/>
  <c r="AA1057" i="9"/>
  <c r="AA1041" i="9"/>
  <c r="AA1025" i="9"/>
  <c r="AA1009" i="9"/>
  <c r="AA994" i="9"/>
  <c r="AA981" i="9"/>
  <c r="AA969" i="9"/>
  <c r="AA956" i="9"/>
  <c r="AA944" i="9"/>
  <c r="AA933" i="9"/>
  <c r="AA922" i="9"/>
  <c r="AA912" i="9"/>
  <c r="AA901" i="9"/>
  <c r="AA890" i="9"/>
  <c r="AA880" i="9"/>
  <c r="AA869" i="9"/>
  <c r="AA858" i="9"/>
  <c r="AA848" i="9"/>
  <c r="AA837" i="9"/>
  <c r="AA826" i="9"/>
  <c r="AA816" i="9"/>
  <c r="AA805" i="9"/>
  <c r="AA794" i="9"/>
  <c r="AA784" i="9"/>
  <c r="AA775" i="9"/>
  <c r="AA767" i="9"/>
  <c r="AA759" i="9"/>
  <c r="AA751" i="9"/>
  <c r="AA743" i="9"/>
  <c r="AA735" i="9"/>
  <c r="AA727" i="9"/>
  <c r="AA719" i="9"/>
  <c r="AA711" i="9"/>
  <c r="AA703" i="9"/>
  <c r="AA695" i="9"/>
  <c r="AA687" i="9"/>
  <c r="AA679" i="9"/>
  <c r="AA671" i="9"/>
  <c r="AA663" i="9"/>
  <c r="AA655" i="9"/>
  <c r="AA647" i="9"/>
  <c r="AA639" i="9"/>
  <c r="AA631" i="9"/>
  <c r="AA623" i="9"/>
  <c r="AA615" i="9"/>
  <c r="AA607" i="9"/>
  <c r="AA599" i="9"/>
  <c r="AA591" i="9"/>
  <c r="AA583" i="9"/>
  <c r="AA575" i="9"/>
  <c r="AA567" i="9"/>
  <c r="AA559" i="9"/>
  <c r="AA551" i="9"/>
  <c r="AA543" i="9"/>
  <c r="AA535" i="9"/>
  <c r="AA527" i="9"/>
  <c r="AA519" i="9"/>
  <c r="AA511" i="9"/>
  <c r="AA503" i="9"/>
  <c r="AA495" i="9"/>
  <c r="AA487" i="9"/>
  <c r="AA479" i="9"/>
  <c r="AA471" i="9"/>
  <c r="AA463" i="9"/>
  <c r="AA455" i="9"/>
  <c r="AA447" i="9"/>
  <c r="AA439" i="9"/>
  <c r="AA431" i="9"/>
  <c r="AA423" i="9"/>
  <c r="AA415" i="9"/>
  <c r="AA407" i="9"/>
  <c r="AA399" i="9"/>
  <c r="AA391" i="9"/>
  <c r="AA383" i="9"/>
  <c r="AA375" i="9"/>
  <c r="AA367" i="9"/>
  <c r="AA359" i="9"/>
  <c r="AA351" i="9"/>
  <c r="AA343" i="9"/>
  <c r="AA335" i="9"/>
  <c r="AA327" i="9"/>
  <c r="AA319" i="9"/>
  <c r="AA311" i="9"/>
  <c r="AA303" i="9"/>
  <c r="AA295" i="9"/>
  <c r="AA287" i="9"/>
  <c r="AA279" i="9"/>
  <c r="AA271" i="9"/>
  <c r="AA263" i="9"/>
  <c r="AA255" i="9"/>
  <c r="AA247" i="9"/>
  <c r="AA239" i="9"/>
  <c r="AA231" i="9"/>
  <c r="AA223" i="9"/>
  <c r="AA215" i="9"/>
  <c r="AA207" i="9"/>
  <c r="AA199" i="9"/>
  <c r="AA191" i="9"/>
  <c r="AA183" i="9"/>
  <c r="AA175" i="9"/>
  <c r="AA167" i="9"/>
  <c r="AA159" i="9"/>
  <c r="AA151" i="9"/>
  <c r="AA143" i="9"/>
  <c r="AA139" i="9"/>
  <c r="AA135" i="9"/>
  <c r="AA130" i="9"/>
  <c r="AA123" i="9"/>
  <c r="AA1748" i="9"/>
  <c r="AA1684" i="9"/>
  <c r="AA1620" i="9"/>
  <c r="AA1556" i="9"/>
  <c r="AA1492" i="9"/>
  <c r="AA1428" i="9"/>
  <c r="AA1364" i="9"/>
  <c r="AA1300" i="9"/>
  <c r="AA1236" i="9"/>
  <c r="AA1172" i="9"/>
  <c r="AA1134" i="9"/>
  <c r="AA1118" i="9"/>
  <c r="AA1102" i="9"/>
  <c r="AA1086" i="9"/>
  <c r="AA1070" i="9"/>
  <c r="AA1054" i="9"/>
  <c r="AA1038" i="9"/>
  <c r="AA1022" i="9"/>
  <c r="AA1006" i="9"/>
  <c r="AA993" i="9"/>
  <c r="AA980" i="9"/>
  <c r="AA966" i="9"/>
  <c r="AA954" i="9"/>
  <c r="AA942" i="9"/>
  <c r="AA932" i="9"/>
  <c r="AA921" i="9"/>
  <c r="AA910" i="9"/>
  <c r="AA900" i="9"/>
  <c r="AA889" i="9"/>
  <c r="AA878" i="9"/>
  <c r="AA868" i="9"/>
  <c r="AA857" i="9"/>
  <c r="AA846" i="9"/>
  <c r="AA836" i="9"/>
  <c r="AA825" i="9"/>
  <c r="AA814" i="9"/>
  <c r="AA804" i="9"/>
  <c r="AA793" i="9"/>
  <c r="AA782" i="9"/>
  <c r="AA774" i="9"/>
  <c r="AA766" i="9"/>
  <c r="AA758" i="9"/>
  <c r="AA750" i="9"/>
  <c r="AA742" i="9"/>
  <c r="AA734" i="9"/>
  <c r="AA726" i="9"/>
  <c r="AA718" i="9"/>
  <c r="AA710" i="9"/>
  <c r="AA702" i="9"/>
  <c r="AA694" i="9"/>
  <c r="AA686" i="9"/>
  <c r="AA678" i="9"/>
  <c r="AA670" i="9"/>
  <c r="AA662" i="9"/>
  <c r="AA654" i="9"/>
  <c r="AA646" i="9"/>
  <c r="AA638" i="9"/>
  <c r="AA630" i="9"/>
  <c r="AA622" i="9"/>
  <c r="AA614" i="9"/>
  <c r="AA606" i="9"/>
  <c r="AA598" i="9"/>
  <c r="AA590" i="9"/>
  <c r="AA582" i="9"/>
  <c r="AA574" i="9"/>
  <c r="AA566" i="9"/>
  <c r="AA558" i="9"/>
  <c r="AA1740" i="9"/>
  <c r="AA1676" i="9"/>
  <c r="AA1612" i="9"/>
  <c r="AA1548" i="9"/>
  <c r="AA1484" i="9"/>
  <c r="AA1420" i="9"/>
  <c r="AA1356" i="9"/>
  <c r="AA1292" i="9"/>
  <c r="AA1228" i="9"/>
  <c r="AA1164" i="9"/>
  <c r="AA1133" i="9"/>
  <c r="AA1117" i="9"/>
  <c r="AA1101" i="9"/>
  <c r="AA1085" i="9"/>
  <c r="AA1069" i="9"/>
  <c r="AA1053" i="9"/>
  <c r="AA1037" i="9"/>
  <c r="AA1021" i="9"/>
  <c r="AA1005" i="9"/>
  <c r="AA990" i="9"/>
  <c r="AA978" i="9"/>
  <c r="AA965" i="9"/>
  <c r="AA953" i="9"/>
  <c r="AA941" i="9"/>
  <c r="AA930" i="9"/>
  <c r="AA920" i="9"/>
  <c r="AA909" i="9"/>
  <c r="AA898" i="9"/>
  <c r="AA888" i="9"/>
  <c r="AA877" i="9"/>
  <c r="AA866" i="9"/>
  <c r="AA856" i="9"/>
  <c r="AA845" i="9"/>
  <c r="AA834" i="9"/>
  <c r="AA824" i="9"/>
  <c r="AA813" i="9"/>
  <c r="AA802" i="9"/>
  <c r="AA792" i="9"/>
  <c r="AA781" i="9"/>
  <c r="AA773" i="9"/>
  <c r="AA765" i="9"/>
  <c r="AA757" i="9"/>
  <c r="AA749" i="9"/>
  <c r="AA741" i="9"/>
  <c r="AA733" i="9"/>
  <c r="AA725" i="9"/>
  <c r="AA717" i="9"/>
  <c r="AA709" i="9"/>
  <c r="AA701" i="9"/>
  <c r="AA693" i="9"/>
  <c r="AA685" i="9"/>
  <c r="AA677" i="9"/>
  <c r="AA669" i="9"/>
  <c r="AA661" i="9"/>
  <c r="AA653" i="9"/>
  <c r="AA645" i="9"/>
  <c r="AA637" i="9"/>
  <c r="AA629" i="9"/>
  <c r="AA621" i="9"/>
  <c r="AA613" i="9"/>
  <c r="AA605" i="9"/>
  <c r="AA597" i="9"/>
  <c r="AA589" i="9"/>
  <c r="AA581" i="9"/>
  <c r="AA573" i="9"/>
  <c r="AA565" i="9"/>
  <c r="AA557" i="9"/>
  <c r="AA549" i="9"/>
  <c r="AA541" i="9"/>
  <c r="AA533" i="9"/>
  <c r="AA525" i="9"/>
  <c r="AA517" i="9"/>
  <c r="AA509" i="9"/>
  <c r="AA501" i="9"/>
  <c r="AA493" i="9"/>
  <c r="AA485" i="9"/>
  <c r="AA477" i="9"/>
  <c r="AA469" i="9"/>
  <c r="AA461" i="9"/>
  <c r="AA1732" i="9"/>
  <c r="AA1668" i="9"/>
  <c r="AA1604" i="9"/>
  <c r="AA1540" i="9"/>
  <c r="AA1476" i="9"/>
  <c r="AA1412" i="9"/>
  <c r="AA1348" i="9"/>
  <c r="AA1284" i="9"/>
  <c r="AA1220" i="9"/>
  <c r="AA1156" i="9"/>
  <c r="AA1132" i="9"/>
  <c r="AA1116" i="9"/>
  <c r="AA1100" i="9"/>
  <c r="AA1084" i="9"/>
  <c r="AA1068" i="9"/>
  <c r="AA1052" i="9"/>
  <c r="AA1036" i="9"/>
  <c r="AA1020" i="9"/>
  <c r="AA1004" i="9"/>
  <c r="AA989" i="9"/>
  <c r="AA977" i="9"/>
  <c r="AA964" i="9"/>
  <c r="AA950" i="9"/>
  <c r="AA940" i="9"/>
  <c r="AA929" i="9"/>
  <c r="AA918" i="9"/>
  <c r="AA908" i="9"/>
  <c r="AA897" i="9"/>
  <c r="AA886" i="9"/>
  <c r="AA876" i="9"/>
  <c r="AA865" i="9"/>
  <c r="AA854" i="9"/>
  <c r="AA844" i="9"/>
  <c r="AA833" i="9"/>
  <c r="AA822" i="9"/>
  <c r="AA812" i="9"/>
  <c r="AA801" i="9"/>
  <c r="AA790" i="9"/>
  <c r="AA780" i="9"/>
  <c r="AA772" i="9"/>
  <c r="AA764" i="9"/>
  <c r="AA756" i="9"/>
  <c r="AA748" i="9"/>
  <c r="AA740" i="9"/>
  <c r="AA732" i="9"/>
  <c r="AA724" i="9"/>
  <c r="AA716" i="9"/>
  <c r="AA708" i="9"/>
  <c r="AA700" i="9"/>
  <c r="AA692" i="9"/>
  <c r="AA684" i="9"/>
  <c r="AA676" i="9"/>
  <c r="AA668" i="9"/>
  <c r="AA660" i="9"/>
  <c r="AA652" i="9"/>
  <c r="AA644" i="9"/>
  <c r="AA636" i="9"/>
  <c r="AA628" i="9"/>
  <c r="AA620" i="9"/>
  <c r="AA612" i="9"/>
  <c r="AA604" i="9"/>
  <c r="AA596" i="9"/>
  <c r="AA588" i="9"/>
  <c r="AA580" i="9"/>
  <c r="AA572" i="9"/>
  <c r="AA564" i="9"/>
  <c r="AA556" i="9"/>
  <c r="AA548" i="9"/>
  <c r="AA540" i="9"/>
  <c r="AA532" i="9"/>
  <c r="AA524" i="9"/>
  <c r="AA516" i="9"/>
  <c r="AA508" i="9"/>
  <c r="AA500" i="9"/>
  <c r="AA492" i="9"/>
  <c r="AA484" i="9"/>
  <c r="AA476" i="9"/>
  <c r="AA468" i="9"/>
  <c r="AA460" i="9"/>
  <c r="AA452" i="9"/>
  <c r="AA444" i="9"/>
  <c r="AA436" i="9"/>
  <c r="AA428" i="9"/>
  <c r="AA420" i="9"/>
  <c r="AA412" i="9"/>
  <c r="AA404" i="9"/>
  <c r="AA396" i="9"/>
  <c r="AA388" i="9"/>
  <c r="AA380" i="9"/>
  <c r="AA372" i="9"/>
  <c r="AA364" i="9"/>
  <c r="AA356" i="9"/>
  <c r="AA348" i="9"/>
  <c r="AA340" i="9"/>
  <c r="AA332" i="9"/>
  <c r="AA324" i="9"/>
  <c r="AA316" i="9"/>
  <c r="AA308" i="9"/>
  <c r="AA300" i="9"/>
  <c r="AA292" i="9"/>
  <c r="AA284" i="9"/>
  <c r="AA276" i="9"/>
  <c r="AA268" i="9"/>
  <c r="AA260" i="9"/>
  <c r="AA252" i="9"/>
  <c r="AA244" i="9"/>
  <c r="AA236" i="9"/>
  <c r="AA228" i="9"/>
  <c r="AA220" i="9"/>
  <c r="AA212" i="9"/>
  <c r="AA204" i="9"/>
  <c r="AA196" i="9"/>
  <c r="AA554" i="9"/>
  <c r="AA522" i="9"/>
  <c r="AA490" i="9"/>
  <c r="AA458" i="9"/>
  <c r="AA438" i="9"/>
  <c r="AA422" i="9"/>
  <c r="AA406" i="9"/>
  <c r="AA390" i="9"/>
  <c r="AA374" i="9"/>
  <c r="AA358" i="9"/>
  <c r="AA342" i="9"/>
  <c r="AA326" i="9"/>
  <c r="AA310" i="9"/>
  <c r="AA294" i="9"/>
  <c r="AA278" i="9"/>
  <c r="AA262" i="9"/>
  <c r="AA246" i="9"/>
  <c r="AA230" i="9"/>
  <c r="AA214" i="9"/>
  <c r="AA198" i="9"/>
  <c r="AA185" i="9"/>
  <c r="AA173" i="9"/>
  <c r="AA162" i="9"/>
  <c r="AA152" i="9"/>
  <c r="AA142" i="9"/>
  <c r="AA116" i="9"/>
  <c r="AA111" i="9"/>
  <c r="AA107" i="9"/>
  <c r="AA103" i="9"/>
  <c r="AA99" i="9"/>
  <c r="AA95" i="9"/>
  <c r="AA91" i="9"/>
  <c r="AA84" i="9"/>
  <c r="AA49" i="9"/>
  <c r="AA45" i="9"/>
  <c r="AA40" i="9"/>
  <c r="AA37" i="9"/>
  <c r="AA28" i="9"/>
  <c r="AA20" i="9"/>
  <c r="AA197" i="9"/>
  <c r="AA150" i="9"/>
  <c r="AA136" i="9"/>
  <c r="AA83" i="9"/>
  <c r="AA75" i="9"/>
  <c r="AA67" i="9"/>
  <c r="AA63" i="9"/>
  <c r="AA55" i="9"/>
  <c r="AA42" i="9"/>
  <c r="AA26" i="9"/>
  <c r="AA550" i="9"/>
  <c r="AA518" i="9"/>
  <c r="AA486" i="9"/>
  <c r="AA454" i="9"/>
  <c r="AA437" i="9"/>
  <c r="AA421" i="9"/>
  <c r="AA405" i="9"/>
  <c r="AA389" i="9"/>
  <c r="AA373" i="9"/>
  <c r="AA357" i="9"/>
  <c r="AA341" i="9"/>
  <c r="AA325" i="9"/>
  <c r="AA309" i="9"/>
  <c r="AA293" i="9"/>
  <c r="AA277" i="9"/>
  <c r="AA261" i="9"/>
  <c r="AA245" i="9"/>
  <c r="AA229" i="9"/>
  <c r="AA213" i="9"/>
  <c r="AA182" i="9"/>
  <c r="AA172" i="9"/>
  <c r="AA161" i="9"/>
  <c r="AA121" i="9"/>
  <c r="AA79" i="9"/>
  <c r="AA71" i="9"/>
  <c r="AA59" i="9"/>
  <c r="AA51" i="9"/>
  <c r="AA34" i="9"/>
  <c r="AA546" i="9"/>
  <c r="AA514" i="9"/>
  <c r="AA482" i="9"/>
  <c r="AA453" i="9"/>
  <c r="AA434" i="9"/>
  <c r="AA418" i="9"/>
  <c r="AA402" i="9"/>
  <c r="AA386" i="9"/>
  <c r="AA370" i="9"/>
  <c r="AA354" i="9"/>
  <c r="AA338" i="9"/>
  <c r="AA322" i="9"/>
  <c r="AA306" i="9"/>
  <c r="AA290" i="9"/>
  <c r="AA274" i="9"/>
  <c r="AA258" i="9"/>
  <c r="AA242" i="9"/>
  <c r="AA226" i="9"/>
  <c r="AA210" i="9"/>
  <c r="AA194" i="9"/>
  <c r="AA181" i="9"/>
  <c r="AA170" i="9"/>
  <c r="AA160" i="9"/>
  <c r="AA149" i="9"/>
  <c r="AA129" i="9"/>
  <c r="AA120" i="9"/>
  <c r="AA115" i="9"/>
  <c r="AA110" i="9"/>
  <c r="AA106" i="9"/>
  <c r="AA102" i="9"/>
  <c r="AA98" i="9"/>
  <c r="AA94" i="9"/>
  <c r="AA90" i="9"/>
  <c r="AA47" i="9"/>
  <c r="AA38" i="9"/>
  <c r="AA27" i="9"/>
  <c r="AA18" i="9"/>
  <c r="AA13" i="9"/>
  <c r="AA9" i="9"/>
  <c r="AA7" i="9"/>
  <c r="AA5" i="9"/>
  <c r="AA62" i="9"/>
  <c r="AA54" i="9"/>
  <c r="AA44" i="9"/>
  <c r="AA17" i="9"/>
  <c r="AA542" i="9"/>
  <c r="AA510" i="9"/>
  <c r="AA478" i="9"/>
  <c r="AA450" i="9"/>
  <c r="AA433" i="9"/>
  <c r="AA417" i="9"/>
  <c r="AA401" i="9"/>
  <c r="AA385" i="9"/>
  <c r="AA369" i="9"/>
  <c r="AA353" i="9"/>
  <c r="AA337" i="9"/>
  <c r="AA321" i="9"/>
  <c r="AA305" i="9"/>
  <c r="AA289" i="9"/>
  <c r="AA273" i="9"/>
  <c r="AA257" i="9"/>
  <c r="AA241" i="9"/>
  <c r="AA225" i="9"/>
  <c r="AA209" i="9"/>
  <c r="AA193" i="9"/>
  <c r="AA180" i="9"/>
  <c r="AA169" i="9"/>
  <c r="AA158" i="9"/>
  <c r="AA148" i="9"/>
  <c r="AA140" i="9"/>
  <c r="AA128" i="9"/>
  <c r="AA114" i="9"/>
  <c r="AA89" i="9"/>
  <c r="AA82" i="9"/>
  <c r="AA78" i="9"/>
  <c r="AA74" i="9"/>
  <c r="AA70" i="9"/>
  <c r="AA66" i="9"/>
  <c r="AA58" i="9"/>
  <c r="AA50" i="9"/>
  <c r="AA32" i="9"/>
  <c r="AA46" i="9"/>
  <c r="AA538" i="9"/>
  <c r="AA506" i="9"/>
  <c r="AA474" i="9"/>
  <c r="AA446" i="9"/>
  <c r="AA430" i="9"/>
  <c r="AA414" i="9"/>
  <c r="AA398" i="9"/>
  <c r="AA382" i="9"/>
  <c r="AA366" i="9"/>
  <c r="AA350" i="9"/>
  <c r="AA334" i="9"/>
  <c r="AA318" i="9"/>
  <c r="AA302" i="9"/>
  <c r="AA286" i="9"/>
  <c r="AA270" i="9"/>
  <c r="AA254" i="9"/>
  <c r="AA238" i="9"/>
  <c r="AA222" i="9"/>
  <c r="AA206" i="9"/>
  <c r="AA190" i="9"/>
  <c r="AA178" i="9"/>
  <c r="AA168" i="9"/>
  <c r="AA157" i="9"/>
  <c r="AA146" i="9"/>
  <c r="AA134" i="9"/>
  <c r="AA126" i="9"/>
  <c r="AA119" i="9"/>
  <c r="AA109" i="9"/>
  <c r="AA105" i="9"/>
  <c r="AA101" i="9"/>
  <c r="AA97" i="9"/>
  <c r="AA93" i="9"/>
  <c r="AA88" i="9"/>
  <c r="AA39" i="9"/>
  <c r="AA35" i="9"/>
  <c r="AA16" i="9"/>
  <c r="AA11" i="9"/>
  <c r="AA2" i="9"/>
  <c r="AA189" i="9"/>
  <c r="AA145" i="9"/>
  <c r="AA133" i="9"/>
  <c r="AA118" i="9"/>
  <c r="AA81" i="9"/>
  <c r="AA77" i="9"/>
  <c r="AA69" i="9"/>
  <c r="AA65" i="9"/>
  <c r="AA57" i="9"/>
  <c r="AA48" i="9"/>
  <c r="AA41" i="9"/>
  <c r="AA534" i="9"/>
  <c r="AA502" i="9"/>
  <c r="AA470" i="9"/>
  <c r="AA445" i="9"/>
  <c r="AA429" i="9"/>
  <c r="AA413" i="9"/>
  <c r="AA397" i="9"/>
  <c r="AA381" i="9"/>
  <c r="AA365" i="9"/>
  <c r="AA349" i="9"/>
  <c r="AA333" i="9"/>
  <c r="AA317" i="9"/>
  <c r="AA301" i="9"/>
  <c r="AA285" i="9"/>
  <c r="AA269" i="9"/>
  <c r="AA253" i="9"/>
  <c r="AA237" i="9"/>
  <c r="AA221" i="9"/>
  <c r="AA205" i="9"/>
  <c r="AA177" i="9"/>
  <c r="AA166" i="9"/>
  <c r="AA156" i="9"/>
  <c r="AA125" i="9"/>
  <c r="AA113" i="9"/>
  <c r="AA87" i="9"/>
  <c r="AA73" i="9"/>
  <c r="AA61" i="9"/>
  <c r="AA53" i="9"/>
  <c r="AA530" i="9"/>
  <c r="AA498" i="9"/>
  <c r="AA466" i="9"/>
  <c r="AA442" i="9"/>
  <c r="AA426" i="9"/>
  <c r="AA410" i="9"/>
  <c r="AA394" i="9"/>
  <c r="AA378" i="9"/>
  <c r="AA362" i="9"/>
  <c r="AA346" i="9"/>
  <c r="AA330" i="9"/>
  <c r="AA314" i="9"/>
  <c r="AA298" i="9"/>
  <c r="AA282" i="9"/>
  <c r="AA266" i="9"/>
  <c r="AA250" i="9"/>
  <c r="AA234" i="9"/>
  <c r="AA218" i="9"/>
  <c r="AA202" i="9"/>
  <c r="AA188" i="9"/>
  <c r="AA176" i="9"/>
  <c r="AA165" i="9"/>
  <c r="AA154" i="9"/>
  <c r="AA144" i="9"/>
  <c r="AA138" i="9"/>
  <c r="AA132" i="9"/>
  <c r="AA124" i="9"/>
  <c r="AA112" i="9"/>
  <c r="AA108" i="9"/>
  <c r="AA104" i="9"/>
  <c r="AA100" i="9"/>
  <c r="AA96" i="9"/>
  <c r="AA92" i="9"/>
  <c r="AA86" i="9"/>
  <c r="AA43" i="9"/>
  <c r="AA36" i="9"/>
  <c r="AA33" i="9"/>
  <c r="AA23" i="9"/>
  <c r="AA8" i="9"/>
  <c r="AA76" i="9"/>
  <c r="AA68" i="9"/>
  <c r="AA60" i="9"/>
  <c r="AA52" i="9"/>
  <c r="AA25" i="9"/>
  <c r="AA22" i="9"/>
  <c r="AA12" i="9"/>
  <c r="AA6" i="9"/>
  <c r="AA31" i="9"/>
  <c r="AA526" i="9"/>
  <c r="AA494" i="9"/>
  <c r="AA462" i="9"/>
  <c r="AA441" i="9"/>
  <c r="AA425" i="9"/>
  <c r="AA409" i="9"/>
  <c r="AA393" i="9"/>
  <c r="AA377" i="9"/>
  <c r="AA361" i="9"/>
  <c r="AA345" i="9"/>
  <c r="AA329" i="9"/>
  <c r="AA313" i="9"/>
  <c r="AA297" i="9"/>
  <c r="AA281" i="9"/>
  <c r="AA265" i="9"/>
  <c r="AA249" i="9"/>
  <c r="AA233" i="9"/>
  <c r="AA217" i="9"/>
  <c r="AA201" i="9"/>
  <c r="AA186" i="9"/>
  <c r="AA174" i="9"/>
  <c r="AA164" i="9"/>
  <c r="AA153" i="9"/>
  <c r="AA131" i="9"/>
  <c r="AA122" i="9"/>
  <c r="AA117" i="9"/>
  <c r="AA85" i="9"/>
  <c r="AA80" i="9"/>
  <c r="AA72" i="9"/>
  <c r="AA64" i="9"/>
  <c r="AA56" i="9"/>
  <c r="AA30" i="9"/>
  <c r="AA21" i="9"/>
  <c r="AA10" i="9"/>
  <c r="AA24" i="9"/>
  <c r="AA19" i="9"/>
  <c r="AA15" i="9"/>
  <c r="AA14" i="9"/>
  <c r="AA29" i="9"/>
  <c r="Y11" i="9" l="1"/>
  <c r="Y133" i="9"/>
  <c r="Y121" i="9"/>
  <c r="O38" i="9" s="1"/>
  <c r="Y117" i="9"/>
  <c r="O34" i="9" s="1"/>
  <c r="Y113" i="9"/>
  <c r="O30" i="9" s="1"/>
  <c r="Y119" i="9"/>
  <c r="O36" i="9" s="1"/>
  <c r="Y115" i="9"/>
  <c r="O32" i="9" s="1"/>
  <c r="Y137" i="9"/>
  <c r="P17" i="9" s="1"/>
  <c r="Y131" i="9"/>
  <c r="O49" i="9" s="1"/>
  <c r="Y122" i="9"/>
  <c r="O39" i="9" s="1"/>
  <c r="Y80" i="9"/>
  <c r="M36" i="9" s="1"/>
  <c r="Y76" i="9"/>
  <c r="M32" i="9" s="1"/>
  <c r="Y72" i="9"/>
  <c r="O20" i="9" s="1"/>
  <c r="Y68" i="9"/>
  <c r="O16" i="9" s="1"/>
  <c r="Y64" i="9"/>
  <c r="N20" i="9" s="1"/>
  <c r="Y60" i="9"/>
  <c r="N16" i="9" s="1"/>
  <c r="Y56" i="9"/>
  <c r="L22" i="9" s="1"/>
  <c r="Y52" i="9"/>
  <c r="L18" i="9" s="1"/>
  <c r="Y30" i="9"/>
  <c r="F13" i="9" s="1"/>
  <c r="Y25" i="9"/>
  <c r="E21" i="9" s="1"/>
  <c r="Y22" i="9"/>
  <c r="E17" i="9" s="1"/>
  <c r="Y21" i="9"/>
  <c r="E16" i="9" s="1"/>
  <c r="Y12" i="9"/>
  <c r="Y10" i="9"/>
  <c r="Y6" i="9"/>
  <c r="E6" i="9" s="1"/>
  <c r="Y116" i="9"/>
  <c r="O33" i="9" s="1"/>
  <c r="Y111" i="9"/>
  <c r="N48" i="9" s="1"/>
  <c r="Y107" i="9"/>
  <c r="N44" i="9" s="1"/>
  <c r="Y99" i="9"/>
  <c r="N36" i="9" s="1"/>
  <c r="Y95" i="9"/>
  <c r="N32" i="9" s="1"/>
  <c r="Y49" i="9"/>
  <c r="L14" i="9" s="1"/>
  <c r="M22" i="9" s="1"/>
  <c r="Y45" i="9"/>
  <c r="L10" i="9" s="1"/>
  <c r="M18" i="9" s="1"/>
  <c r="Y37" i="9"/>
  <c r="F21" i="9" s="1"/>
  <c r="Y28" i="9"/>
  <c r="E24" i="9" s="1"/>
  <c r="Y142" i="9"/>
  <c r="P22" i="9" s="1"/>
  <c r="Y130" i="9"/>
  <c r="O48" i="9" s="1"/>
  <c r="Y103" i="9"/>
  <c r="N40" i="9" s="1"/>
  <c r="Y91" i="9"/>
  <c r="M48" i="9" s="1"/>
  <c r="Y40" i="9"/>
  <c r="F24" i="9" s="1"/>
  <c r="Y141" i="9"/>
  <c r="P21" i="9" s="1"/>
  <c r="Y136" i="9"/>
  <c r="P16" i="9" s="1"/>
  <c r="Y83" i="9"/>
  <c r="M39" i="9" s="1"/>
  <c r="Y79" i="9"/>
  <c r="M35" i="9" s="1"/>
  <c r="Y75" i="9"/>
  <c r="M31" i="9" s="1"/>
  <c r="Y71" i="9"/>
  <c r="O19" i="9" s="1"/>
  <c r="Y67" i="9"/>
  <c r="O15" i="9" s="1"/>
  <c r="Y63" i="9"/>
  <c r="N19" i="9" s="1"/>
  <c r="Y59" i="9"/>
  <c r="N15" i="9" s="1"/>
  <c r="Y55" i="9"/>
  <c r="L21" i="9" s="1"/>
  <c r="Y51" i="9"/>
  <c r="L17" i="9" s="1"/>
  <c r="Y42" i="9"/>
  <c r="L7" i="9" s="1"/>
  <c r="Y34" i="9"/>
  <c r="F17" i="9" s="1"/>
  <c r="Y31" i="9"/>
  <c r="F14" i="9" s="1"/>
  <c r="Y26" i="9"/>
  <c r="E22" i="9" s="1"/>
  <c r="Y19" i="9"/>
  <c r="E14" i="9" s="1"/>
  <c r="Y47" i="9"/>
  <c r="L12" i="9" s="1"/>
  <c r="M20" i="9" s="1"/>
  <c r="Y38" i="9"/>
  <c r="F22" i="9" s="1"/>
  <c r="Y27" i="9"/>
  <c r="E23" i="9" s="1"/>
  <c r="Y13" i="9"/>
  <c r="Y9" i="9"/>
  <c r="Y7" i="9"/>
  <c r="E7" i="9" s="1"/>
  <c r="Y135" i="9"/>
  <c r="P7" i="9" s="1"/>
  <c r="Y120" i="9"/>
  <c r="O37" i="9" s="1"/>
  <c r="Y110" i="9"/>
  <c r="N47" i="9" s="1"/>
  <c r="Y106" i="9"/>
  <c r="N43" i="9" s="1"/>
  <c r="Y102" i="9"/>
  <c r="N39" i="9" s="1"/>
  <c r="Y98" i="9"/>
  <c r="N35" i="9" s="1"/>
  <c r="Y94" i="9"/>
  <c r="N31" i="9" s="1"/>
  <c r="Y18" i="9"/>
  <c r="E13" i="9" s="1"/>
  <c r="Y140" i="9"/>
  <c r="P20" i="9" s="1"/>
  <c r="Y114" i="9"/>
  <c r="O31" i="9" s="1"/>
  <c r="Y82" i="9"/>
  <c r="M38" i="9" s="1"/>
  <c r="Y78" i="9"/>
  <c r="M34" i="9" s="1"/>
  <c r="Y74" i="9"/>
  <c r="M30" i="9" s="1"/>
  <c r="Y70" i="9"/>
  <c r="O18" i="9" s="1"/>
  <c r="Y66" i="9"/>
  <c r="N22" i="9" s="1"/>
  <c r="Y62" i="9"/>
  <c r="N18" i="9" s="1"/>
  <c r="Y58" i="9"/>
  <c r="L26" i="9" s="1"/>
  <c r="Y54" i="9"/>
  <c r="L20" i="9" s="1"/>
  <c r="Y50" i="9"/>
  <c r="L16" i="9" s="1"/>
  <c r="Y44" i="9"/>
  <c r="L9" i="9" s="1"/>
  <c r="M17" i="9" s="1"/>
  <c r="Y32" i="9"/>
  <c r="F15" i="9" s="1"/>
  <c r="Y17" i="9"/>
  <c r="E12" i="9" s="1"/>
  <c r="Y109" i="9"/>
  <c r="N46" i="9" s="1"/>
  <c r="Y105" i="9"/>
  <c r="N42" i="9" s="1"/>
  <c r="Y101" i="9"/>
  <c r="N38" i="9" s="1"/>
  <c r="Y97" i="9"/>
  <c r="N34" i="9" s="1"/>
  <c r="Y93" i="9"/>
  <c r="N30" i="9" s="1"/>
  <c r="Y35" i="9"/>
  <c r="F19" i="9" s="1"/>
  <c r="Y139" i="9"/>
  <c r="P19" i="9" s="1"/>
  <c r="Y39" i="9"/>
  <c r="F23" i="9" s="1"/>
  <c r="Y118" i="9"/>
  <c r="O35" i="9" s="1"/>
  <c r="Y81" i="9"/>
  <c r="M37" i="9" s="1"/>
  <c r="Y77" i="9"/>
  <c r="M33" i="9" s="1"/>
  <c r="Y73" i="9"/>
  <c r="O21" i="9" s="1"/>
  <c r="Y69" i="9"/>
  <c r="O17" i="9" s="1"/>
  <c r="Y65" i="9"/>
  <c r="N21" i="9" s="1"/>
  <c r="Y61" i="9"/>
  <c r="N17" i="9" s="1"/>
  <c r="Y57" i="9"/>
  <c r="L25" i="9" s="1"/>
  <c r="Y53" i="9"/>
  <c r="L19" i="9" s="1"/>
  <c r="Y48" i="9"/>
  <c r="L13" i="9" s="1"/>
  <c r="M21" i="9" s="1"/>
  <c r="Y46" i="9"/>
  <c r="L11" i="9" s="1"/>
  <c r="M19" i="9" s="1"/>
  <c r="Y29" i="9"/>
  <c r="F12" i="9" s="1"/>
  <c r="Y24" i="9"/>
  <c r="E20" i="9" s="1"/>
  <c r="Y15" i="9"/>
  <c r="Y14" i="9"/>
  <c r="Y43" i="9"/>
  <c r="L8" i="9" s="1"/>
  <c r="M16" i="9" s="1"/>
  <c r="Y36" i="9"/>
  <c r="F20" i="9" s="1"/>
  <c r="Y33" i="9"/>
  <c r="F16" i="9" s="1"/>
  <c r="Y23" i="9"/>
  <c r="E19" i="9" s="1"/>
  <c r="Y8" i="9"/>
  <c r="E9" i="9" s="1"/>
  <c r="Y143" i="9"/>
  <c r="Y138" i="9"/>
  <c r="P18" i="9" s="1"/>
  <c r="Y112" i="9"/>
  <c r="N49" i="9" s="1"/>
  <c r="Y108" i="9"/>
  <c r="N45" i="9" s="1"/>
  <c r="Y104" i="9"/>
  <c r="N41" i="9" s="1"/>
  <c r="Y100" i="9"/>
  <c r="N37" i="9" s="1"/>
  <c r="Y96" i="9"/>
  <c r="N33" i="9" s="1"/>
  <c r="Y92" i="9"/>
  <c r="M49" i="9" s="1"/>
  <c r="W2" i="9"/>
  <c r="I37" i="10"/>
  <c r="C38" i="10"/>
  <c r="M15" i="10"/>
  <c r="I17" i="10"/>
  <c r="M20" i="10"/>
  <c r="M17" i="10"/>
  <c r="M27" i="10"/>
  <c r="M21" i="10"/>
  <c r="C24" i="10"/>
  <c r="I25" i="10"/>
  <c r="I21" i="10"/>
  <c r="C16" i="10"/>
  <c r="M38" i="10"/>
  <c r="F8" i="10"/>
  <c r="M26" i="10"/>
  <c r="C10" i="10"/>
  <c r="F40" i="10"/>
  <c r="M12" i="10"/>
  <c r="M37" i="10"/>
  <c r="I29" i="10"/>
  <c r="M34" i="10"/>
  <c r="C20" i="10"/>
  <c r="M30" i="10"/>
  <c r="C39" i="10"/>
  <c r="C12" i="10"/>
  <c r="M25" i="10"/>
  <c r="M16" i="10"/>
  <c r="M28" i="10"/>
  <c r="M13" i="10"/>
  <c r="M7" i="10"/>
  <c r="M14" i="10"/>
  <c r="C18" i="10"/>
  <c r="M8" i="10"/>
  <c r="M9" i="10"/>
  <c r="M35" i="10"/>
  <c r="F5" i="10"/>
  <c r="M19" i="10"/>
  <c r="M32" i="10"/>
  <c r="M22" i="10"/>
  <c r="M33" i="10"/>
  <c r="M36" i="10"/>
  <c r="M29" i="10"/>
  <c r="C14" i="10"/>
  <c r="I33" i="10"/>
  <c r="M18" i="10"/>
  <c r="M23" i="10"/>
  <c r="M24" i="10"/>
  <c r="I13" i="10"/>
  <c r="M31" i="10"/>
  <c r="L23" i="9" l="1"/>
  <c r="F18" i="9"/>
  <c r="N26" i="9"/>
  <c r="P15" i="9"/>
  <c r="N50" i="9"/>
  <c r="O25" i="9"/>
  <c r="N24" i="9"/>
  <c r="N27" i="9" s="1"/>
  <c r="N23" i="9"/>
  <c r="E25" i="9"/>
  <c r="O24" i="9"/>
  <c r="O23" i="9"/>
  <c r="O50" i="9"/>
  <c r="E31" i="9" s="1"/>
  <c r="M23" i="9"/>
  <c r="E18" i="9"/>
  <c r="L15" i="9"/>
  <c r="L24" i="9"/>
  <c r="M50" i="9"/>
  <c r="F25" i="9"/>
  <c r="F26" i="9" s="1"/>
  <c r="E30" i="9" s="1"/>
  <c r="P23" i="9"/>
  <c r="E8" i="9"/>
  <c r="F21" i="10"/>
  <c r="C22" i="10"/>
  <c r="O37" i="10"/>
  <c r="C26" i="10"/>
  <c r="C40" i="10"/>
  <c r="I8" i="10"/>
  <c r="M10" i="10"/>
  <c r="P5" i="10"/>
  <c r="P11" i="10"/>
  <c r="M24" i="9" l="1"/>
  <c r="M27" i="9" s="1"/>
  <c r="P24" i="9"/>
  <c r="P27" i="9" s="1"/>
  <c r="O27" i="9"/>
  <c r="L27" i="9"/>
  <c r="B39" i="9" s="1"/>
  <c r="B42" i="9"/>
  <c r="B36" i="9"/>
  <c r="B37" i="9"/>
  <c r="E26" i="9"/>
  <c r="E29" i="9" s="1"/>
  <c r="E32" i="9" s="1"/>
  <c r="P40" i="10"/>
  <c r="B40" i="9" l="1"/>
  <c r="B38" i="9"/>
  <c r="B41" i="9"/>
</calcChain>
</file>

<file path=xl/sharedStrings.xml><?xml version="1.0" encoding="utf-8"?>
<sst xmlns="http://schemas.openxmlformats.org/spreadsheetml/2006/main" count="9222" uniqueCount="807">
  <si>
    <t>ごみ処理の概要（令和3年度実績）</t>
  </si>
  <si>
    <t>都道府県名</t>
    <phoneticPr fontId="7"/>
  </si>
  <si>
    <t>地方公共団体コード</t>
    <phoneticPr fontId="7"/>
  </si>
  <si>
    <t>市区町村名</t>
    <phoneticPr fontId="7"/>
  </si>
  <si>
    <t>総人口</t>
    <phoneticPr fontId="7"/>
  </si>
  <si>
    <t>総人口</t>
    <phoneticPr fontId="7"/>
  </si>
  <si>
    <t>外国人人口</t>
    <phoneticPr fontId="7"/>
  </si>
  <si>
    <t>ごみ総排出量(計画収集量+直接搬入量+集団回収量)</t>
  </si>
  <si>
    <t>１人１日当たりの排出量</t>
    <phoneticPr fontId="7"/>
  </si>
  <si>
    <t>自家処理量</t>
    <phoneticPr fontId="7"/>
  </si>
  <si>
    <t>ごみ処理量(直接焼却量+直接最終処分量+焼却以外の中間処理量+直接資源化量)</t>
  </si>
  <si>
    <t>減量処理率(直接資源化量+直接焼却量+焼却以外の中間処理量)/ごみ処理量*100</t>
    <phoneticPr fontId="7"/>
  </si>
  <si>
    <t>中間処理後再生利用量(焼却施設＋粗大ごみ処理施設+ごみ堆肥化施設+ごみ飼料化施設+メタン化施設+ごみ燃料化施設+その他の資源化等を行う施設+その他の施設)</t>
    <phoneticPr fontId="7"/>
  </si>
  <si>
    <t>中間処理後再生利用量(焼却施設＋粗大ごみ処理施設+ごみ堆肥化施設+ごみ飼料化施設+メタン化施設+ごみ燃料化施設+その他の資源化等を行う施設+その他の施設)</t>
  </si>
  <si>
    <t>リサイクル率Ｒ(直接資源化量+中間処理後再生利用量+集団回収量)/(ごみ処理量+集団回収量)*100</t>
  </si>
  <si>
    <t>リサイクル率Ｒ’(直接資源化量+中間処理後再生利用量〔固形燃料、焼却灰・飛灰のｾﾒﾝﾄ原料化、セメント等への直接投入、飛灰の山元還元を除く〕+集団回収量)/(ごみ処理量+集団回収量)*100</t>
  </si>
  <si>
    <t>最終処分量(直接最終処分量+焼却残渣量+処理残渣量)</t>
  </si>
  <si>
    <t>合計</t>
    <rPh sb="0" eb="2">
      <t>ゴウケイ</t>
    </rPh>
    <phoneticPr fontId="7"/>
  </si>
  <si>
    <t>計画収集人口</t>
    <phoneticPr fontId="7"/>
  </si>
  <si>
    <t>自家処理人口</t>
    <phoneticPr fontId="7"/>
  </si>
  <si>
    <t>計画収集量</t>
    <phoneticPr fontId="7"/>
  </si>
  <si>
    <t>直接搬入量</t>
    <phoneticPr fontId="7"/>
  </si>
  <si>
    <t>集団回収量</t>
    <phoneticPr fontId="7"/>
  </si>
  <si>
    <t>合計</t>
    <phoneticPr fontId="7"/>
  </si>
  <si>
    <t>合計(ごみ総排出量)*10^6/総人口/365</t>
    <phoneticPr fontId="7"/>
  </si>
  <si>
    <t>生活系ごみ(生活系ごみ搬入量+集団回収量)*10^6/総人口/365</t>
    <phoneticPr fontId="7"/>
  </si>
  <si>
    <t>事業系ごみ(事業系ごみ搬入量)*10^6/総人口/365</t>
    <phoneticPr fontId="7"/>
  </si>
  <si>
    <t>直接焼却量</t>
    <phoneticPr fontId="7"/>
  </si>
  <si>
    <t>直接最終処分量</t>
    <phoneticPr fontId="7"/>
  </si>
  <si>
    <t>焼却以外の中間処理量(粗大ごみ処理施設+ごみ堆肥化施設+ごみ飼料化施設+メタン化施設+ごみ燃料化施設+その他の資源化等を行う施設+その他の施設)</t>
    <phoneticPr fontId="7"/>
  </si>
  <si>
    <t>焼却以外の中間処理量(粗大ごみ処理施設+ごみ堆肥化施設+ごみ飼料化施設+メタン化施設+ごみ燃料化施設+その他の資源化等を行う施設+その他の施設)</t>
    <phoneticPr fontId="7"/>
  </si>
  <si>
    <t>直接資源化量</t>
    <phoneticPr fontId="7"/>
  </si>
  <si>
    <t>合計</t>
    <phoneticPr fontId="7"/>
  </si>
  <si>
    <t>焼却施設</t>
    <phoneticPr fontId="7"/>
  </si>
  <si>
    <t>粗大ごみ処理施設</t>
    <phoneticPr fontId="7"/>
  </si>
  <si>
    <t>ごみ堆肥化施設</t>
    <phoneticPr fontId="7"/>
  </si>
  <si>
    <t>ごみ飼料化施設</t>
    <phoneticPr fontId="7"/>
  </si>
  <si>
    <t>メタン化施設</t>
    <phoneticPr fontId="7"/>
  </si>
  <si>
    <t>ごみ燃料化施設</t>
    <phoneticPr fontId="7"/>
  </si>
  <si>
    <t>その他の資源化等を行う施設</t>
    <phoneticPr fontId="7"/>
  </si>
  <si>
    <t>合計</t>
    <phoneticPr fontId="7"/>
  </si>
  <si>
    <t>焼却残渣量</t>
    <phoneticPr fontId="7"/>
  </si>
  <si>
    <t>処理残渣量</t>
    <phoneticPr fontId="7"/>
  </si>
  <si>
    <t>粗大ごみ処理施設</t>
    <phoneticPr fontId="7"/>
  </si>
  <si>
    <t>資源化等を行う施設</t>
    <phoneticPr fontId="7"/>
  </si>
  <si>
    <t>ごみ堆肥化施設</t>
    <phoneticPr fontId="7"/>
  </si>
  <si>
    <t>その他の施設</t>
    <phoneticPr fontId="7"/>
  </si>
  <si>
    <t>人</t>
    <phoneticPr fontId="7"/>
  </si>
  <si>
    <t>人</t>
    <phoneticPr fontId="7"/>
  </si>
  <si>
    <t>人</t>
    <phoneticPr fontId="7"/>
  </si>
  <si>
    <t>ｔ</t>
    <phoneticPr fontId="7"/>
  </si>
  <si>
    <t>ｔ</t>
    <phoneticPr fontId="7"/>
  </si>
  <si>
    <t>g/人日</t>
    <phoneticPr fontId="7"/>
  </si>
  <si>
    <t>g/人日</t>
    <phoneticPr fontId="7"/>
  </si>
  <si>
    <t>ｔ</t>
    <phoneticPr fontId="7"/>
  </si>
  <si>
    <t>％</t>
    <phoneticPr fontId="7"/>
  </si>
  <si>
    <t>ｔ</t>
    <phoneticPr fontId="7"/>
  </si>
  <si>
    <t>北海道</t>
  </si>
  <si>
    <t>01000</t>
  </si>
  <si>
    <t>合計</t>
  </si>
  <si>
    <t>青森県</t>
  </si>
  <si>
    <t>02000</t>
  </si>
  <si>
    <t>岩手県</t>
  </si>
  <si>
    <t>03000</t>
  </si>
  <si>
    <t>宮城県</t>
  </si>
  <si>
    <t>04000</t>
  </si>
  <si>
    <t>秋田県</t>
  </si>
  <si>
    <t>05000</t>
  </si>
  <si>
    <t>山形県</t>
  </si>
  <si>
    <t>06000</t>
  </si>
  <si>
    <t>福島県</t>
  </si>
  <si>
    <t>07000</t>
  </si>
  <si>
    <t>茨城県</t>
  </si>
  <si>
    <t>08000</t>
  </si>
  <si>
    <t>栃木県</t>
  </si>
  <si>
    <t>09000</t>
  </si>
  <si>
    <t>群馬県</t>
  </si>
  <si>
    <t>10000</t>
  </si>
  <si>
    <t>埼玉県</t>
  </si>
  <si>
    <t>11000</t>
  </si>
  <si>
    <t>千葉県</t>
  </si>
  <si>
    <t>12000</t>
  </si>
  <si>
    <t>東京都</t>
  </si>
  <si>
    <t>13000</t>
  </si>
  <si>
    <t>神奈川県</t>
  </si>
  <si>
    <t>14000</t>
  </si>
  <si>
    <t>新潟県</t>
  </si>
  <si>
    <t>15000</t>
  </si>
  <si>
    <t>富山県</t>
  </si>
  <si>
    <t>16000</t>
  </si>
  <si>
    <t>石川県</t>
  </si>
  <si>
    <t>17000</t>
  </si>
  <si>
    <t>福井県</t>
  </si>
  <si>
    <t>18000</t>
  </si>
  <si>
    <t>山梨県</t>
  </si>
  <si>
    <t>19000</t>
  </si>
  <si>
    <t>長野県</t>
  </si>
  <si>
    <t>20000</t>
  </si>
  <si>
    <t>岐阜県</t>
  </si>
  <si>
    <t>21000</t>
  </si>
  <si>
    <t>静岡県</t>
  </si>
  <si>
    <t>22000</t>
  </si>
  <si>
    <t>愛知県</t>
  </si>
  <si>
    <t>23000</t>
  </si>
  <si>
    <t>三重県</t>
  </si>
  <si>
    <t>24000</t>
  </si>
  <si>
    <t>滋賀県</t>
  </si>
  <si>
    <t>25000</t>
  </si>
  <si>
    <t>京都府</t>
  </si>
  <si>
    <t>26000</t>
  </si>
  <si>
    <t>大阪府</t>
  </si>
  <si>
    <t>27000</t>
  </si>
  <si>
    <t>兵庫県</t>
  </si>
  <si>
    <t>28000</t>
  </si>
  <si>
    <t>奈良県</t>
  </si>
  <si>
    <t>29000</t>
  </si>
  <si>
    <t>和歌山県</t>
  </si>
  <si>
    <t>30000</t>
  </si>
  <si>
    <t>鳥取県</t>
  </si>
  <si>
    <t>31000</t>
  </si>
  <si>
    <t>島根県</t>
  </si>
  <si>
    <t>32000</t>
  </si>
  <si>
    <t>岡山県</t>
  </si>
  <si>
    <t>33000</t>
  </si>
  <si>
    <t>広島県</t>
  </si>
  <si>
    <t>34000</t>
  </si>
  <si>
    <t>山口県</t>
  </si>
  <si>
    <t>35000</t>
  </si>
  <si>
    <t>徳島県</t>
  </si>
  <si>
    <t>36000</t>
  </si>
  <si>
    <t>香川県</t>
  </si>
  <si>
    <t>37000</t>
  </si>
  <si>
    <t>愛媛県</t>
  </si>
  <si>
    <t>38000</t>
  </si>
  <si>
    <t>高知県</t>
  </si>
  <si>
    <t>39000</t>
  </si>
  <si>
    <t>福岡県</t>
  </si>
  <si>
    <t>40000</t>
  </si>
  <si>
    <t>佐賀県</t>
  </si>
  <si>
    <t>41000</t>
  </si>
  <si>
    <t>長崎県</t>
  </si>
  <si>
    <t>42000</t>
  </si>
  <si>
    <t>熊本県</t>
  </si>
  <si>
    <t>43000</t>
  </si>
  <si>
    <t>大分県</t>
  </si>
  <si>
    <t>44000</t>
  </si>
  <si>
    <t>宮崎県</t>
  </si>
  <si>
    <t>45000</t>
  </si>
  <si>
    <t>鹿児島県</t>
  </si>
  <si>
    <t>46000</t>
  </si>
  <si>
    <t>沖縄県</t>
  </si>
  <si>
    <t>47000</t>
  </si>
  <si>
    <t>全国</t>
  </si>
  <si>
    <t>48000</t>
  </si>
  <si>
    <t>ごみ搬入量の状況（令和3年度実績）</t>
  </si>
  <si>
    <t>市区町村名</t>
    <phoneticPr fontId="7"/>
  </si>
  <si>
    <t>ごみ搬入量(生活系ごみ収集量+事業系ごみ収集量+直接搬入量)</t>
  </si>
  <si>
    <t>生活系ごみ搬入量</t>
    <phoneticPr fontId="7"/>
  </si>
  <si>
    <t>生活系ごみ搬入量</t>
    <phoneticPr fontId="7"/>
  </si>
  <si>
    <t>事業系ごみ搬入量</t>
    <phoneticPr fontId="7"/>
  </si>
  <si>
    <t>事業系ごみ搬入量</t>
    <phoneticPr fontId="7"/>
  </si>
  <si>
    <t>家電４品目収集量(直営+委託+許可+直接搬入)</t>
    <phoneticPr fontId="7"/>
  </si>
  <si>
    <t>生活系ごみ収集量(混合ごみ+可燃ごみ+不燃ごみ+資源ごみ+その他+粗大ごみ)</t>
  </si>
  <si>
    <t>事業系ごみ収集量(混合ごみ+可燃ごみ+不燃ごみ+資源ごみ+その他+粗大ごみ)</t>
  </si>
  <si>
    <t>直接搬入量</t>
    <phoneticPr fontId="7"/>
  </si>
  <si>
    <t>生活系ごみ収集量＋直接搬入量</t>
    <phoneticPr fontId="7"/>
  </si>
  <si>
    <t>生活系ごみ収集量＋直接搬入量</t>
    <phoneticPr fontId="7"/>
  </si>
  <si>
    <t>事業系ごみ収集量＋直接搬入量</t>
    <phoneticPr fontId="7"/>
  </si>
  <si>
    <t>事業系ごみ収集量＋直接搬入量</t>
    <phoneticPr fontId="7"/>
  </si>
  <si>
    <t>直営</t>
    <phoneticPr fontId="7"/>
  </si>
  <si>
    <t>委託</t>
    <phoneticPr fontId="7"/>
  </si>
  <si>
    <t>許可</t>
    <phoneticPr fontId="7"/>
  </si>
  <si>
    <t>直接搬入</t>
    <phoneticPr fontId="7"/>
  </si>
  <si>
    <t>混合ごみ(直営+委託+許可)</t>
  </si>
  <si>
    <t>可燃ごみ(直営+委託+許可)</t>
    <phoneticPr fontId="7"/>
  </si>
  <si>
    <t>可燃ごみ(直営+委託+許可)</t>
  </si>
  <si>
    <t>不燃ごみ(直営+委託+許可)</t>
  </si>
  <si>
    <t>資源ごみ(直営+委託+許可)</t>
  </si>
  <si>
    <t>その他のごみ(直営+委託+許可)</t>
  </si>
  <si>
    <t>粗大ごみ(直営+委託+許可)</t>
  </si>
  <si>
    <t>直接搬入量（生活系ごみ）</t>
    <phoneticPr fontId="7"/>
  </si>
  <si>
    <t>直接搬入量（事業系ごみ）</t>
    <phoneticPr fontId="7"/>
  </si>
  <si>
    <t>混合ごみ</t>
    <phoneticPr fontId="7"/>
  </si>
  <si>
    <t>可燃ごみ</t>
    <phoneticPr fontId="7"/>
  </si>
  <si>
    <t>不燃ごみ</t>
    <phoneticPr fontId="7"/>
  </si>
  <si>
    <t>資源ごみ</t>
    <phoneticPr fontId="7"/>
  </si>
  <si>
    <t>その他のごみ</t>
    <phoneticPr fontId="7"/>
  </si>
  <si>
    <t>粗大ごみ</t>
    <phoneticPr fontId="7"/>
  </si>
  <si>
    <t>直接搬入量(混合ごみ+可燃ごみ+不燃ごみ+資源ごみ+その他+粗大ごみ)</t>
    <phoneticPr fontId="7"/>
  </si>
  <si>
    <t>直接搬入量(混合ごみ+可燃ごみ+不燃ごみ+資源ごみ+その他+粗大ごみ)</t>
    <phoneticPr fontId="7"/>
  </si>
  <si>
    <t>不燃ごみ</t>
    <phoneticPr fontId="7"/>
  </si>
  <si>
    <t>粗大ごみ</t>
    <phoneticPr fontId="7"/>
  </si>
  <si>
    <t>委託</t>
    <phoneticPr fontId="7"/>
  </si>
  <si>
    <t>直営</t>
    <phoneticPr fontId="7"/>
  </si>
  <si>
    <t>その他のごみ</t>
    <phoneticPr fontId="7"/>
  </si>
  <si>
    <t>処理施設別ごみ搬入量の状況（令和3年度実績）</t>
  </si>
  <si>
    <t>処理施設別のごみ搬入量(処理施設+直接資源化+直接埋立)</t>
    <phoneticPr fontId="7"/>
  </si>
  <si>
    <t>処理施設別のごみ搬入量(処理施設+直接資源化+直接埋立)</t>
    <phoneticPr fontId="7"/>
  </si>
  <si>
    <t>処理施設別のごみ搬入量(処理施設+直接資源化+直接埋立)</t>
    <phoneticPr fontId="7"/>
  </si>
  <si>
    <t>処理施設別のごみ搬入量(処理施設+直接資源化+直接埋立)</t>
    <phoneticPr fontId="7"/>
  </si>
  <si>
    <t>処理施設別のごみ搬入量(処理施設+直接資源化+直接埋立)</t>
    <phoneticPr fontId="7"/>
  </si>
  <si>
    <t>焼却施設（収集ごみ＋直接搬入ごみ）</t>
    <phoneticPr fontId="7"/>
  </si>
  <si>
    <t>焼却施設（収集ごみ＋直接搬入ごみ）</t>
    <phoneticPr fontId="7"/>
  </si>
  <si>
    <t>粗大ごみ処理施設（収集ごみ＋直接搬入ごみ）</t>
    <phoneticPr fontId="7"/>
  </si>
  <si>
    <t>粗大ごみ処理施設（収集ごみ＋直接搬入ごみ）</t>
    <phoneticPr fontId="7"/>
  </si>
  <si>
    <t>粗大ごみ処理施設（収集ごみ＋直接搬入ごみ）</t>
    <phoneticPr fontId="7"/>
  </si>
  <si>
    <t>粗大ごみ処理施設（収集ごみ＋直接搬入ごみ）</t>
    <phoneticPr fontId="7"/>
  </si>
  <si>
    <t>ごみ堆肥化施設（収集ごみ＋直接搬入ごみ）</t>
    <phoneticPr fontId="7"/>
  </si>
  <si>
    <t>ごみ堆肥化施設（収集ごみ＋直接搬入ごみ）</t>
    <phoneticPr fontId="7"/>
  </si>
  <si>
    <t>ごみ飼料化施設（収集ごみ＋直接搬入ごみ）</t>
    <phoneticPr fontId="7"/>
  </si>
  <si>
    <t>ごみ飼料化施設（収集ごみ＋直接搬入ごみ）</t>
    <phoneticPr fontId="7"/>
  </si>
  <si>
    <t>ごみ飼料化施設（収集ごみ＋直接搬入ごみ）</t>
    <phoneticPr fontId="7"/>
  </si>
  <si>
    <t>メタン化施設（収集ごみ＋直接搬入ごみ）</t>
    <phoneticPr fontId="7"/>
  </si>
  <si>
    <t>メタン化施設（収集ごみ＋直接搬入ごみ）</t>
    <phoneticPr fontId="7"/>
  </si>
  <si>
    <t>メタン化施設（収集ごみ＋直接搬入ごみ）</t>
    <phoneticPr fontId="7"/>
  </si>
  <si>
    <t>ごみ燃料化施設（収集ごみ＋直接搬入ごみ）</t>
    <phoneticPr fontId="7"/>
  </si>
  <si>
    <t>ごみ燃料化施設（収集ごみ＋直接搬入ごみ）</t>
    <phoneticPr fontId="7"/>
  </si>
  <si>
    <t>その他の資源化等を行う施設（収集ごみ＋直接搬入ごみ）＋セメント等への直接投入（収集ごみ＋直接搬入ごみ）</t>
  </si>
  <si>
    <t>その他の施設（収集ごみ＋直接搬入ごみ）</t>
    <phoneticPr fontId="7"/>
  </si>
  <si>
    <t>直接資源化（収集ごみ＋直接搬入ごみ）</t>
    <phoneticPr fontId="7"/>
  </si>
  <si>
    <t>直接埋立（収集ごみ＋直接搬入ごみ）</t>
    <phoneticPr fontId="7"/>
  </si>
  <si>
    <t>直接埋立（収集ごみ＋直接搬入ごみ）</t>
    <phoneticPr fontId="7"/>
  </si>
  <si>
    <t>直接埋立（収集ごみ＋直接搬入ごみ）</t>
    <phoneticPr fontId="7"/>
  </si>
  <si>
    <t>収集ごみ(混合ごみ+可燃ごみ+不燃ごみ+資源ごみ+その他+粗大ごみ)</t>
    <phoneticPr fontId="7"/>
  </si>
  <si>
    <t>収集ごみ(混合ごみ+可燃ごみ+不燃ごみ+資源ごみ+その他+粗大ごみ)</t>
  </si>
  <si>
    <t>直接搬入ごみ(混合ごみ+可燃ごみ+不燃ごみ+資源ごみ+その他+粗大ごみ)</t>
  </si>
  <si>
    <t>合計</t>
    <phoneticPr fontId="7"/>
  </si>
  <si>
    <t>収集ごみ</t>
    <phoneticPr fontId="7"/>
  </si>
  <si>
    <t>収集ごみ</t>
    <phoneticPr fontId="7"/>
  </si>
  <si>
    <t>直接搬入ごみ</t>
    <phoneticPr fontId="7"/>
  </si>
  <si>
    <t>直接搬入ごみ</t>
    <phoneticPr fontId="7"/>
  </si>
  <si>
    <t>その他</t>
    <phoneticPr fontId="7"/>
  </si>
  <si>
    <t>粗大ごみ</t>
    <phoneticPr fontId="7"/>
  </si>
  <si>
    <t>不燃ごみ</t>
    <phoneticPr fontId="7"/>
  </si>
  <si>
    <t>混合ごみ</t>
    <phoneticPr fontId="7"/>
  </si>
  <si>
    <t>混合ごみ</t>
    <phoneticPr fontId="7"/>
  </si>
  <si>
    <t>合計</t>
    <phoneticPr fontId="7"/>
  </si>
  <si>
    <t>資源ごみ</t>
    <phoneticPr fontId="7"/>
  </si>
  <si>
    <t>可燃ごみ</t>
    <phoneticPr fontId="7"/>
  </si>
  <si>
    <t>合計</t>
    <phoneticPr fontId="7"/>
  </si>
  <si>
    <t>可燃ごみ</t>
    <phoneticPr fontId="7"/>
  </si>
  <si>
    <t>ｔ</t>
    <phoneticPr fontId="7"/>
  </si>
  <si>
    <t>ｔ</t>
    <phoneticPr fontId="7"/>
  </si>
  <si>
    <t>ごみ処理の状況（令和3年度実績）</t>
    <phoneticPr fontId="7"/>
  </si>
  <si>
    <t>処理量（直接焼却量+焼却以外の中間処理量+直接最終処分量+直接資源化量)</t>
    <phoneticPr fontId="7"/>
  </si>
  <si>
    <t>焼却処理量(直接焼却量+焼却施設以外の中間処理施設からの搬入量)</t>
  </si>
  <si>
    <t>最終処分量(直接最終処分量+焼却残渣量+焼却施設以外の中間処理施設からの残渣量)</t>
  </si>
  <si>
    <t>処理残渣保管量</t>
    <phoneticPr fontId="7"/>
  </si>
  <si>
    <t>焼却施設以外の中間処理施設からの搬入量</t>
    <phoneticPr fontId="7"/>
  </si>
  <si>
    <t>焼却施設以外の中間処理施設からの残渣量</t>
    <phoneticPr fontId="7"/>
  </si>
  <si>
    <t>焼却処理残渣の保管量</t>
    <phoneticPr fontId="7"/>
  </si>
  <si>
    <t>ごみ資源化の状況（令和3年度実績）</t>
  </si>
  <si>
    <t>資源化量(直接資源化量+中間処理後再生利用量+集団回収量)</t>
  </si>
  <si>
    <t>直接資源化量(紙類+金属類+ガラス類+ペットボトル+容器包装プラスチック+プラスチック類+布類+廃食用油+その他)</t>
  </si>
  <si>
    <t>中間処理後再生利用量(紙類+金属類+ガラス類+ペットボトル+容器包装プラスチック+プラスチック類+布類+肥料+飼料+溶融スラグ+固形燃料+燃料+焼却灰・飛灰+セメント直接投入+廃食用油+その他)</t>
  </si>
  <si>
    <t>集団回収量(紙類+金属類+ガラス類+ペットボトル+容器包装プラスチック+プラスチック類+布類+廃食用油+その他)</t>
  </si>
  <si>
    <t>最終処分場の有無</t>
    <phoneticPr fontId="7"/>
  </si>
  <si>
    <t>紙類(02、03を除く)</t>
    <phoneticPr fontId="7"/>
  </si>
  <si>
    <t>紙パック</t>
    <phoneticPr fontId="7"/>
  </si>
  <si>
    <t>紙製容器包装</t>
    <phoneticPr fontId="7"/>
  </si>
  <si>
    <t>金属類</t>
    <phoneticPr fontId="7"/>
  </si>
  <si>
    <t>ガラス類</t>
    <phoneticPr fontId="7"/>
  </si>
  <si>
    <t>ペットボトル</t>
    <phoneticPr fontId="7"/>
  </si>
  <si>
    <t>白色トレイ</t>
    <phoneticPr fontId="7"/>
  </si>
  <si>
    <t>容器包装プラスチック(07を除く)</t>
    <phoneticPr fontId="7"/>
  </si>
  <si>
    <t>プラスチック類(07,08を除く)</t>
    <phoneticPr fontId="7"/>
  </si>
  <si>
    <t>布類</t>
    <phoneticPr fontId="7"/>
  </si>
  <si>
    <t>肥料</t>
    <phoneticPr fontId="7"/>
  </si>
  <si>
    <t>飼料</t>
    <phoneticPr fontId="7"/>
  </si>
  <si>
    <t>溶融スラグ</t>
    <phoneticPr fontId="7"/>
  </si>
  <si>
    <t>固形燃料（RDF,RPF）</t>
    <phoneticPr fontId="7"/>
  </si>
  <si>
    <t>燃料（14を除く）</t>
    <phoneticPr fontId="7"/>
  </si>
  <si>
    <t>焼却灰・飛灰のセメント原料化</t>
    <phoneticPr fontId="7"/>
  </si>
  <si>
    <t>セメント等への直接投入</t>
    <phoneticPr fontId="7"/>
  </si>
  <si>
    <t>飛灰の山元還元</t>
    <phoneticPr fontId="7"/>
  </si>
  <si>
    <t>廃食用油（BDF)</t>
    <phoneticPr fontId="7"/>
  </si>
  <si>
    <t>-</t>
  </si>
  <si>
    <t>中間処理後の再生利用量の状況（令和3年度実績）</t>
  </si>
  <si>
    <t>都道府県名</t>
    <phoneticPr fontId="7"/>
  </si>
  <si>
    <t>地方公共団体コード</t>
    <phoneticPr fontId="7"/>
  </si>
  <si>
    <t>市区町村名</t>
    <phoneticPr fontId="7"/>
  </si>
  <si>
    <t>中間処理後再生利用量(紙類+金属類+ガラス類+ペットボトル+容器包装プラスチック+プラスチック類+布類+肥料+飼料+溶融スラグ+固形燃料+燃料+焼却灰・飛灰+セメント直接投入+廃食用油+その他)</t>
    <phoneticPr fontId="7"/>
  </si>
  <si>
    <t>合計</t>
    <phoneticPr fontId="7"/>
  </si>
  <si>
    <t>紙類(02、03を除く)</t>
    <phoneticPr fontId="7"/>
  </si>
  <si>
    <t>紙パック</t>
    <phoneticPr fontId="7"/>
  </si>
  <si>
    <t>紙製容器包装</t>
    <phoneticPr fontId="7"/>
  </si>
  <si>
    <t>金属類</t>
    <phoneticPr fontId="7"/>
  </si>
  <si>
    <t>ガラス類</t>
    <phoneticPr fontId="7"/>
  </si>
  <si>
    <t>ペットボトル</t>
    <phoneticPr fontId="7"/>
  </si>
  <si>
    <t>白色トレイ</t>
    <phoneticPr fontId="7"/>
  </si>
  <si>
    <t>容器包装プラスチック（07を除く）</t>
    <phoneticPr fontId="7"/>
  </si>
  <si>
    <t>プラスチック類（07,08を除く）</t>
    <phoneticPr fontId="7"/>
  </si>
  <si>
    <t>布類</t>
    <phoneticPr fontId="7"/>
  </si>
  <si>
    <t>肥料</t>
    <phoneticPr fontId="7"/>
  </si>
  <si>
    <t>飼料</t>
    <phoneticPr fontId="7"/>
  </si>
  <si>
    <t>溶融スラグ</t>
    <phoneticPr fontId="7"/>
  </si>
  <si>
    <t>固形燃料（RDF,RPF）</t>
    <phoneticPr fontId="7"/>
  </si>
  <si>
    <t>燃料（14を除く）</t>
    <phoneticPr fontId="7"/>
  </si>
  <si>
    <t>焼却灰・飛灰のセメント原料化</t>
    <phoneticPr fontId="7"/>
  </si>
  <si>
    <t>セメント等への直接投入</t>
    <phoneticPr fontId="7"/>
  </si>
  <si>
    <t>飛灰の山元還元</t>
    <phoneticPr fontId="7"/>
  </si>
  <si>
    <t>廃食用油（BDF)</t>
    <phoneticPr fontId="7"/>
  </si>
  <si>
    <t>その他</t>
    <phoneticPr fontId="7"/>
  </si>
  <si>
    <t>焼却施設処理に伴う資源化量(紙類+金属類+ガラス類+ペットボトル+容器包装プラスチック+プラスチック類+布類+溶融スラグ+焼却灰・飛灰+その他)</t>
    <phoneticPr fontId="7"/>
  </si>
  <si>
    <t>粗大ごみ処理施設処理に伴う資源化量(紙類+金属類+ガラス類+ペットボトル+容器包装プラスチック+プラスチック類+布類+その他)</t>
    <phoneticPr fontId="7"/>
  </si>
  <si>
    <t>ごみ堆肥化施設処理に伴う資源化量(紙類+金属類+ガラス類+ペットボトル+容器包装プラスチック+プラスチック類+布類+肥料+飼料+その他)</t>
    <phoneticPr fontId="7"/>
  </si>
  <si>
    <t>ごみ飼料化施設処理に伴う資源化量(紙類+金属類+ガラス類+ペットボトル+容器包装プラスチック+プラスチック類+布類+肥料+飼料+その他)</t>
  </si>
  <si>
    <t>メタン化施設処理に伴う資源化量(紙類+金属類+ガラス類+プラスチック+容器包装プラスチック+プラスチック類+布類+肥料+飼料+燃料+その他)</t>
  </si>
  <si>
    <t>ごみ燃料化施設処理に伴う資源化量(紙類+金属類+ガラス類+ペットボトル+容器包装プラスチック+プラスチック類+布類+固形燃料+燃料+廃食用油+その他)</t>
  </si>
  <si>
    <t>その他の資源化等を行う施設処理に伴う資源化量(紙類+金属類+ガラス類+ペットボトル+容器包装プラスチック+プラスチック類+布類+肥料+飼料+焼却灰・飛灰+セメント直接投入+廃食用油+その他)</t>
  </si>
  <si>
    <t>プラスチック類(07,08を除く)</t>
    <phoneticPr fontId="7"/>
  </si>
  <si>
    <t>ｔ</t>
    <phoneticPr fontId="7"/>
  </si>
  <si>
    <t>災害廃棄物の処理処分状況（令和3年度実績）</t>
    <phoneticPr fontId="7"/>
  </si>
  <si>
    <t>都道府県名</t>
    <phoneticPr fontId="7"/>
  </si>
  <si>
    <t>地方公共団体コード</t>
    <phoneticPr fontId="7"/>
  </si>
  <si>
    <t>市区町村名</t>
    <phoneticPr fontId="7"/>
  </si>
  <si>
    <t>災害廃棄物の搬入量(焼却施設+焼却以外の中間処理施設+直接最終処分量+直接資源化量)</t>
    <phoneticPr fontId="7"/>
  </si>
  <si>
    <t>災害廃棄物の搬入量(焼却施設+焼却以外の中間処理施設+直接最終処分量+直接資源化量)</t>
    <phoneticPr fontId="7"/>
  </si>
  <si>
    <t>収集区分別の搬入量(がれき類+混合ごみ+可燃ごみ+不燃ごみ+資源ごみ+その他+粗大ごみ)</t>
    <phoneticPr fontId="7"/>
  </si>
  <si>
    <t>収集区分別の搬入量(がれき類+混合ごみ+可燃ごみ+不燃ごみ+資源ごみ+その他+粗大ごみ)</t>
    <phoneticPr fontId="7"/>
  </si>
  <si>
    <t>焼却施設の搬入量(がれき類+混合ごみ+可燃ごみ+不燃ごみ+資源ごみ+その他+粗大ごみ)</t>
    <phoneticPr fontId="7"/>
  </si>
  <si>
    <t>焼却施設の搬入量(がれき類+混合ごみ+可燃ごみ+不燃ごみ+資源ごみ+その他+粗大ごみ)</t>
    <phoneticPr fontId="7"/>
  </si>
  <si>
    <t>粗大ごみ処理施設の搬入量(がれき類+混合ごみ+可燃ごみ+不燃ごみ+資源ごみ+その他+粗大ごみ)</t>
    <phoneticPr fontId="7"/>
  </si>
  <si>
    <t>粗大ごみ処理施設の搬入量(がれき類+混合ごみ+可燃ごみ+不燃ごみ+資源ごみ+その他+粗大ごみ)</t>
    <phoneticPr fontId="7"/>
  </si>
  <si>
    <t>ごみ堆肥化施設の搬入量(がれき類+混合ごみ+可燃ごみ+不燃ごみ+資源ごみ+その他+粗大ごみ)</t>
    <phoneticPr fontId="7"/>
  </si>
  <si>
    <t>ごみ飼料化施設の搬入量(がれき類+混合ごみ+可燃ごみ+不燃ごみ+資源ごみ+その他+粗大ごみ)</t>
    <phoneticPr fontId="7"/>
  </si>
  <si>
    <t>メタン化施設の搬入量(がれき類+混合ごみ+可燃ごみ+不燃ごみ+資源ごみ+その他+粗大ごみ)</t>
    <phoneticPr fontId="7"/>
  </si>
  <si>
    <t>メタン化施設の搬入量(がれき類+混合ごみ+可燃ごみ+不燃ごみ+資源ごみ+その他+粗大ごみ)</t>
    <phoneticPr fontId="7"/>
  </si>
  <si>
    <t>ごみ燃料化施設の搬入量(がれき類+混合ごみ+可燃ごみ+不燃ごみ+資源ごみ+その他+粗大ごみ)</t>
    <phoneticPr fontId="7"/>
  </si>
  <si>
    <t>ごみ燃料化施設の搬入量(がれき類+混合ごみ+可燃ごみ+不燃ごみ+資源ごみ+その他+粗大ごみ)</t>
    <phoneticPr fontId="7"/>
  </si>
  <si>
    <t>その他の資源化等を行う施設の搬入量(がれき類+混合ごみ+可燃ごみ+不燃ごみ+資源ごみ+その他+粗大ごみ)</t>
    <phoneticPr fontId="7"/>
  </si>
  <si>
    <t>その他の資源化等を行う施設の搬入量(がれき類+混合ごみ+可燃ごみ+不燃ごみ+資源ごみ+その他+粗大ごみ)</t>
    <phoneticPr fontId="7"/>
  </si>
  <si>
    <t>その他の施設の搬入量(がれき類+混合ごみ+可燃ごみ+不燃ごみ+資源ごみ+その他+粗大ごみ)</t>
    <phoneticPr fontId="7"/>
  </si>
  <si>
    <t>その他の施設の搬入量(がれき類+混合ごみ+可燃ごみ+不燃ごみ+資源ごみ+その他+粗大ごみ)</t>
    <phoneticPr fontId="7"/>
  </si>
  <si>
    <t>直接最終処分量(がれき類+混合ごみ+可燃ごみ+不燃ごみ+資源ごみ+その他+粗大ごみ)</t>
    <phoneticPr fontId="7"/>
  </si>
  <si>
    <t>直接資源化量(がれき類+混合ごみ+可燃ごみ+不燃ごみ+資源ごみ+その他+粗大ごみ)</t>
    <phoneticPr fontId="7"/>
  </si>
  <si>
    <t>直接資源化量(がれき類+混合ごみ+可燃ごみ+不燃ごみ+資源ごみ+その他+粗大ごみ)</t>
    <phoneticPr fontId="7"/>
  </si>
  <si>
    <t>合計</t>
    <phoneticPr fontId="7"/>
  </si>
  <si>
    <t>焼却施設</t>
    <phoneticPr fontId="7"/>
  </si>
  <si>
    <t>焼却以外の中間処理施設搬入量(粗大ごみ処理施設+ごみ堆肥化施設+ごみ飼料化施設+メタン化施設+ごみ燃料化施設+その他の資源化等を行う施設+その他の施設)</t>
    <phoneticPr fontId="7"/>
  </si>
  <si>
    <t>焼却以外の中間処理施設搬入量(粗大ごみ処理施設+ごみ堆肥化施設+ごみ飼料化施設+メタン化施設+ごみ燃料化施設+その他の資源化等を行う施設+その他の施設)</t>
    <phoneticPr fontId="7"/>
  </si>
  <si>
    <t>直接最終処分量</t>
    <phoneticPr fontId="7"/>
  </si>
  <si>
    <t>直接資源化量</t>
    <phoneticPr fontId="7"/>
  </si>
  <si>
    <t>がれき類</t>
    <phoneticPr fontId="7"/>
  </si>
  <si>
    <t>混合ごみ</t>
    <phoneticPr fontId="7"/>
  </si>
  <si>
    <t>可燃ごみ</t>
    <phoneticPr fontId="7"/>
  </si>
  <si>
    <t>資源ごみ</t>
    <phoneticPr fontId="7"/>
  </si>
  <si>
    <t>その他</t>
    <phoneticPr fontId="7"/>
  </si>
  <si>
    <t>粗大ごみ</t>
    <phoneticPr fontId="7"/>
  </si>
  <si>
    <t>がれき類</t>
    <phoneticPr fontId="7"/>
  </si>
  <si>
    <t>不燃ごみ</t>
    <phoneticPr fontId="7"/>
  </si>
  <si>
    <t>可燃ごみ</t>
    <phoneticPr fontId="7"/>
  </si>
  <si>
    <t>その他</t>
    <phoneticPr fontId="7"/>
  </si>
  <si>
    <t>粗大ごみ処理施設</t>
    <phoneticPr fontId="7"/>
  </si>
  <si>
    <t>ごみ堆肥化施設</t>
    <phoneticPr fontId="7"/>
  </si>
  <si>
    <t>ごみ飼料化施設</t>
    <phoneticPr fontId="7"/>
  </si>
  <si>
    <t>メタン化施設</t>
    <phoneticPr fontId="7"/>
  </si>
  <si>
    <t>ごみ燃料化施設</t>
    <phoneticPr fontId="7"/>
  </si>
  <si>
    <t>その他の資源化等を行う施設</t>
    <phoneticPr fontId="7"/>
  </si>
  <si>
    <t>その他の施設</t>
    <phoneticPr fontId="7"/>
  </si>
  <si>
    <t>ｔ</t>
    <phoneticPr fontId="7"/>
  </si>
  <si>
    <t>合計 処理量（令和3年度実績）ごみ処理フローシート</t>
    <phoneticPr fontId="7"/>
  </si>
  <si>
    <t>入力→</t>
    <phoneticPr fontId="7"/>
  </si>
  <si>
    <t>:市区町村コード(都道府県計は、01000～47000の何れか）</t>
    <phoneticPr fontId="7"/>
  </si>
  <si>
    <t>合計 処理量（令和3年度実績）</t>
    <rPh sb="7" eb="9">
      <t>レイワ</t>
    </rPh>
    <phoneticPr fontId="7"/>
  </si>
  <si>
    <t>ごみ処理処分量</t>
    <phoneticPr fontId="7"/>
  </si>
  <si>
    <t>処理量</t>
    <phoneticPr fontId="7"/>
  </si>
  <si>
    <t>処分量</t>
    <phoneticPr fontId="7"/>
  </si>
  <si>
    <t>中間処理後
保管量</t>
    <phoneticPr fontId="7"/>
  </si>
  <si>
    <t>計画収集人口</t>
    <phoneticPr fontId="7"/>
  </si>
  <si>
    <t>残渣焼却量</t>
    <phoneticPr fontId="7"/>
  </si>
  <si>
    <t>残渣処分量</t>
    <phoneticPr fontId="7"/>
  </si>
  <si>
    <t>資源化量</t>
    <phoneticPr fontId="7"/>
  </si>
  <si>
    <t>計画収集人口</t>
    <phoneticPr fontId="7"/>
  </si>
  <si>
    <t>ごみ処理概要</t>
    <phoneticPr fontId="7"/>
  </si>
  <si>
    <t>E</t>
    <phoneticPr fontId="7"/>
  </si>
  <si>
    <t>01</t>
    <phoneticPr fontId="7"/>
  </si>
  <si>
    <t>北海道</t>
    <phoneticPr fontId="7"/>
  </si>
  <si>
    <t>自家処理人口</t>
    <phoneticPr fontId="7"/>
  </si>
  <si>
    <t>施設処理</t>
    <phoneticPr fontId="7"/>
  </si>
  <si>
    <t>焼却処理</t>
    <phoneticPr fontId="7"/>
  </si>
  <si>
    <t>直接焼却</t>
    <phoneticPr fontId="7"/>
  </si>
  <si>
    <t>－</t>
    <phoneticPr fontId="7"/>
  </si>
  <si>
    <t>自家処理人口</t>
    <phoneticPr fontId="7"/>
  </si>
  <si>
    <t>ごみ処理概要</t>
    <phoneticPr fontId="7"/>
  </si>
  <si>
    <t>F</t>
    <phoneticPr fontId="7"/>
  </si>
  <si>
    <t>02</t>
    <phoneticPr fontId="7"/>
  </si>
  <si>
    <t>青森県</t>
    <phoneticPr fontId="7"/>
  </si>
  <si>
    <t>総　人　口</t>
    <phoneticPr fontId="7"/>
  </si>
  <si>
    <t>残渣焼却</t>
    <phoneticPr fontId="7"/>
  </si>
  <si>
    <t>粗大ごみ処理施設</t>
    <phoneticPr fontId="7"/>
  </si>
  <si>
    <t>－</t>
    <phoneticPr fontId="7"/>
  </si>
  <si>
    <t>外国人人口</t>
    <phoneticPr fontId="7"/>
  </si>
  <si>
    <t>G</t>
    <phoneticPr fontId="7"/>
  </si>
  <si>
    <t>03</t>
    <phoneticPr fontId="7"/>
  </si>
  <si>
    <t>岩手県</t>
    <phoneticPr fontId="7"/>
  </si>
  <si>
    <t>外国人人口</t>
    <phoneticPr fontId="7"/>
  </si>
  <si>
    <t>ごみ堆肥化施設</t>
    <phoneticPr fontId="7"/>
  </si>
  <si>
    <t>混合ごみ</t>
    <phoneticPr fontId="7"/>
  </si>
  <si>
    <t>ごみ搬入量内訳</t>
    <phoneticPr fontId="7"/>
  </si>
  <si>
    <t>F</t>
    <phoneticPr fontId="7"/>
  </si>
  <si>
    <t>04</t>
    <phoneticPr fontId="7"/>
  </si>
  <si>
    <t>宮城県</t>
    <phoneticPr fontId="7"/>
  </si>
  <si>
    <t>ごみ飼料化施設</t>
    <phoneticPr fontId="7"/>
  </si>
  <si>
    <t>可燃ごみ</t>
    <phoneticPr fontId="7"/>
  </si>
  <si>
    <t>J</t>
    <phoneticPr fontId="7"/>
  </si>
  <si>
    <t>05</t>
    <phoneticPr fontId="7"/>
  </si>
  <si>
    <t>秋田県</t>
    <phoneticPr fontId="7"/>
  </si>
  <si>
    <t>生活系ごみ</t>
    <phoneticPr fontId="7"/>
  </si>
  <si>
    <t>事業系ごみ</t>
    <phoneticPr fontId="7"/>
  </si>
  <si>
    <t>メタン化施設</t>
    <phoneticPr fontId="7"/>
  </si>
  <si>
    <t>不燃ごみ</t>
    <phoneticPr fontId="7"/>
  </si>
  <si>
    <t>N</t>
    <phoneticPr fontId="7"/>
  </si>
  <si>
    <t>06</t>
    <phoneticPr fontId="7"/>
  </si>
  <si>
    <t>山形県</t>
    <phoneticPr fontId="7"/>
  </si>
  <si>
    <t>計画収集量</t>
    <phoneticPr fontId="7"/>
  </si>
  <si>
    <t>収集ごみ量</t>
    <phoneticPr fontId="7"/>
  </si>
  <si>
    <t>混合ごみ</t>
    <phoneticPr fontId="7"/>
  </si>
  <si>
    <t>ごみ燃料化施設</t>
    <phoneticPr fontId="7"/>
  </si>
  <si>
    <t>資源ごみ</t>
    <phoneticPr fontId="7"/>
  </si>
  <si>
    <t>R</t>
    <phoneticPr fontId="7"/>
  </si>
  <si>
    <t>07</t>
    <phoneticPr fontId="7"/>
  </si>
  <si>
    <t>福島県</t>
    <phoneticPr fontId="7"/>
  </si>
  <si>
    <t>その他の資源化等を行う施設</t>
    <phoneticPr fontId="7"/>
  </si>
  <si>
    <t>その他</t>
    <phoneticPr fontId="7"/>
  </si>
  <si>
    <t>V</t>
    <phoneticPr fontId="7"/>
  </si>
  <si>
    <t>08</t>
    <phoneticPr fontId="7"/>
  </si>
  <si>
    <t>茨城県</t>
    <phoneticPr fontId="7"/>
  </si>
  <si>
    <t>その他施設</t>
    <phoneticPr fontId="7"/>
  </si>
  <si>
    <t>Z</t>
    <phoneticPr fontId="7"/>
  </si>
  <si>
    <t>09</t>
    <phoneticPr fontId="7"/>
  </si>
  <si>
    <t>栃木県</t>
    <phoneticPr fontId="7"/>
  </si>
  <si>
    <t>小計</t>
    <phoneticPr fontId="7"/>
  </si>
  <si>
    <t>直接搬入ごみ</t>
    <phoneticPr fontId="7"/>
  </si>
  <si>
    <t>ごみ搬入量内訳</t>
    <phoneticPr fontId="7"/>
  </si>
  <si>
    <t>BC</t>
    <phoneticPr fontId="7"/>
  </si>
  <si>
    <t>10</t>
    <phoneticPr fontId="7"/>
  </si>
  <si>
    <t>群馬県</t>
    <phoneticPr fontId="7"/>
  </si>
  <si>
    <t>中間処理</t>
    <phoneticPr fontId="7"/>
  </si>
  <si>
    <t>粗大ごみ処理施設</t>
    <phoneticPr fontId="7"/>
  </si>
  <si>
    <t>集団回収量</t>
    <phoneticPr fontId="7"/>
  </si>
  <si>
    <t>J</t>
    <phoneticPr fontId="7"/>
  </si>
  <si>
    <t>11</t>
    <phoneticPr fontId="7"/>
  </si>
  <si>
    <t>埼玉県</t>
    <phoneticPr fontId="7"/>
  </si>
  <si>
    <t>生活系ごみ_収集_収集（混合ごみ）</t>
    <phoneticPr fontId="7"/>
  </si>
  <si>
    <t>BZ</t>
    <phoneticPr fontId="7"/>
  </si>
  <si>
    <t>12</t>
    <phoneticPr fontId="7"/>
  </si>
  <si>
    <t>千葉県</t>
    <phoneticPr fontId="7"/>
  </si>
  <si>
    <t>生活系ごみ_収集（可燃ごみ）</t>
    <phoneticPr fontId="7"/>
  </si>
  <si>
    <t>CA</t>
    <phoneticPr fontId="7"/>
  </si>
  <si>
    <t>13</t>
    <phoneticPr fontId="7"/>
  </si>
  <si>
    <t>東京都</t>
    <phoneticPr fontId="7"/>
  </si>
  <si>
    <t>メタン化施設</t>
    <phoneticPr fontId="7"/>
  </si>
  <si>
    <t>生活系ごみ_収集（不燃ごみ）</t>
    <phoneticPr fontId="7"/>
  </si>
  <si>
    <t>CB</t>
    <phoneticPr fontId="7"/>
  </si>
  <si>
    <t>14</t>
    <phoneticPr fontId="7"/>
  </si>
  <si>
    <t>神奈川県</t>
    <phoneticPr fontId="7"/>
  </si>
  <si>
    <t>ごみ燃料化施設</t>
    <phoneticPr fontId="7"/>
  </si>
  <si>
    <t>生活系ごみ_収集（資源ごみ）</t>
    <phoneticPr fontId="7"/>
  </si>
  <si>
    <t>CC</t>
    <phoneticPr fontId="7"/>
  </si>
  <si>
    <t>15</t>
    <phoneticPr fontId="7"/>
  </si>
  <si>
    <t>新潟県</t>
    <phoneticPr fontId="7"/>
  </si>
  <si>
    <t>その他の資源化等を行う施設</t>
    <phoneticPr fontId="7"/>
  </si>
  <si>
    <t>生活系ごみ_収集（その他ごみ）</t>
    <phoneticPr fontId="7"/>
  </si>
  <si>
    <t>CD</t>
    <phoneticPr fontId="7"/>
  </si>
  <si>
    <t>16</t>
    <phoneticPr fontId="7"/>
  </si>
  <si>
    <t>富山県</t>
    <phoneticPr fontId="7"/>
  </si>
  <si>
    <t>資源ごみ</t>
    <phoneticPr fontId="7"/>
  </si>
  <si>
    <t>その他施設</t>
    <phoneticPr fontId="7"/>
  </si>
  <si>
    <t>生活系ごみ_収集（粗大ごみ）</t>
    <phoneticPr fontId="7"/>
  </si>
  <si>
    <t>CE</t>
    <phoneticPr fontId="7"/>
  </si>
  <si>
    <t>17</t>
    <phoneticPr fontId="7"/>
  </si>
  <si>
    <t>石川県</t>
    <phoneticPr fontId="7"/>
  </si>
  <si>
    <t>生活系ごみ_直搬_直搬（混合ごみ）</t>
    <phoneticPr fontId="7"/>
  </si>
  <si>
    <t>CG</t>
    <phoneticPr fontId="7"/>
  </si>
  <si>
    <t>18</t>
    <phoneticPr fontId="7"/>
  </si>
  <si>
    <t>福井県</t>
    <phoneticPr fontId="7"/>
  </si>
  <si>
    <t>小計（直接焼却+中間処理）</t>
    <phoneticPr fontId="7"/>
  </si>
  <si>
    <t>生活系ごみ_直搬（可燃ごみ）</t>
    <phoneticPr fontId="7"/>
  </si>
  <si>
    <t>CH</t>
    <phoneticPr fontId="7"/>
  </si>
  <si>
    <t>19</t>
    <phoneticPr fontId="7"/>
  </si>
  <si>
    <t>山梨県</t>
    <phoneticPr fontId="7"/>
  </si>
  <si>
    <t>直接資源化量</t>
    <phoneticPr fontId="7"/>
  </si>
  <si>
    <t>生活系ごみ_直搬（不燃ごみ）</t>
    <phoneticPr fontId="7"/>
  </si>
  <si>
    <t>CI</t>
    <phoneticPr fontId="7"/>
  </si>
  <si>
    <t>20</t>
    <phoneticPr fontId="7"/>
  </si>
  <si>
    <t>長野県</t>
    <phoneticPr fontId="7"/>
  </si>
  <si>
    <t>直接最終処分量</t>
    <phoneticPr fontId="7"/>
  </si>
  <si>
    <t>生活系ごみ_直搬（資源ごみ）</t>
    <phoneticPr fontId="7"/>
  </si>
  <si>
    <t>CJ</t>
    <phoneticPr fontId="7"/>
  </si>
  <si>
    <t>21</t>
    <phoneticPr fontId="7"/>
  </si>
  <si>
    <t>岐阜県</t>
    <phoneticPr fontId="7"/>
  </si>
  <si>
    <t>合計</t>
    <phoneticPr fontId="7"/>
  </si>
  <si>
    <t>生活系ごみ_直搬（その他ごみ）</t>
    <phoneticPr fontId="7"/>
  </si>
  <si>
    <t>CK</t>
    <phoneticPr fontId="7"/>
  </si>
  <si>
    <t>22</t>
    <phoneticPr fontId="7"/>
  </si>
  <si>
    <t>静岡県</t>
    <phoneticPr fontId="7"/>
  </si>
  <si>
    <t>合計：施設処理＋直接資源化量＋直接最終処分量</t>
    <phoneticPr fontId="7"/>
  </si>
  <si>
    <t>生活系ごみ_直搬（粗大ごみ）</t>
    <phoneticPr fontId="7"/>
  </si>
  <si>
    <t>CL</t>
    <phoneticPr fontId="7"/>
  </si>
  <si>
    <t>23</t>
    <phoneticPr fontId="7"/>
  </si>
  <si>
    <t>愛知県</t>
    <phoneticPr fontId="7"/>
  </si>
  <si>
    <t>施設資源化量</t>
    <phoneticPr fontId="7"/>
  </si>
  <si>
    <t>事業系ごみ_収集（混合ごみ）</t>
    <phoneticPr fontId="7"/>
  </si>
  <si>
    <t>CU</t>
    <phoneticPr fontId="7"/>
  </si>
  <si>
    <t>24</t>
    <phoneticPr fontId="7"/>
  </si>
  <si>
    <t>三重県</t>
    <phoneticPr fontId="7"/>
  </si>
  <si>
    <t>紙類</t>
    <phoneticPr fontId="7"/>
  </si>
  <si>
    <t>事業系ごみ_収集（可燃ごみ）</t>
    <phoneticPr fontId="7"/>
  </si>
  <si>
    <t>CV</t>
    <phoneticPr fontId="7"/>
  </si>
  <si>
    <t>25</t>
    <phoneticPr fontId="7"/>
  </si>
  <si>
    <t>滋賀県</t>
    <phoneticPr fontId="7"/>
  </si>
  <si>
    <t>紙パック</t>
    <phoneticPr fontId="7"/>
  </si>
  <si>
    <t>事業系ごみ_収集（不燃ごみ）</t>
    <phoneticPr fontId="7"/>
  </si>
  <si>
    <t>CW</t>
    <phoneticPr fontId="7"/>
  </si>
  <si>
    <t>26</t>
    <phoneticPr fontId="7"/>
  </si>
  <si>
    <t>京都府</t>
    <phoneticPr fontId="7"/>
  </si>
  <si>
    <t>ごみ総排出量</t>
    <phoneticPr fontId="7"/>
  </si>
  <si>
    <t>紙製容器包装</t>
    <phoneticPr fontId="7"/>
  </si>
  <si>
    <t>事業系ごみ_収集（資源ごみ）</t>
    <phoneticPr fontId="7"/>
  </si>
  <si>
    <t>CX</t>
    <phoneticPr fontId="7"/>
  </si>
  <si>
    <t>27</t>
    <phoneticPr fontId="7"/>
  </si>
  <si>
    <t>大阪府</t>
    <phoneticPr fontId="7"/>
  </si>
  <si>
    <t>金属類</t>
    <phoneticPr fontId="7"/>
  </si>
  <si>
    <t>事業系ごみ_収集（その他ごみ）</t>
    <phoneticPr fontId="7"/>
  </si>
  <si>
    <t>CY</t>
    <phoneticPr fontId="7"/>
  </si>
  <si>
    <t>28</t>
    <phoneticPr fontId="7"/>
  </si>
  <si>
    <t>兵庫県</t>
    <phoneticPr fontId="7"/>
  </si>
  <si>
    <t>ガラス類</t>
    <phoneticPr fontId="7"/>
  </si>
  <si>
    <t>事業系ごみ_収集（粗大ごみ）</t>
    <phoneticPr fontId="7"/>
  </si>
  <si>
    <t>CZ</t>
    <phoneticPr fontId="7"/>
  </si>
  <si>
    <t>29</t>
    <phoneticPr fontId="7"/>
  </si>
  <si>
    <t>奈良県</t>
    <phoneticPr fontId="7"/>
  </si>
  <si>
    <t>ﾍﾟｯﾄﾎﾞﾄﾙ</t>
    <phoneticPr fontId="7"/>
  </si>
  <si>
    <t>事業系ごみ_直搬_直搬（混合ごみ）</t>
    <phoneticPr fontId="7"/>
  </si>
  <si>
    <t>DB</t>
    <phoneticPr fontId="7"/>
  </si>
  <si>
    <t>30</t>
    <phoneticPr fontId="7"/>
  </si>
  <si>
    <t>和歌山県</t>
    <phoneticPr fontId="7"/>
  </si>
  <si>
    <t>白色トレイ</t>
    <phoneticPr fontId="7"/>
  </si>
  <si>
    <t>事業系ごみ_直搬（可燃ごみ）</t>
    <phoneticPr fontId="7"/>
  </si>
  <si>
    <t>DC</t>
    <phoneticPr fontId="7"/>
  </si>
  <si>
    <t>31</t>
    <phoneticPr fontId="7"/>
  </si>
  <si>
    <t>鳥取県</t>
    <phoneticPr fontId="7"/>
  </si>
  <si>
    <t>容器包装プラ</t>
    <phoneticPr fontId="7"/>
  </si>
  <si>
    <t>事業系ごみ_直搬（不燃ごみ）</t>
    <phoneticPr fontId="7"/>
  </si>
  <si>
    <t>DD</t>
    <phoneticPr fontId="7"/>
  </si>
  <si>
    <t>32</t>
    <phoneticPr fontId="7"/>
  </si>
  <si>
    <t>島根県</t>
    <phoneticPr fontId="7"/>
  </si>
  <si>
    <t>ﾌﾟﾗｽﾁｯｸ類</t>
    <phoneticPr fontId="7"/>
  </si>
  <si>
    <t>事業系ごみ_直搬（資源ごみ）</t>
    <phoneticPr fontId="7"/>
  </si>
  <si>
    <t>DE</t>
    <phoneticPr fontId="7"/>
  </si>
  <si>
    <t>33</t>
    <phoneticPr fontId="7"/>
  </si>
  <si>
    <t>岡山県</t>
    <phoneticPr fontId="7"/>
  </si>
  <si>
    <t>布類</t>
    <phoneticPr fontId="7"/>
  </si>
  <si>
    <t>事業系ごみ_直搬（その他ごみ）</t>
    <phoneticPr fontId="7"/>
  </si>
  <si>
    <t>DF</t>
    <phoneticPr fontId="7"/>
  </si>
  <si>
    <t>34</t>
    <phoneticPr fontId="7"/>
  </si>
  <si>
    <t>広島県</t>
    <phoneticPr fontId="7"/>
  </si>
  <si>
    <t>肥料</t>
    <phoneticPr fontId="7"/>
  </si>
  <si>
    <t>事業系ごみ_直搬（粗大ごみ）</t>
    <phoneticPr fontId="7"/>
  </si>
  <si>
    <t>DG</t>
    <phoneticPr fontId="7"/>
  </si>
  <si>
    <t>35</t>
    <phoneticPr fontId="7"/>
  </si>
  <si>
    <t>山口県</t>
    <phoneticPr fontId="7"/>
  </si>
  <si>
    <t>飼料</t>
    <phoneticPr fontId="7"/>
  </si>
  <si>
    <t>36</t>
    <phoneticPr fontId="7"/>
  </si>
  <si>
    <t>徳島県</t>
    <phoneticPr fontId="7"/>
  </si>
  <si>
    <t>溶融スラグ</t>
    <phoneticPr fontId="7"/>
  </si>
  <si>
    <t>直接焼却</t>
    <phoneticPr fontId="7"/>
  </si>
  <si>
    <t>ごみ処理量内訳</t>
    <phoneticPr fontId="7"/>
  </si>
  <si>
    <t>E</t>
    <phoneticPr fontId="7"/>
  </si>
  <si>
    <t>37</t>
    <phoneticPr fontId="7"/>
  </si>
  <si>
    <t>香川県</t>
    <phoneticPr fontId="7"/>
  </si>
  <si>
    <t>固形燃料</t>
    <phoneticPr fontId="7"/>
  </si>
  <si>
    <t>残渣焼却</t>
    <phoneticPr fontId="7"/>
  </si>
  <si>
    <t>S</t>
    <phoneticPr fontId="7"/>
  </si>
  <si>
    <t>38</t>
    <phoneticPr fontId="7"/>
  </si>
  <si>
    <t>愛媛県</t>
    <phoneticPr fontId="7"/>
  </si>
  <si>
    <t>燃料</t>
    <phoneticPr fontId="7"/>
  </si>
  <si>
    <t>ごみ堆肥化施設</t>
    <phoneticPr fontId="7"/>
  </si>
  <si>
    <t>T</t>
    <phoneticPr fontId="7"/>
  </si>
  <si>
    <t>39</t>
    <phoneticPr fontId="7"/>
  </si>
  <si>
    <t>高知県</t>
    <phoneticPr fontId="7"/>
  </si>
  <si>
    <t>ｾﾒﾝﾄ原料化</t>
    <phoneticPr fontId="7"/>
  </si>
  <si>
    <t>ごみ飼料化施設</t>
    <phoneticPr fontId="7"/>
  </si>
  <si>
    <t>U</t>
    <phoneticPr fontId="7"/>
  </si>
  <si>
    <t>40</t>
    <phoneticPr fontId="7"/>
  </si>
  <si>
    <t>福岡県</t>
    <phoneticPr fontId="7"/>
  </si>
  <si>
    <t>ｾﾒﾝﾄ工場直投</t>
    <phoneticPr fontId="7"/>
  </si>
  <si>
    <t>V</t>
    <phoneticPr fontId="7"/>
  </si>
  <si>
    <t>41</t>
    <phoneticPr fontId="7"/>
  </si>
  <si>
    <t>佐賀県</t>
    <phoneticPr fontId="7"/>
  </si>
  <si>
    <t>山元還元</t>
    <phoneticPr fontId="7"/>
  </si>
  <si>
    <t>W</t>
    <phoneticPr fontId="7"/>
  </si>
  <si>
    <t>42</t>
    <phoneticPr fontId="7"/>
  </si>
  <si>
    <t>長崎県</t>
    <phoneticPr fontId="7"/>
  </si>
  <si>
    <t>廃食用油</t>
    <phoneticPr fontId="7"/>
  </si>
  <si>
    <t>X</t>
    <phoneticPr fontId="7"/>
  </si>
  <si>
    <t>43</t>
    <phoneticPr fontId="7"/>
  </si>
  <si>
    <t>熊本県</t>
    <phoneticPr fontId="7"/>
  </si>
  <si>
    <t>ごみ処理量内訳</t>
    <phoneticPr fontId="7"/>
  </si>
  <si>
    <t>Y</t>
    <phoneticPr fontId="7"/>
  </si>
  <si>
    <t>44</t>
    <phoneticPr fontId="7"/>
  </si>
  <si>
    <t>大分県</t>
    <phoneticPr fontId="7"/>
  </si>
  <si>
    <t>処理量</t>
    <phoneticPr fontId="7"/>
  </si>
  <si>
    <t>G</t>
    <phoneticPr fontId="7"/>
  </si>
  <si>
    <t>45</t>
    <phoneticPr fontId="7"/>
  </si>
  <si>
    <t>宮崎県</t>
    <phoneticPr fontId="7"/>
  </si>
  <si>
    <t>H</t>
    <phoneticPr fontId="7"/>
  </si>
  <si>
    <t>46</t>
    <phoneticPr fontId="7"/>
  </si>
  <si>
    <t>鹿児島県</t>
    <phoneticPr fontId="7"/>
  </si>
  <si>
    <t>I</t>
    <phoneticPr fontId="7"/>
  </si>
  <si>
    <t>47</t>
    <phoneticPr fontId="7"/>
  </si>
  <si>
    <t>沖縄県</t>
    <phoneticPr fontId="7"/>
  </si>
  <si>
    <t>48</t>
    <phoneticPr fontId="7"/>
  </si>
  <si>
    <t>全国</t>
    <phoneticPr fontId="7"/>
  </si>
  <si>
    <t>K</t>
    <phoneticPr fontId="7"/>
  </si>
  <si>
    <t>処理量</t>
    <phoneticPr fontId="7"/>
  </si>
  <si>
    <t>L</t>
    <phoneticPr fontId="7"/>
  </si>
  <si>
    <t>M</t>
    <phoneticPr fontId="7"/>
  </si>
  <si>
    <t>直接資源化量</t>
    <phoneticPr fontId="7"/>
  </si>
  <si>
    <t>O</t>
    <phoneticPr fontId="7"/>
  </si>
  <si>
    <t>N</t>
    <phoneticPr fontId="7"/>
  </si>
  <si>
    <t>残渣埋立</t>
    <phoneticPr fontId="7"/>
  </si>
  <si>
    <t>焼却施設</t>
    <phoneticPr fontId="7"/>
  </si>
  <si>
    <t>AB</t>
    <phoneticPr fontId="7"/>
  </si>
  <si>
    <t>AD</t>
    <phoneticPr fontId="7"/>
  </si>
  <si>
    <t>残渣埋立</t>
    <phoneticPr fontId="7"/>
  </si>
  <si>
    <t>AE</t>
    <phoneticPr fontId="7"/>
  </si>
  <si>
    <t>AF</t>
    <phoneticPr fontId="7"/>
  </si>
  <si>
    <t>AG</t>
    <phoneticPr fontId="7"/>
  </si>
  <si>
    <t>AH</t>
    <phoneticPr fontId="7"/>
  </si>
  <si>
    <t>AI</t>
    <phoneticPr fontId="7"/>
  </si>
  <si>
    <t>AJ</t>
    <phoneticPr fontId="7"/>
  </si>
  <si>
    <t>資源化量</t>
    <phoneticPr fontId="7"/>
  </si>
  <si>
    <t>焼却施設</t>
    <phoneticPr fontId="7"/>
  </si>
  <si>
    <t>施設資源化量内訳</t>
    <phoneticPr fontId="7"/>
  </si>
  <si>
    <t>施設資源化量内訳</t>
    <phoneticPr fontId="7"/>
  </si>
  <si>
    <t>AT</t>
    <phoneticPr fontId="7"/>
  </si>
  <si>
    <t>BO</t>
    <phoneticPr fontId="7"/>
  </si>
  <si>
    <t>資源化量</t>
    <phoneticPr fontId="7"/>
  </si>
  <si>
    <t>DZ</t>
    <phoneticPr fontId="7"/>
  </si>
  <si>
    <t>EU</t>
    <phoneticPr fontId="7"/>
  </si>
  <si>
    <t>直接資源化</t>
    <phoneticPr fontId="7"/>
  </si>
  <si>
    <t>紙類(02、03を除く)</t>
    <phoneticPr fontId="7"/>
  </si>
  <si>
    <t>資源化量内訳</t>
    <phoneticPr fontId="7"/>
  </si>
  <si>
    <t>直接資源化</t>
    <phoneticPr fontId="7"/>
  </si>
  <si>
    <t>紙パック</t>
    <phoneticPr fontId="7"/>
  </si>
  <si>
    <t>AA</t>
    <phoneticPr fontId="7"/>
  </si>
  <si>
    <t>AB</t>
    <phoneticPr fontId="7"/>
  </si>
  <si>
    <t>資源化量内訳</t>
    <phoneticPr fontId="7"/>
  </si>
  <si>
    <t>AC</t>
    <phoneticPr fontId="7"/>
  </si>
  <si>
    <t>ガラス類</t>
    <phoneticPr fontId="7"/>
  </si>
  <si>
    <t>AD</t>
    <phoneticPr fontId="7"/>
  </si>
  <si>
    <t>AE</t>
    <phoneticPr fontId="7"/>
  </si>
  <si>
    <t>容器包装プラスチック(07を除く)</t>
    <phoneticPr fontId="7"/>
  </si>
  <si>
    <t>AG</t>
    <phoneticPr fontId="7"/>
  </si>
  <si>
    <t>プラスチック類(07,08を除く)</t>
    <phoneticPr fontId="7"/>
  </si>
  <si>
    <t>肥料</t>
    <phoneticPr fontId="7"/>
  </si>
  <si>
    <t>焼却灰・飛灰のセメント原料化</t>
    <phoneticPr fontId="7"/>
  </si>
  <si>
    <t>飛灰の山元還元</t>
    <phoneticPr fontId="7"/>
  </si>
  <si>
    <t>廃食用油（BDF)</t>
    <phoneticPr fontId="7"/>
  </si>
  <si>
    <t>AR</t>
    <phoneticPr fontId="7"/>
  </si>
  <si>
    <t>AS</t>
    <phoneticPr fontId="7"/>
  </si>
  <si>
    <t>中間処理資源化</t>
    <phoneticPr fontId="7"/>
  </si>
  <si>
    <t>AU</t>
    <phoneticPr fontId="7"/>
  </si>
  <si>
    <t>AV</t>
    <phoneticPr fontId="7"/>
  </si>
  <si>
    <t>中間処理資源化</t>
    <phoneticPr fontId="7"/>
  </si>
  <si>
    <t>紙製容器包装</t>
    <phoneticPr fontId="7"/>
  </si>
  <si>
    <t>AW</t>
    <phoneticPr fontId="7"/>
  </si>
  <si>
    <t>金属類</t>
    <phoneticPr fontId="7"/>
  </si>
  <si>
    <t>AX</t>
    <phoneticPr fontId="7"/>
  </si>
  <si>
    <t>AY</t>
    <phoneticPr fontId="7"/>
  </si>
  <si>
    <t>AZ</t>
    <phoneticPr fontId="7"/>
  </si>
  <si>
    <t>白色トレイ</t>
    <phoneticPr fontId="7"/>
  </si>
  <si>
    <t>BA</t>
    <phoneticPr fontId="7"/>
  </si>
  <si>
    <t>BB</t>
    <phoneticPr fontId="7"/>
  </si>
  <si>
    <t>BD</t>
    <phoneticPr fontId="7"/>
  </si>
  <si>
    <t>BE</t>
    <phoneticPr fontId="7"/>
  </si>
  <si>
    <t>飼料</t>
    <phoneticPr fontId="7"/>
  </si>
  <si>
    <t>BF</t>
    <phoneticPr fontId="7"/>
  </si>
  <si>
    <t>BG</t>
    <phoneticPr fontId="7"/>
  </si>
  <si>
    <t>BH</t>
    <phoneticPr fontId="7"/>
  </si>
  <si>
    <t>BI</t>
    <phoneticPr fontId="7"/>
  </si>
  <si>
    <t>焼却灰・飛灰のセメント原料化</t>
    <phoneticPr fontId="7"/>
  </si>
  <si>
    <t>BJ</t>
    <phoneticPr fontId="7"/>
  </si>
  <si>
    <t>セメント等への直接投入</t>
    <phoneticPr fontId="7"/>
  </si>
  <si>
    <t>BK</t>
    <phoneticPr fontId="7"/>
  </si>
  <si>
    <t>BL</t>
    <phoneticPr fontId="7"/>
  </si>
  <si>
    <t>廃食用油（BDF)</t>
    <phoneticPr fontId="7"/>
  </si>
  <si>
    <t>BM</t>
    <phoneticPr fontId="7"/>
  </si>
  <si>
    <t>BN</t>
    <phoneticPr fontId="7"/>
  </si>
  <si>
    <t>集団回収</t>
    <phoneticPr fontId="7"/>
  </si>
  <si>
    <t>BP</t>
    <phoneticPr fontId="7"/>
  </si>
  <si>
    <t>集団回収</t>
    <phoneticPr fontId="7"/>
  </si>
  <si>
    <t>BQ</t>
    <phoneticPr fontId="7"/>
  </si>
  <si>
    <t>BR</t>
    <phoneticPr fontId="7"/>
  </si>
  <si>
    <t>BS</t>
    <phoneticPr fontId="7"/>
  </si>
  <si>
    <t>BT</t>
    <phoneticPr fontId="7"/>
  </si>
  <si>
    <t>ﾍﾟｯﾄﾎﾞﾄﾙ</t>
    <phoneticPr fontId="7"/>
  </si>
  <si>
    <t>BU</t>
    <phoneticPr fontId="7"/>
  </si>
  <si>
    <t>BV</t>
    <phoneticPr fontId="7"/>
  </si>
  <si>
    <t>BW</t>
    <phoneticPr fontId="7"/>
  </si>
  <si>
    <t>プラスチック類(07,08を除く)</t>
    <phoneticPr fontId="7"/>
  </si>
  <si>
    <t>BX</t>
    <phoneticPr fontId="7"/>
  </si>
  <si>
    <t>布類</t>
    <phoneticPr fontId="7"/>
  </si>
  <si>
    <t>BY</t>
    <phoneticPr fontId="7"/>
  </si>
  <si>
    <t>溶融スラグ</t>
    <phoneticPr fontId="7"/>
  </si>
  <si>
    <t>燃料</t>
    <phoneticPr fontId="7"/>
  </si>
  <si>
    <t>CI</t>
    <phoneticPr fontId="7"/>
  </si>
  <si>
    <t>自家処理量</t>
    <phoneticPr fontId="7"/>
  </si>
  <si>
    <t>DH</t>
    <phoneticPr fontId="7"/>
  </si>
  <si>
    <t>中間処理後保管量</t>
    <phoneticPr fontId="7"/>
  </si>
  <si>
    <t>焼却処理残渣の保管量</t>
    <phoneticPr fontId="7"/>
  </si>
  <si>
    <t>AL</t>
    <phoneticPr fontId="7"/>
  </si>
  <si>
    <t>中間処理後保管量</t>
    <phoneticPr fontId="7"/>
  </si>
  <si>
    <t>粗大ごみ
処理施設</t>
    <phoneticPr fontId="7"/>
  </si>
  <si>
    <t>AM</t>
    <phoneticPr fontId="7"/>
  </si>
  <si>
    <t>AN</t>
    <phoneticPr fontId="7"/>
  </si>
  <si>
    <t>AO</t>
    <phoneticPr fontId="7"/>
  </si>
  <si>
    <t>AP</t>
    <phoneticPr fontId="7"/>
  </si>
  <si>
    <t>ごみ燃料化
施設</t>
    <phoneticPr fontId="7"/>
  </si>
  <si>
    <t>AQ</t>
    <phoneticPr fontId="7"/>
  </si>
  <si>
    <t>AR</t>
    <phoneticPr fontId="7"/>
  </si>
  <si>
    <t>セメント等への直接投入</t>
    <phoneticPr fontId="7"/>
  </si>
  <si>
    <t>その他の
施設</t>
    <phoneticPr fontId="7"/>
  </si>
  <si>
    <t>AK</t>
    <phoneticPr fontId="7"/>
  </si>
  <si>
    <t>合計 処理量（令和3年度実績）　ごみ処理フローシート</t>
    <phoneticPr fontId="7"/>
  </si>
  <si>
    <t>直接最終処分量</t>
    <phoneticPr fontId="7"/>
  </si>
  <si>
    <t>最終処分場</t>
    <phoneticPr fontId="7"/>
  </si>
  <si>
    <t>(21,09,03)</t>
    <phoneticPr fontId="7"/>
  </si>
  <si>
    <t>(21,09,01)</t>
    <phoneticPr fontId="7"/>
  </si>
  <si>
    <t>直接焼却量</t>
    <phoneticPr fontId="7"/>
  </si>
  <si>
    <t>焼却施設</t>
    <phoneticPr fontId="7"/>
  </si>
  <si>
    <t>焼却残渣の埋立</t>
    <phoneticPr fontId="7"/>
  </si>
  <si>
    <t>(21,01,05)</t>
    <phoneticPr fontId="7"/>
  </si>
  <si>
    <t>収集ごみ＋直接搬入ごみ</t>
    <phoneticPr fontId="7"/>
  </si>
  <si>
    <t>(21,01,02)</t>
    <phoneticPr fontId="7"/>
  </si>
  <si>
    <t>(21,01,01)</t>
    <phoneticPr fontId="7"/>
  </si>
  <si>
    <t>資源化量</t>
    <phoneticPr fontId="7"/>
  </si>
  <si>
    <t>(21,01,06)</t>
    <phoneticPr fontId="7"/>
  </si>
  <si>
    <t>（中間処理後保管量</t>
    <phoneticPr fontId="7"/>
  </si>
  <si>
    <t>混合ごみ</t>
    <phoneticPr fontId="7"/>
  </si>
  <si>
    <t>処理残渣の焼却</t>
    <phoneticPr fontId="7"/>
  </si>
  <si>
    <t>(21,01,04)</t>
    <phoneticPr fontId="7"/>
  </si>
  <si>
    <t>処理残渣の埋立</t>
    <phoneticPr fontId="7"/>
  </si>
  <si>
    <t>可燃ごみ</t>
    <phoneticPr fontId="7"/>
  </si>
  <si>
    <t>粗大ごみ処理施設</t>
    <phoneticPr fontId="7"/>
  </si>
  <si>
    <t>処理残渣の焼却</t>
    <phoneticPr fontId="7"/>
  </si>
  <si>
    <t>(21,02,04)</t>
    <phoneticPr fontId="7"/>
  </si>
  <si>
    <t>(21,02,01)</t>
    <phoneticPr fontId="7"/>
  </si>
  <si>
    <t>処理残渣の埋立</t>
    <phoneticPr fontId="7"/>
  </si>
  <si>
    <t>(21,02,05)</t>
    <phoneticPr fontId="7"/>
  </si>
  <si>
    <t>不燃ごみ</t>
    <phoneticPr fontId="7"/>
  </si>
  <si>
    <t>資源化量</t>
    <phoneticPr fontId="7"/>
  </si>
  <si>
    <t>(21,02,06)</t>
    <phoneticPr fontId="7"/>
  </si>
  <si>
    <t>（中間処理後保管量</t>
    <phoneticPr fontId="7"/>
  </si>
  <si>
    <t>資源ごみ</t>
    <phoneticPr fontId="7"/>
  </si>
  <si>
    <t>資源化等を行う施設</t>
    <phoneticPr fontId="7"/>
  </si>
  <si>
    <t>処理残渣の焼却</t>
    <phoneticPr fontId="7"/>
  </si>
  <si>
    <t>(21,03,04)</t>
    <phoneticPr fontId="7"/>
  </si>
  <si>
    <t>(21,03,01)</t>
    <phoneticPr fontId="7"/>
  </si>
  <si>
    <t>処理残渣の埋立</t>
    <phoneticPr fontId="7"/>
  </si>
  <si>
    <t>(21,03,05)</t>
    <phoneticPr fontId="7"/>
  </si>
  <si>
    <t>その他　</t>
    <phoneticPr fontId="7"/>
  </si>
  <si>
    <t>(21,03,06)</t>
    <phoneticPr fontId="7"/>
  </si>
  <si>
    <t>（中間処理後保管量</t>
    <phoneticPr fontId="7"/>
  </si>
  <si>
    <t>粗大ごみ</t>
    <phoneticPr fontId="7"/>
  </si>
  <si>
    <t>焼却以外の中間処理施設</t>
    <phoneticPr fontId="7"/>
  </si>
  <si>
    <t>ごみ堆肥化施設</t>
    <phoneticPr fontId="7"/>
  </si>
  <si>
    <t>(21,04,04)</t>
    <phoneticPr fontId="7"/>
  </si>
  <si>
    <t>(21,04,01)</t>
    <phoneticPr fontId="7"/>
  </si>
  <si>
    <t>処理残渣の埋立</t>
    <phoneticPr fontId="7"/>
  </si>
  <si>
    <t>(21,04,05)</t>
    <phoneticPr fontId="7"/>
  </si>
  <si>
    <t>直接搬入ごみ</t>
    <phoneticPr fontId="7"/>
  </si>
  <si>
    <t>(21,04,06)</t>
    <phoneticPr fontId="7"/>
  </si>
  <si>
    <t>自家処理量</t>
    <phoneticPr fontId="7"/>
  </si>
  <si>
    <t>ごみ飼料化施設</t>
    <phoneticPr fontId="7"/>
  </si>
  <si>
    <t>(21,05,04)</t>
    <phoneticPr fontId="7"/>
  </si>
  <si>
    <t>(21,05,01)</t>
    <phoneticPr fontId="7"/>
  </si>
  <si>
    <t>(21,05,05)</t>
    <phoneticPr fontId="7"/>
  </si>
  <si>
    <t>集団回収量</t>
    <phoneticPr fontId="7"/>
  </si>
  <si>
    <t>(21,05,06)</t>
    <phoneticPr fontId="7"/>
  </si>
  <si>
    <t>（中間処理後保管量</t>
    <phoneticPr fontId="7"/>
  </si>
  <si>
    <t>メタン化施設</t>
    <phoneticPr fontId="7"/>
  </si>
  <si>
    <t>(21,06,04)</t>
    <phoneticPr fontId="7"/>
  </si>
  <si>
    <t>(21,06,01)</t>
    <phoneticPr fontId="7"/>
  </si>
  <si>
    <t>処理残渣の埋立</t>
    <phoneticPr fontId="7"/>
  </si>
  <si>
    <t>(21,06,05)</t>
    <phoneticPr fontId="7"/>
  </si>
  <si>
    <t>(21,06,06)</t>
    <phoneticPr fontId="7"/>
  </si>
  <si>
    <t>ごみ燃料化施設</t>
    <phoneticPr fontId="7"/>
  </si>
  <si>
    <t>処理残渣の焼却</t>
    <phoneticPr fontId="7"/>
  </si>
  <si>
    <t>(21,07,04)</t>
    <phoneticPr fontId="7"/>
  </si>
  <si>
    <t>(21,07,01)</t>
    <phoneticPr fontId="7"/>
  </si>
  <si>
    <t>(21,07,05)</t>
    <phoneticPr fontId="7"/>
  </si>
  <si>
    <t>(21,07,06)</t>
    <phoneticPr fontId="7"/>
  </si>
  <si>
    <t>その他施設</t>
    <phoneticPr fontId="7"/>
  </si>
  <si>
    <t>(21,08,04)</t>
    <phoneticPr fontId="7"/>
  </si>
  <si>
    <t>中間処理に伴う資源化量</t>
    <phoneticPr fontId="7"/>
  </si>
  <si>
    <t>(21,08,01)</t>
    <phoneticPr fontId="7"/>
  </si>
  <si>
    <t>(21,08,05)</t>
    <phoneticPr fontId="7"/>
  </si>
  <si>
    <t>　　計画収集人口</t>
    <phoneticPr fontId="7"/>
  </si>
  <si>
    <t>　　自家処理人口</t>
    <phoneticPr fontId="7"/>
  </si>
  <si>
    <t>直接資源化量</t>
    <phoneticPr fontId="7"/>
  </si>
  <si>
    <t>資源化量合計</t>
    <phoneticPr fontId="7"/>
  </si>
  <si>
    <t>総人口</t>
    <phoneticPr fontId="7"/>
  </si>
  <si>
    <t>(20,20,01)</t>
    <phoneticPr fontId="7"/>
  </si>
  <si>
    <t>ごみ集計結果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</si>
</sst>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.0"/>
    <numFmt numFmtId="177" formatCode="#,##0.0;[Red]\-#,##0.0"/>
    <numFmt numFmtId="178" formatCode="#,##0\)_ ;[Red]\-#,##0\ \)"/>
    <numFmt numFmtId="179" formatCode="\(#,###\)"/>
  </numFmts>
  <fonts count="19"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4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b/>
      <sz val="11"/>
      <color indexed="10"/>
      <name val="ＭＳ ゴシック"/>
      <family val="3"/>
      <charset val="128"/>
    </font>
    <font>
      <b/>
      <sz val="12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38" fontId="1" fillId="0" borderId="0" applyFont="0" applyFill="0" applyBorder="0" applyAlignment="0" applyProtection="0">
      <alignment vertical="center"/>
    </xf>
    <xf numFmtId="0" fontId="13" fillId="0" borderId="0"/>
  </cellStyleXfs>
  <cellXfs count="284">
    <xf numFmtId="0" fontId="0" fillId="0" borderId="0" xfId="0">
      <alignment vertical="center"/>
    </xf>
    <xf numFmtId="0" fontId="2" fillId="0" borderId="0" xfId="1" applyNumberFormat="1" applyFont="1" applyAlignment="1">
      <alignment vertical="center"/>
    </xf>
    <xf numFmtId="0" fontId="4" fillId="0" borderId="0" xfId="1" quotePrefix="1" applyNumberFormat="1" applyFont="1" applyAlignment="1">
      <alignment vertical="center"/>
    </xf>
    <xf numFmtId="0" fontId="4" fillId="0" borderId="0" xfId="1" applyNumberFormat="1" applyFont="1" applyAlignment="1">
      <alignment vertical="center"/>
    </xf>
    <xf numFmtId="0" fontId="4" fillId="0" borderId="0" xfId="1" applyNumberFormat="1" applyFont="1" applyBorder="1" applyAlignment="1">
      <alignment vertical="center"/>
    </xf>
    <xf numFmtId="0" fontId="4" fillId="0" borderId="0" xfId="1" applyNumberFormat="1" applyFont="1" applyAlignment="1">
      <alignment horizontal="right" vertical="center"/>
    </xf>
    <xf numFmtId="0" fontId="5" fillId="0" borderId="0" xfId="1" applyNumberFormat="1" applyFont="1" applyBorder="1" applyAlignment="1">
      <alignment vertical="center"/>
    </xf>
    <xf numFmtId="0" fontId="6" fillId="2" borderId="1" xfId="1" applyNumberFormat="1" applyFont="1" applyFill="1" applyBorder="1" applyAlignment="1">
      <alignment vertical="center" wrapText="1"/>
    </xf>
    <xf numFmtId="0" fontId="6" fillId="2" borderId="1" xfId="1" quotePrefix="1" applyNumberFormat="1" applyFont="1" applyFill="1" applyBorder="1" applyAlignment="1">
      <alignment vertical="center" wrapText="1"/>
    </xf>
    <xf numFmtId="0" fontId="6" fillId="2" borderId="1" xfId="1" quotePrefix="1" applyNumberFormat="1" applyFont="1" applyFill="1" applyBorder="1" applyAlignment="1">
      <alignment vertical="center"/>
    </xf>
    <xf numFmtId="0" fontId="6" fillId="0" borderId="0" xfId="1" applyNumberFormat="1" applyFont="1" applyAlignment="1">
      <alignment vertical="center"/>
    </xf>
    <xf numFmtId="0" fontId="6" fillId="2" borderId="1" xfId="1" applyNumberFormat="1" applyFont="1" applyFill="1" applyBorder="1" applyAlignment="1">
      <alignment vertical="center"/>
    </xf>
    <xf numFmtId="0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3" fontId="6" fillId="0" borderId="0" xfId="1" applyNumberFormat="1" applyFont="1" applyAlignment="1">
      <alignment horizontal="right" vertical="center"/>
    </xf>
    <xf numFmtId="176" fontId="6" fillId="0" borderId="0" xfId="1" applyNumberFormat="1" applyFont="1" applyAlignment="1">
      <alignment horizontal="right" vertical="center"/>
    </xf>
    <xf numFmtId="0" fontId="6" fillId="0" borderId="1" xfId="0" applyFont="1" applyBorder="1">
      <alignment vertical="center"/>
    </xf>
    <xf numFmtId="49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2" borderId="2" xfId="1" quotePrefix="1" applyNumberFormat="1" applyFont="1" applyFill="1" applyBorder="1" applyAlignment="1">
      <alignment vertical="center"/>
    </xf>
    <xf numFmtId="0" fontId="6" fillId="2" borderId="2" xfId="1" applyNumberFormat="1" applyFont="1" applyFill="1" applyBorder="1" applyAlignment="1">
      <alignment vertical="center"/>
    </xf>
    <xf numFmtId="0" fontId="6" fillId="2" borderId="3" xfId="1" applyNumberFormat="1" applyFont="1" applyFill="1" applyBorder="1" applyAlignment="1">
      <alignment vertical="center"/>
    </xf>
    <xf numFmtId="0" fontId="4" fillId="0" borderId="0" xfId="1" applyNumberFormat="1" applyFont="1" applyAlignment="1"/>
    <xf numFmtId="0" fontId="6" fillId="2" borderId="1" xfId="2" quotePrefix="1" applyNumberFormat="1" applyFont="1" applyFill="1" applyBorder="1" applyAlignment="1">
      <alignment vertical="center"/>
    </xf>
    <xf numFmtId="0" fontId="6" fillId="0" borderId="0" xfId="1" applyNumberFormat="1" applyFont="1" applyAlignment="1"/>
    <xf numFmtId="0" fontId="6" fillId="0" borderId="1" xfId="0" applyFont="1" applyBorder="1" applyAlignment="1"/>
    <xf numFmtId="0" fontId="6" fillId="0" borderId="0" xfId="3" applyNumberFormat="1" applyFont="1" applyAlignment="1">
      <alignment vertical="center"/>
    </xf>
    <xf numFmtId="0" fontId="6" fillId="2" borderId="1" xfId="3" applyNumberFormat="1" applyFont="1" applyFill="1" applyBorder="1" applyAlignment="1">
      <alignment vertical="center"/>
    </xf>
    <xf numFmtId="0" fontId="6" fillId="2" borderId="1" xfId="3" quotePrefix="1" applyNumberFormat="1" applyFont="1" applyFill="1" applyBorder="1" applyAlignment="1">
      <alignment vertical="center" wrapText="1"/>
    </xf>
    <xf numFmtId="0" fontId="6" fillId="2" borderId="1" xfId="3" applyNumberFormat="1" applyFont="1" applyFill="1" applyBorder="1" applyAlignment="1">
      <alignment vertical="center" wrapText="1"/>
    </xf>
    <xf numFmtId="0" fontId="6" fillId="2" borderId="1" xfId="3" quotePrefix="1" applyNumberFormat="1" applyFont="1" applyFill="1" applyBorder="1" applyAlignment="1">
      <alignment vertical="center"/>
    </xf>
    <xf numFmtId="0" fontId="6" fillId="2" borderId="1" xfId="2" quotePrefix="1" applyNumberFormat="1" applyFont="1" applyFill="1" applyBorder="1" applyAlignment="1">
      <alignment vertical="center" wrapText="1"/>
    </xf>
    <xf numFmtId="0" fontId="6" fillId="0" borderId="0" xfId="3" applyNumberFormat="1" applyFont="1" applyAlignment="1">
      <alignment horizontal="center" vertical="center"/>
    </xf>
    <xf numFmtId="3" fontId="4" fillId="0" borderId="0" xfId="1" applyNumberFormat="1" applyFont="1" applyAlignment="1">
      <alignment vertical="center"/>
    </xf>
    <xf numFmtId="49" fontId="6" fillId="2" borderId="1" xfId="1" applyNumberFormat="1" applyFont="1" applyFill="1" applyBorder="1" applyAlignment="1">
      <alignment vertical="center" wrapText="1"/>
    </xf>
    <xf numFmtId="3" fontId="6" fillId="2" borderId="1" xfId="1" applyNumberFormat="1" applyFont="1" applyFill="1" applyBorder="1" applyAlignment="1">
      <alignment vertical="center"/>
    </xf>
    <xf numFmtId="3" fontId="6" fillId="2" borderId="1" xfId="1" applyNumberFormat="1" applyFont="1" applyFill="1" applyBorder="1" applyAlignment="1">
      <alignment vertical="center" wrapText="1"/>
    </xf>
    <xf numFmtId="0" fontId="8" fillId="0" borderId="0" xfId="4" applyFont="1" applyFill="1" applyAlignment="1">
      <alignment vertical="center"/>
    </xf>
    <xf numFmtId="0" fontId="8" fillId="0" borderId="0" xfId="4" applyNumberFormat="1" applyFont="1" applyFill="1" applyAlignment="1">
      <alignment vertical="center"/>
    </xf>
    <xf numFmtId="49" fontId="8" fillId="0" borderId="0" xfId="4" applyNumberFormat="1" applyFont="1" applyFill="1" applyAlignment="1">
      <alignment vertical="center"/>
    </xf>
    <xf numFmtId="0" fontId="8" fillId="0" borderId="0" xfId="4" applyFont="1" applyFill="1" applyAlignment="1">
      <alignment vertical="center" wrapText="1"/>
    </xf>
    <xf numFmtId="0" fontId="9" fillId="0" borderId="0" xfId="4" applyFont="1" applyFill="1" applyAlignment="1">
      <alignment horizontal="right" vertical="center"/>
    </xf>
    <xf numFmtId="49" fontId="10" fillId="0" borderId="4" xfId="4" applyNumberFormat="1" applyFont="1" applyFill="1" applyBorder="1" applyAlignment="1" applyProtection="1">
      <alignment horizontal="center" vertical="center"/>
      <protection locked="0"/>
    </xf>
    <xf numFmtId="0" fontId="8" fillId="0" borderId="0" xfId="4" applyFont="1" applyFill="1" applyAlignment="1">
      <alignment horizontal="left" vertical="center"/>
    </xf>
    <xf numFmtId="0" fontId="8" fillId="0" borderId="0" xfId="4" quotePrefix="1" applyFont="1" applyFill="1" applyAlignment="1">
      <alignment horizontal="left" vertical="center"/>
    </xf>
    <xf numFmtId="0" fontId="8" fillId="0" borderId="0" xfId="4" applyNumberFormat="1" applyFont="1" applyFill="1" applyAlignment="1">
      <alignment horizontal="center" vertical="center"/>
    </xf>
    <xf numFmtId="0" fontId="8" fillId="3" borderId="0" xfId="4" applyNumberFormat="1" applyFont="1" applyFill="1" applyAlignment="1">
      <alignment vertical="center"/>
    </xf>
    <xf numFmtId="0" fontId="1" fillId="0" borderId="0" xfId="1" applyNumberFormat="1" applyFont="1" applyFill="1">
      <alignment vertical="center"/>
    </xf>
    <xf numFmtId="0" fontId="11" fillId="0" borderId="0" xfId="5" applyFont="1" applyFill="1" applyBorder="1" applyAlignment="1">
      <alignment vertical="center"/>
    </xf>
    <xf numFmtId="0" fontId="12" fillId="0" borderId="0" xfId="5" applyFont="1" applyFill="1" applyBorder="1" applyAlignment="1">
      <alignment vertical="center"/>
    </xf>
    <xf numFmtId="0" fontId="12" fillId="0" borderId="0" xfId="4" quotePrefix="1" applyFont="1" applyFill="1" applyAlignment="1">
      <alignment horizontal="left" vertical="center"/>
    </xf>
    <xf numFmtId="0" fontId="8" fillId="0" borderId="5" xfId="4" applyFont="1" applyFill="1" applyBorder="1" applyAlignment="1">
      <alignment horizontal="center" vertical="center"/>
    </xf>
    <xf numFmtId="0" fontId="8" fillId="0" borderId="6" xfId="4" applyFont="1" applyFill="1" applyBorder="1"/>
    <xf numFmtId="0" fontId="8" fillId="0" borderId="7" xfId="4" applyFont="1" applyFill="1" applyBorder="1" applyAlignment="1">
      <alignment horizontal="center" vertical="center"/>
    </xf>
    <xf numFmtId="0" fontId="8" fillId="0" borderId="8" xfId="4" applyFont="1" applyFill="1" applyBorder="1" applyAlignment="1">
      <alignment horizontal="center" vertical="center"/>
    </xf>
    <xf numFmtId="0" fontId="8" fillId="0" borderId="8" xfId="4" applyFont="1" applyFill="1" applyBorder="1"/>
    <xf numFmtId="0" fontId="8" fillId="0" borderId="9" xfId="4" applyFont="1" applyFill="1" applyBorder="1"/>
    <xf numFmtId="0" fontId="8" fillId="0" borderId="7" xfId="4" applyFont="1" applyFill="1" applyBorder="1" applyAlignment="1">
      <alignment horizontal="center" vertical="center" wrapText="1"/>
    </xf>
    <xf numFmtId="0" fontId="8" fillId="0" borderId="10" xfId="4" applyFont="1" applyFill="1" applyBorder="1" applyAlignment="1">
      <alignment vertical="center"/>
    </xf>
    <xf numFmtId="0" fontId="8" fillId="0" borderId="8" xfId="4" applyFont="1" applyFill="1" applyBorder="1" applyAlignment="1">
      <alignment vertical="center"/>
    </xf>
    <xf numFmtId="0" fontId="8" fillId="0" borderId="9" xfId="4" applyFont="1" applyFill="1" applyBorder="1" applyAlignment="1">
      <alignment vertical="center"/>
    </xf>
    <xf numFmtId="38" fontId="8" fillId="0" borderId="11" xfId="6" applyFont="1" applyFill="1" applyBorder="1" applyAlignment="1">
      <alignment vertical="center"/>
    </xf>
    <xf numFmtId="38" fontId="8" fillId="0" borderId="12" xfId="6" applyNumberFormat="1" applyFont="1" applyFill="1" applyBorder="1" applyAlignment="1">
      <alignment vertical="center"/>
    </xf>
    <xf numFmtId="0" fontId="8" fillId="0" borderId="13" xfId="4" applyFont="1" applyFill="1" applyBorder="1"/>
    <xf numFmtId="0" fontId="8" fillId="0" borderId="14" xfId="4" applyFont="1" applyFill="1" applyBorder="1"/>
    <xf numFmtId="0" fontId="8" fillId="0" borderId="15" xfId="4" applyFont="1" applyFill="1" applyBorder="1" applyAlignment="1">
      <alignment horizontal="center" vertical="center"/>
    </xf>
    <xf numFmtId="0" fontId="8" fillId="0" borderId="16" xfId="4" applyFont="1" applyFill="1" applyBorder="1" applyAlignment="1">
      <alignment horizontal="center" vertical="center"/>
    </xf>
    <xf numFmtId="0" fontId="8" fillId="0" borderId="17" xfId="4" applyFont="1" applyFill="1" applyBorder="1" applyAlignment="1">
      <alignment horizontal="center" vertical="center"/>
    </xf>
    <xf numFmtId="0" fontId="8" fillId="0" borderId="18" xfId="4" applyFont="1" applyFill="1" applyBorder="1" applyAlignment="1">
      <alignment horizontal="center" vertical="center"/>
    </xf>
    <xf numFmtId="0" fontId="8" fillId="0" borderId="15" xfId="4" applyFont="1" applyFill="1" applyBorder="1" applyAlignment="1">
      <alignment horizontal="center" vertical="center" wrapText="1"/>
    </xf>
    <xf numFmtId="0" fontId="8" fillId="0" borderId="19" xfId="4" applyFont="1" applyFill="1" applyBorder="1" applyAlignment="1">
      <alignment vertical="center"/>
    </xf>
    <xf numFmtId="0" fontId="8" fillId="0" borderId="20" xfId="4" applyFont="1" applyFill="1" applyBorder="1" applyAlignment="1">
      <alignment vertical="center"/>
    </xf>
    <xf numFmtId="0" fontId="8" fillId="0" borderId="21" xfId="4" applyFont="1" applyFill="1" applyBorder="1" applyAlignment="1">
      <alignment vertical="center"/>
    </xf>
    <xf numFmtId="38" fontId="8" fillId="0" borderId="22" xfId="6" applyFont="1" applyFill="1" applyBorder="1" applyAlignment="1">
      <alignment vertical="center"/>
    </xf>
    <xf numFmtId="0" fontId="8" fillId="0" borderId="7" xfId="4" applyFont="1" applyFill="1" applyBorder="1" applyAlignment="1">
      <alignment horizontal="center" vertical="center" textRotation="255"/>
    </xf>
    <xf numFmtId="0" fontId="8" fillId="0" borderId="23" xfId="4" applyFont="1" applyFill="1" applyBorder="1" applyAlignment="1">
      <alignment vertical="center"/>
    </xf>
    <xf numFmtId="0" fontId="8" fillId="0" borderId="0" xfId="4" applyFont="1" applyFill="1" applyBorder="1" applyAlignment="1">
      <alignment vertical="center"/>
    </xf>
    <xf numFmtId="38" fontId="8" fillId="0" borderId="4" xfId="6" applyFont="1" applyFill="1" applyBorder="1" applyAlignment="1">
      <alignment vertical="center"/>
    </xf>
    <xf numFmtId="38" fontId="8" fillId="0" borderId="24" xfId="6" applyFont="1" applyFill="1" applyBorder="1" applyAlignment="1">
      <alignment horizontal="center" vertical="center"/>
    </xf>
    <xf numFmtId="38" fontId="8" fillId="0" borderId="25" xfId="6" applyFont="1" applyFill="1" applyBorder="1" applyAlignment="1">
      <alignment horizontal="center" vertical="center"/>
    </xf>
    <xf numFmtId="38" fontId="8" fillId="0" borderId="26" xfId="6" applyFont="1" applyFill="1" applyBorder="1" applyAlignment="1">
      <alignment horizontal="center" vertical="center"/>
    </xf>
    <xf numFmtId="38" fontId="8" fillId="0" borderId="7" xfId="6" applyFont="1" applyFill="1" applyBorder="1" applyAlignment="1">
      <alignment vertical="center"/>
    </xf>
    <xf numFmtId="0" fontId="8" fillId="0" borderId="27" xfId="4" quotePrefix="1" applyFont="1" applyFill="1" applyBorder="1" applyAlignment="1">
      <alignment horizontal="center" vertical="center"/>
    </xf>
    <xf numFmtId="38" fontId="8" fillId="0" borderId="27" xfId="6" applyFont="1" applyFill="1" applyBorder="1" applyAlignment="1">
      <alignment vertical="center"/>
    </xf>
    <xf numFmtId="0" fontId="8" fillId="0" borderId="28" xfId="4" quotePrefix="1" applyFont="1" applyFill="1" applyBorder="1" applyAlignment="1">
      <alignment horizontal="center" vertical="center" textRotation="255"/>
    </xf>
    <xf numFmtId="0" fontId="8" fillId="0" borderId="28" xfId="4" applyFont="1" applyFill="1" applyBorder="1" applyAlignment="1">
      <alignment horizontal="center" vertical="center" textRotation="255"/>
    </xf>
    <xf numFmtId="0" fontId="8" fillId="0" borderId="10" xfId="4" applyFont="1" applyFill="1" applyBorder="1" applyAlignment="1">
      <alignment horizontal="center" vertical="center" textRotation="255"/>
    </xf>
    <xf numFmtId="0" fontId="8" fillId="0" borderId="29" xfId="4" applyFont="1" applyFill="1" applyBorder="1" applyAlignment="1">
      <alignment vertical="center"/>
    </xf>
    <xf numFmtId="38" fontId="8" fillId="0" borderId="30" xfId="6" applyFont="1" applyFill="1" applyBorder="1" applyAlignment="1">
      <alignment horizontal="center" vertical="center"/>
    </xf>
    <xf numFmtId="38" fontId="8" fillId="0" borderId="31" xfId="6" applyFont="1" applyFill="1" applyBorder="1" applyAlignment="1">
      <alignment horizontal="center" vertical="center"/>
    </xf>
    <xf numFmtId="38" fontId="8" fillId="0" borderId="29" xfId="6" applyFont="1" applyFill="1" applyBorder="1" applyAlignment="1">
      <alignment horizontal="center" vertical="center"/>
    </xf>
    <xf numFmtId="0" fontId="8" fillId="0" borderId="11" xfId="4" applyFont="1" applyFill="1" applyBorder="1" applyAlignment="1">
      <alignment horizontal="center" vertical="center"/>
    </xf>
    <xf numFmtId="0" fontId="8" fillId="0" borderId="27" xfId="4" applyFont="1" applyFill="1" applyBorder="1" applyAlignment="1">
      <alignment horizontal="center" vertical="center"/>
    </xf>
    <xf numFmtId="0" fontId="8" fillId="0" borderId="19" xfId="4" applyFont="1" applyFill="1" applyBorder="1" applyAlignment="1">
      <alignment horizontal="center" vertical="center" textRotation="255"/>
    </xf>
    <xf numFmtId="0" fontId="8" fillId="0" borderId="32" xfId="4" applyFont="1" applyFill="1" applyBorder="1" applyAlignment="1">
      <alignment vertical="center"/>
    </xf>
    <xf numFmtId="38" fontId="8" fillId="0" borderId="33" xfId="6" applyFont="1" applyFill="1" applyBorder="1" applyAlignment="1">
      <alignment horizontal="center" vertical="center"/>
    </xf>
    <xf numFmtId="38" fontId="8" fillId="0" borderId="1" xfId="6" applyFont="1" applyFill="1" applyBorder="1" applyAlignment="1">
      <alignment horizontal="center" vertical="center"/>
    </xf>
    <xf numFmtId="38" fontId="8" fillId="0" borderId="34" xfId="6" applyFont="1" applyFill="1" applyBorder="1" applyAlignment="1">
      <alignment horizontal="center" vertical="center"/>
    </xf>
    <xf numFmtId="0" fontId="8" fillId="0" borderId="22" xfId="4" applyFont="1" applyFill="1" applyBorder="1" applyAlignment="1">
      <alignment horizontal="center" vertical="center"/>
    </xf>
    <xf numFmtId="0" fontId="8" fillId="0" borderId="0" xfId="4" applyFont="1" applyFill="1" applyBorder="1" applyAlignment="1">
      <alignment horizontal="center" vertical="center"/>
    </xf>
    <xf numFmtId="0" fontId="8" fillId="0" borderId="0" xfId="4" quotePrefix="1" applyFont="1" applyFill="1" applyBorder="1" applyAlignment="1">
      <alignment horizontal="center" vertical="center"/>
    </xf>
    <xf numFmtId="38" fontId="8" fillId="0" borderId="0" xfId="6" applyFont="1" applyFill="1" applyBorder="1" applyAlignment="1">
      <alignment vertical="center"/>
    </xf>
    <xf numFmtId="0" fontId="8" fillId="0" borderId="35" xfId="4" applyFont="1" applyFill="1" applyBorder="1" applyAlignment="1">
      <alignment vertical="center"/>
    </xf>
    <xf numFmtId="0" fontId="8" fillId="0" borderId="4" xfId="4" applyFont="1" applyFill="1" applyBorder="1" applyAlignment="1">
      <alignment horizontal="center" vertical="center"/>
    </xf>
    <xf numFmtId="38" fontId="8" fillId="0" borderId="4" xfId="6" applyFont="1" applyFill="1" applyBorder="1" applyAlignment="1">
      <alignment horizontal="center" vertical="center"/>
    </xf>
    <xf numFmtId="0" fontId="8" fillId="0" borderId="34" xfId="4" applyFont="1" applyFill="1" applyBorder="1" applyAlignment="1">
      <alignment vertical="center"/>
    </xf>
    <xf numFmtId="0" fontId="8" fillId="0" borderId="5" xfId="4" applyFont="1" applyFill="1" applyBorder="1" applyAlignment="1">
      <alignment horizontal="center" vertical="center" textRotation="255"/>
    </xf>
    <xf numFmtId="0" fontId="8" fillId="0" borderId="36" xfId="4" applyFont="1" applyFill="1" applyBorder="1" applyAlignment="1">
      <alignment horizontal="center" vertical="center" textRotation="255"/>
    </xf>
    <xf numFmtId="0" fontId="8" fillId="0" borderId="37" xfId="4" applyFont="1" applyFill="1" applyBorder="1" applyAlignment="1">
      <alignment vertical="center"/>
    </xf>
    <xf numFmtId="0" fontId="8" fillId="0" borderId="12" xfId="4" applyFont="1" applyFill="1" applyBorder="1" applyAlignment="1">
      <alignment horizontal="center" vertical="center" textRotation="255"/>
    </xf>
    <xf numFmtId="0" fontId="8" fillId="0" borderId="38" xfId="4" quotePrefix="1" applyFont="1" applyFill="1" applyBorder="1" applyAlignment="1">
      <alignment horizontal="center" vertical="center" textRotation="255"/>
    </xf>
    <xf numFmtId="0" fontId="8" fillId="0" borderId="39" xfId="4" applyFont="1" applyFill="1" applyBorder="1" applyAlignment="1">
      <alignment horizontal="center" vertical="center" textRotation="255"/>
    </xf>
    <xf numFmtId="0" fontId="8" fillId="0" borderId="40" xfId="4" applyFont="1" applyFill="1" applyBorder="1" applyAlignment="1">
      <alignment vertical="center"/>
    </xf>
    <xf numFmtId="38" fontId="8" fillId="0" borderId="16" xfId="6" applyFont="1" applyFill="1" applyBorder="1" applyAlignment="1">
      <alignment horizontal="center" vertical="center"/>
    </xf>
    <xf numFmtId="38" fontId="8" fillId="0" borderId="17" xfId="6" applyFont="1" applyFill="1" applyBorder="1" applyAlignment="1">
      <alignment horizontal="center" vertical="center"/>
    </xf>
    <xf numFmtId="38" fontId="8" fillId="0" borderId="40" xfId="6" applyFont="1" applyFill="1" applyBorder="1" applyAlignment="1">
      <alignment horizontal="center" vertical="center"/>
    </xf>
    <xf numFmtId="0" fontId="8" fillId="0" borderId="27" xfId="4" applyFont="1" applyFill="1" applyBorder="1" applyAlignment="1">
      <alignment horizontal="center" vertical="center"/>
    </xf>
    <xf numFmtId="0" fontId="8" fillId="0" borderId="13" xfId="4" applyFont="1" applyFill="1" applyBorder="1" applyAlignment="1">
      <alignment horizontal="center" vertical="center" textRotation="255"/>
    </xf>
    <xf numFmtId="0" fontId="8" fillId="0" borderId="24" xfId="4" applyFont="1" applyFill="1" applyBorder="1" applyAlignment="1">
      <alignment horizontal="left" vertical="center"/>
    </xf>
    <xf numFmtId="0" fontId="8" fillId="0" borderId="41" xfId="4" applyFont="1" applyFill="1" applyBorder="1" applyAlignment="1">
      <alignment horizontal="left" vertical="center"/>
    </xf>
    <xf numFmtId="38" fontId="8" fillId="0" borderId="15" xfId="6" applyFont="1" applyFill="1" applyBorder="1" applyAlignment="1">
      <alignment vertical="center"/>
    </xf>
    <xf numFmtId="38" fontId="8" fillId="0" borderId="42" xfId="6" applyFont="1" applyFill="1" applyBorder="1" applyAlignment="1">
      <alignment horizontal="center" vertical="center"/>
    </xf>
    <xf numFmtId="38" fontId="8" fillId="0" borderId="43" xfId="6" applyFont="1" applyFill="1" applyBorder="1" applyAlignment="1">
      <alignment vertical="center"/>
    </xf>
    <xf numFmtId="38" fontId="8" fillId="0" borderId="44" xfId="6" applyFont="1" applyFill="1" applyBorder="1" applyAlignment="1">
      <alignment vertical="center"/>
    </xf>
    <xf numFmtId="0" fontId="8" fillId="0" borderId="45" xfId="4" applyFont="1" applyFill="1" applyBorder="1" applyAlignment="1">
      <alignment horizontal="left" vertical="center"/>
    </xf>
    <xf numFmtId="0" fontId="8" fillId="0" borderId="46" xfId="4" applyFont="1" applyFill="1" applyBorder="1" applyAlignment="1">
      <alignment horizontal="left" vertical="center"/>
    </xf>
    <xf numFmtId="38" fontId="8" fillId="0" borderId="47" xfId="6" applyFont="1" applyFill="1" applyBorder="1" applyAlignment="1">
      <alignment vertical="center"/>
    </xf>
    <xf numFmtId="38" fontId="8" fillId="0" borderId="48" xfId="6" applyFont="1" applyFill="1" applyBorder="1" applyAlignment="1">
      <alignment vertical="center"/>
    </xf>
    <xf numFmtId="38" fontId="8" fillId="0" borderId="31" xfId="6" applyFont="1" applyFill="1" applyBorder="1" applyAlignment="1">
      <alignment vertical="center"/>
    </xf>
    <xf numFmtId="38" fontId="8" fillId="0" borderId="49" xfId="6" applyFont="1" applyFill="1" applyBorder="1" applyAlignment="1">
      <alignment vertical="center"/>
    </xf>
    <xf numFmtId="0" fontId="8" fillId="0" borderId="50" xfId="4" applyFont="1" applyFill="1" applyBorder="1" applyAlignment="1">
      <alignment horizontal="left" vertical="center"/>
    </xf>
    <xf numFmtId="0" fontId="8" fillId="0" borderId="20" xfId="4" applyFont="1" applyFill="1" applyBorder="1" applyAlignment="1">
      <alignment horizontal="left" vertical="center"/>
    </xf>
    <xf numFmtId="38" fontId="8" fillId="0" borderId="51" xfId="6" applyFont="1" applyFill="1" applyBorder="1" applyAlignment="1">
      <alignment vertical="center"/>
    </xf>
    <xf numFmtId="38" fontId="8" fillId="0" borderId="1" xfId="6" applyFont="1" applyFill="1" applyBorder="1" applyAlignment="1">
      <alignment vertical="center"/>
    </xf>
    <xf numFmtId="38" fontId="8" fillId="0" borderId="34" xfId="6" applyFont="1" applyFill="1" applyBorder="1" applyAlignment="1">
      <alignment vertical="center"/>
    </xf>
    <xf numFmtId="0" fontId="8" fillId="0" borderId="49" xfId="4" quotePrefix="1" applyFont="1" applyFill="1" applyBorder="1" applyAlignment="1">
      <alignment horizontal="center" vertical="center" textRotation="255"/>
    </xf>
    <xf numFmtId="0" fontId="8" fillId="0" borderId="52" xfId="4" applyFont="1" applyFill="1" applyBorder="1" applyAlignment="1">
      <alignment vertical="center"/>
    </xf>
    <xf numFmtId="38" fontId="8" fillId="0" borderId="53" xfId="6" applyFont="1" applyFill="1" applyBorder="1" applyAlignment="1">
      <alignment vertical="center"/>
    </xf>
    <xf numFmtId="0" fontId="8" fillId="0" borderId="54" xfId="4" applyFont="1" applyFill="1" applyBorder="1" applyAlignment="1">
      <alignment horizontal="left" vertical="center"/>
    </xf>
    <xf numFmtId="0" fontId="8" fillId="0" borderId="55" xfId="4" applyFont="1" applyFill="1" applyBorder="1" applyAlignment="1">
      <alignment horizontal="center" vertical="center" textRotation="255"/>
    </xf>
    <xf numFmtId="38" fontId="8" fillId="0" borderId="50" xfId="6" applyFont="1" applyFill="1" applyBorder="1" applyAlignment="1">
      <alignment vertical="center"/>
    </xf>
    <xf numFmtId="0" fontId="8" fillId="0" borderId="3" xfId="4" applyFont="1" applyFill="1" applyBorder="1" applyAlignment="1">
      <alignment horizontal="center" vertical="center" textRotation="255"/>
    </xf>
    <xf numFmtId="0" fontId="8" fillId="0" borderId="56" xfId="4" applyFont="1" applyFill="1" applyBorder="1" applyAlignment="1">
      <alignment horizontal="left" vertical="center"/>
    </xf>
    <xf numFmtId="0" fontId="8" fillId="0" borderId="57" xfId="4" applyFont="1" applyFill="1" applyBorder="1" applyAlignment="1">
      <alignment horizontal="left" vertical="center"/>
    </xf>
    <xf numFmtId="38" fontId="8" fillId="0" borderId="58" xfId="6" applyFont="1" applyFill="1" applyBorder="1" applyAlignment="1">
      <alignment vertical="center"/>
    </xf>
    <xf numFmtId="38" fontId="8" fillId="0" borderId="17" xfId="6" applyFont="1" applyFill="1" applyBorder="1" applyAlignment="1">
      <alignment vertical="center"/>
    </xf>
    <xf numFmtId="0" fontId="8" fillId="0" borderId="59" xfId="4" applyFont="1" applyFill="1" applyBorder="1" applyAlignment="1">
      <alignment horizontal="left" vertical="center"/>
    </xf>
    <xf numFmtId="0" fontId="8" fillId="0" borderId="0" xfId="4" applyFont="1" applyFill="1" applyBorder="1" applyAlignment="1">
      <alignment horizontal="left" vertical="center"/>
    </xf>
    <xf numFmtId="38" fontId="8" fillId="0" borderId="28" xfId="6" applyFont="1" applyFill="1" applyBorder="1" applyAlignment="1">
      <alignment vertical="center"/>
    </xf>
    <xf numFmtId="38" fontId="8" fillId="0" borderId="60" xfId="6" applyFont="1" applyFill="1" applyBorder="1" applyAlignment="1">
      <alignment vertical="center"/>
    </xf>
    <xf numFmtId="38" fontId="8" fillId="0" borderId="3" xfId="6" applyFont="1" applyFill="1" applyBorder="1" applyAlignment="1">
      <alignment vertical="center"/>
    </xf>
    <xf numFmtId="38" fontId="8" fillId="0" borderId="61" xfId="6" applyFont="1" applyFill="1" applyBorder="1" applyAlignment="1">
      <alignment vertical="center"/>
    </xf>
    <xf numFmtId="0" fontId="8" fillId="0" borderId="13" xfId="4" quotePrefix="1" applyFont="1" applyFill="1" applyBorder="1" applyAlignment="1">
      <alignment horizontal="center" vertical="center" textRotation="255"/>
    </xf>
    <xf numFmtId="0" fontId="8" fillId="0" borderId="14" xfId="4" applyFont="1" applyFill="1" applyBorder="1" applyAlignment="1">
      <alignment horizontal="left" vertical="center"/>
    </xf>
    <xf numFmtId="38" fontId="8" fillId="0" borderId="24" xfId="6" applyFont="1" applyFill="1" applyBorder="1" applyAlignment="1">
      <alignment vertical="center"/>
    </xf>
    <xf numFmtId="38" fontId="8" fillId="0" borderId="25" xfId="6" applyFont="1" applyFill="1" applyBorder="1" applyAlignment="1">
      <alignment vertical="center"/>
    </xf>
    <xf numFmtId="38" fontId="8" fillId="0" borderId="26" xfId="6" applyFont="1" applyFill="1" applyBorder="1" applyAlignment="1">
      <alignment vertical="center"/>
    </xf>
    <xf numFmtId="38" fontId="8" fillId="0" borderId="4" xfId="4" applyNumberFormat="1" applyFont="1" applyFill="1" applyBorder="1" applyAlignment="1">
      <alignment vertical="center"/>
    </xf>
    <xf numFmtId="0" fontId="8" fillId="0" borderId="49" xfId="4" applyFont="1" applyFill="1" applyBorder="1" applyAlignment="1">
      <alignment horizontal="center" vertical="center" textRotation="255"/>
    </xf>
    <xf numFmtId="38" fontId="8" fillId="0" borderId="20" xfId="6" applyFont="1" applyFill="1" applyBorder="1" applyAlignment="1">
      <alignment vertical="center"/>
    </xf>
    <xf numFmtId="0" fontId="8" fillId="0" borderId="62" xfId="4" applyFont="1" applyFill="1" applyBorder="1" applyAlignment="1">
      <alignment horizontal="left" vertical="center"/>
    </xf>
    <xf numFmtId="0" fontId="8" fillId="0" borderId="63" xfId="4" applyFont="1" applyFill="1" applyBorder="1" applyAlignment="1">
      <alignment horizontal="left" vertical="center"/>
    </xf>
    <xf numFmtId="0" fontId="8" fillId="0" borderId="29" xfId="4" applyFont="1" applyFill="1" applyBorder="1" applyAlignment="1">
      <alignment horizontal="left" vertical="center"/>
    </xf>
    <xf numFmtId="38" fontId="8" fillId="0" borderId="64" xfId="6" applyFont="1" applyFill="1" applyBorder="1" applyAlignment="1">
      <alignment horizontal="center" vertical="center"/>
    </xf>
    <xf numFmtId="38" fontId="8" fillId="0" borderId="63" xfId="6" applyFont="1" applyFill="1" applyBorder="1" applyAlignment="1">
      <alignment horizontal="center" vertical="center"/>
    </xf>
    <xf numFmtId="38" fontId="8" fillId="0" borderId="35" xfId="6" applyFont="1" applyFill="1" applyBorder="1" applyAlignment="1">
      <alignment vertical="center"/>
    </xf>
    <xf numFmtId="38" fontId="8" fillId="0" borderId="11" xfId="6" applyFont="1" applyFill="1" applyBorder="1" applyAlignment="1">
      <alignment horizontal="center" vertical="center"/>
    </xf>
    <xf numFmtId="0" fontId="8" fillId="0" borderId="13" xfId="4" applyFont="1" applyFill="1" applyBorder="1" applyAlignment="1">
      <alignment horizontal="center" vertical="center" textRotation="255"/>
    </xf>
    <xf numFmtId="0" fontId="8" fillId="0" borderId="57" xfId="4" applyFont="1" applyFill="1" applyBorder="1" applyAlignment="1">
      <alignment horizontal="center" vertical="center"/>
    </xf>
    <xf numFmtId="0" fontId="8" fillId="0" borderId="65" xfId="4" applyFont="1" applyFill="1" applyBorder="1" applyAlignment="1">
      <alignment horizontal="center" vertical="center"/>
    </xf>
    <xf numFmtId="0" fontId="8" fillId="0" borderId="66" xfId="4" applyFont="1" applyFill="1" applyBorder="1" applyAlignment="1">
      <alignment horizontal="left" vertical="center"/>
    </xf>
    <xf numFmtId="0" fontId="8" fillId="0" borderId="55" xfId="4" applyFont="1" applyFill="1" applyBorder="1" applyAlignment="1">
      <alignment horizontal="left" vertical="center"/>
    </xf>
    <xf numFmtId="0" fontId="8" fillId="0" borderId="2" xfId="4" applyFont="1" applyFill="1" applyBorder="1" applyAlignment="1">
      <alignment horizontal="left" vertical="center"/>
    </xf>
    <xf numFmtId="38" fontId="8" fillId="0" borderId="67" xfId="6" applyFont="1" applyFill="1" applyBorder="1" applyAlignment="1">
      <alignment horizontal="center" vertical="center"/>
    </xf>
    <xf numFmtId="38" fontId="8" fillId="0" borderId="55" xfId="6" applyFont="1" applyFill="1" applyBorder="1" applyAlignment="1">
      <alignment vertical="center"/>
    </xf>
    <xf numFmtId="38" fontId="8" fillId="0" borderId="68" xfId="6" applyFont="1" applyFill="1" applyBorder="1" applyAlignment="1">
      <alignment horizontal="center" vertical="center"/>
    </xf>
    <xf numFmtId="38" fontId="8" fillId="0" borderId="27" xfId="6" applyFont="1" applyFill="1" applyBorder="1" applyAlignment="1">
      <alignment horizontal="center" vertical="center"/>
    </xf>
    <xf numFmtId="0" fontId="8" fillId="0" borderId="69" xfId="4" applyFont="1" applyFill="1" applyBorder="1" applyAlignment="1">
      <alignment horizontal="center" vertical="center"/>
    </xf>
    <xf numFmtId="0" fontId="8" fillId="0" borderId="59" xfId="4" applyFont="1" applyFill="1" applyBorder="1" applyAlignment="1">
      <alignment horizontal="center" vertical="center"/>
    </xf>
    <xf numFmtId="0" fontId="8" fillId="0" borderId="70" xfId="4" applyFont="1" applyFill="1" applyBorder="1" applyAlignment="1">
      <alignment horizontal="center" vertical="center"/>
    </xf>
    <xf numFmtId="38" fontId="8" fillId="0" borderId="4" xfId="6" applyFont="1" applyFill="1" applyBorder="1" applyAlignment="1">
      <alignment horizontal="right" vertical="center"/>
    </xf>
    <xf numFmtId="38" fontId="8" fillId="0" borderId="24" xfId="6" applyFont="1" applyFill="1" applyBorder="1" applyAlignment="1">
      <alignment horizontal="right" vertical="center"/>
    </xf>
    <xf numFmtId="38" fontId="8" fillId="0" borderId="25" xfId="6" applyFont="1" applyFill="1" applyBorder="1" applyAlignment="1">
      <alignment horizontal="right" vertical="center"/>
    </xf>
    <xf numFmtId="38" fontId="8" fillId="0" borderId="26" xfId="6" applyFont="1" applyFill="1" applyBorder="1" applyAlignment="1">
      <alignment horizontal="right" vertical="center"/>
    </xf>
    <xf numFmtId="0" fontId="8" fillId="0" borderId="6" xfId="4" applyFont="1" applyFill="1" applyBorder="1" applyAlignment="1">
      <alignment horizontal="left" vertical="center"/>
    </xf>
    <xf numFmtId="0" fontId="8" fillId="0" borderId="10" xfId="4" quotePrefix="1" applyFont="1" applyFill="1" applyBorder="1" applyAlignment="1">
      <alignment horizontal="left" vertical="center"/>
    </xf>
    <xf numFmtId="0" fontId="8" fillId="0" borderId="30" xfId="4" applyFont="1" applyFill="1" applyBorder="1" applyAlignment="1">
      <alignment vertical="center"/>
    </xf>
    <xf numFmtId="0" fontId="8" fillId="0" borderId="37" xfId="4" applyFont="1" applyFill="1" applyBorder="1" applyAlignment="1">
      <alignment horizontal="center" vertical="center"/>
    </xf>
    <xf numFmtId="38" fontId="8" fillId="0" borderId="0" xfId="6" applyNumberFormat="1" applyFont="1" applyFill="1" applyBorder="1" applyAlignment="1">
      <alignment vertical="center"/>
    </xf>
    <xf numFmtId="0" fontId="8" fillId="0" borderId="48" xfId="4" applyFont="1" applyFill="1" applyBorder="1" applyAlignment="1">
      <alignment vertical="center"/>
    </xf>
    <xf numFmtId="0" fontId="8" fillId="0" borderId="31" xfId="4" applyFont="1" applyFill="1" applyBorder="1" applyAlignment="1">
      <alignment horizontal="center" vertical="center"/>
    </xf>
    <xf numFmtId="0" fontId="8" fillId="0" borderId="19" xfId="4" quotePrefix="1" applyFont="1" applyFill="1" applyBorder="1" applyAlignment="1">
      <alignment horizontal="center" vertical="center"/>
    </xf>
    <xf numFmtId="0" fontId="8" fillId="0" borderId="33" xfId="4" applyFont="1" applyFill="1" applyBorder="1" applyAlignment="1">
      <alignment vertical="center"/>
    </xf>
    <xf numFmtId="0" fontId="8" fillId="0" borderId="32" xfId="4" applyFont="1" applyFill="1" applyBorder="1" applyAlignment="1">
      <alignment horizontal="center" vertical="center"/>
    </xf>
    <xf numFmtId="0" fontId="8" fillId="0" borderId="51" xfId="4" applyFont="1" applyFill="1" applyBorder="1" applyAlignment="1">
      <alignment horizontal="left" vertical="center"/>
    </xf>
    <xf numFmtId="38" fontId="8" fillId="0" borderId="32" xfId="6" applyFont="1" applyFill="1" applyBorder="1" applyAlignment="1">
      <alignment vertical="center"/>
    </xf>
    <xf numFmtId="0" fontId="8" fillId="0" borderId="19" xfId="4" applyFont="1" applyFill="1" applyBorder="1" applyAlignment="1">
      <alignment horizontal="center" vertical="center"/>
    </xf>
    <xf numFmtId="0" fontId="8" fillId="0" borderId="13" xfId="4" applyFont="1" applyFill="1" applyBorder="1" applyAlignment="1">
      <alignment horizontal="left" vertical="center"/>
    </xf>
    <xf numFmtId="0" fontId="8" fillId="0" borderId="14" xfId="4" applyFont="1" applyFill="1" applyBorder="1" applyAlignment="1">
      <alignment horizontal="left" vertical="center"/>
    </xf>
    <xf numFmtId="0" fontId="8" fillId="0" borderId="71" xfId="4" applyFont="1" applyFill="1" applyBorder="1" applyAlignment="1">
      <alignment horizontal="left" vertical="center"/>
    </xf>
    <xf numFmtId="0" fontId="13" fillId="0" borderId="0" xfId="7" quotePrefix="1" applyFont="1" applyFill="1" applyAlignment="1">
      <alignment vertical="center"/>
    </xf>
    <xf numFmtId="38" fontId="13" fillId="0" borderId="0" xfId="6" quotePrefix="1" applyFont="1" applyFill="1" applyAlignment="1">
      <alignment horizontal="left"/>
    </xf>
    <xf numFmtId="38" fontId="13" fillId="0" borderId="0" xfId="6" applyFont="1" applyFill="1" applyAlignment="1"/>
    <xf numFmtId="38" fontId="8" fillId="0" borderId="32" xfId="6" applyFont="1" applyFill="1" applyBorder="1" applyAlignment="1">
      <alignment horizontal="center" vertical="center"/>
    </xf>
    <xf numFmtId="0" fontId="8" fillId="0" borderId="0" xfId="4" applyFont="1" applyFill="1" applyBorder="1" applyAlignment="1">
      <alignment horizontal="right" vertical="center"/>
    </xf>
    <xf numFmtId="38" fontId="8" fillId="0" borderId="51" xfId="4" applyNumberFormat="1" applyFont="1" applyFill="1" applyBorder="1" applyAlignment="1">
      <alignment horizontal="left" vertical="center"/>
    </xf>
    <xf numFmtId="38" fontId="8" fillId="0" borderId="58" xfId="4" applyNumberFormat="1" applyFont="1" applyFill="1" applyBorder="1" applyAlignment="1">
      <alignment horizontal="left" vertical="center"/>
    </xf>
    <xf numFmtId="38" fontId="8" fillId="0" borderId="18" xfId="6" applyFont="1" applyFill="1" applyBorder="1" applyAlignment="1">
      <alignment vertical="center"/>
    </xf>
    <xf numFmtId="38" fontId="8" fillId="0" borderId="23" xfId="4" applyNumberFormat="1" applyFont="1" applyFill="1" applyBorder="1" applyAlignment="1">
      <alignment vertical="center"/>
    </xf>
    <xf numFmtId="38" fontId="8" fillId="0" borderId="0" xfId="4" applyNumberFormat="1" applyFont="1" applyFill="1" applyBorder="1" applyAlignment="1">
      <alignment vertical="center"/>
    </xf>
    <xf numFmtId="177" fontId="8" fillId="0" borderId="0" xfId="4" applyNumberFormat="1" applyFont="1" applyFill="1" applyBorder="1" applyAlignment="1">
      <alignment vertical="center"/>
    </xf>
    <xf numFmtId="0" fontId="8" fillId="4" borderId="0" xfId="4" applyNumberFormat="1" applyFont="1" applyFill="1" applyAlignment="1">
      <alignment vertical="center"/>
    </xf>
    <xf numFmtId="0" fontId="8" fillId="0" borderId="0" xfId="4" applyNumberFormat="1" applyFont="1" applyFill="1" applyAlignment="1">
      <alignment vertical="center" wrapText="1"/>
    </xf>
    <xf numFmtId="38" fontId="14" fillId="0" borderId="0" xfId="6" quotePrefix="1" applyFont="1" applyFill="1" applyAlignment="1">
      <alignment horizontal="center" vertical="center"/>
    </xf>
    <xf numFmtId="0" fontId="1" fillId="0" borderId="0" xfId="1" applyFill="1" applyAlignment="1">
      <alignment vertical="center" wrapText="1"/>
    </xf>
    <xf numFmtId="0" fontId="1" fillId="0" borderId="0" xfId="1" applyFill="1">
      <alignment vertical="center"/>
    </xf>
    <xf numFmtId="38" fontId="14" fillId="0" borderId="0" xfId="6" quotePrefix="1" applyFont="1" applyFill="1" applyAlignment="1">
      <alignment horizontal="center" vertical="center" wrapText="1"/>
    </xf>
    <xf numFmtId="38" fontId="13" fillId="0" borderId="0" xfId="6" applyFont="1" applyFill="1" applyAlignment="1">
      <alignment vertical="center"/>
    </xf>
    <xf numFmtId="38" fontId="13" fillId="0" borderId="5" xfId="6" quotePrefix="1" applyFont="1" applyFill="1" applyBorder="1" applyAlignment="1">
      <alignment horizontal="left" vertical="center"/>
    </xf>
    <xf numFmtId="38" fontId="13" fillId="0" borderId="72" xfId="6" applyFont="1" applyFill="1" applyBorder="1" applyAlignment="1">
      <alignment horizontal="right" vertical="center"/>
    </xf>
    <xf numFmtId="38" fontId="13" fillId="0" borderId="0" xfId="6" applyFont="1" applyFill="1" applyAlignment="1">
      <alignment horizontal="left" vertical="center"/>
    </xf>
    <xf numFmtId="38" fontId="13" fillId="0" borderId="0" xfId="6" applyFont="1" applyFill="1" applyAlignment="1">
      <alignment horizontal="center" vertical="center"/>
    </xf>
    <xf numFmtId="38" fontId="13" fillId="0" borderId="5" xfId="6" applyFont="1" applyFill="1" applyBorder="1" applyAlignment="1">
      <alignment vertical="center"/>
    </xf>
    <xf numFmtId="38" fontId="13" fillId="0" borderId="72" xfId="6" applyFont="1" applyFill="1" applyBorder="1" applyAlignment="1">
      <alignment vertical="center"/>
    </xf>
    <xf numFmtId="38" fontId="13" fillId="0" borderId="0" xfId="6" applyFont="1" applyFill="1" applyAlignment="1">
      <alignment vertical="center" wrapText="1"/>
    </xf>
    <xf numFmtId="38" fontId="13" fillId="0" borderId="0" xfId="6" applyFont="1" applyFill="1" applyBorder="1" applyAlignment="1">
      <alignment horizontal="right" vertical="center"/>
    </xf>
    <xf numFmtId="38" fontId="13" fillId="0" borderId="13" xfId="6" quotePrefix="1" applyFont="1" applyFill="1" applyBorder="1" applyAlignment="1">
      <alignment horizontal="left" vertical="center"/>
    </xf>
    <xf numFmtId="38" fontId="15" fillId="0" borderId="71" xfId="6" applyFont="1" applyFill="1" applyBorder="1" applyAlignment="1">
      <alignment horizontal="right" vertical="center"/>
    </xf>
    <xf numFmtId="38" fontId="13" fillId="0" borderId="0" xfId="6" applyFont="1" applyFill="1" applyAlignment="1">
      <alignment horizontal="right" vertical="center"/>
    </xf>
    <xf numFmtId="38" fontId="13" fillId="0" borderId="5" xfId="6" applyFont="1" applyFill="1" applyBorder="1" applyAlignment="1">
      <alignment horizontal="left" vertical="center"/>
    </xf>
    <xf numFmtId="38" fontId="13" fillId="0" borderId="5" xfId="6" applyFont="1" applyFill="1" applyBorder="1" applyAlignment="1">
      <alignment horizontal="distributed" vertical="center"/>
    </xf>
    <xf numFmtId="38" fontId="13" fillId="0" borderId="6" xfId="6" quotePrefix="1" applyFont="1" applyFill="1" applyBorder="1" applyAlignment="1">
      <alignment horizontal="left" vertical="center"/>
    </xf>
    <xf numFmtId="38" fontId="15" fillId="0" borderId="72" xfId="6" applyFont="1" applyFill="1" applyBorder="1" applyAlignment="1">
      <alignment horizontal="right" vertical="center"/>
    </xf>
    <xf numFmtId="38" fontId="13" fillId="0" borderId="0" xfId="6" applyFont="1" applyFill="1" applyAlignment="1">
      <alignment horizontal="center" vertical="center"/>
    </xf>
    <xf numFmtId="38" fontId="13" fillId="0" borderId="73" xfId="6" applyFont="1" applyFill="1" applyBorder="1" applyAlignment="1">
      <alignment horizontal="distributed" vertical="center"/>
    </xf>
    <xf numFmtId="38" fontId="13" fillId="0" borderId="74" xfId="6" quotePrefix="1" applyFont="1" applyFill="1" applyBorder="1" applyAlignment="1">
      <alignment horizontal="left" vertical="center"/>
    </xf>
    <xf numFmtId="38" fontId="15" fillId="0" borderId="75" xfId="6" applyFont="1" applyFill="1" applyBorder="1" applyAlignment="1">
      <alignment horizontal="right" vertical="center"/>
    </xf>
    <xf numFmtId="38" fontId="16" fillId="0" borderId="0" xfId="6" applyFont="1" applyFill="1" applyAlignment="1">
      <alignment vertical="top"/>
    </xf>
    <xf numFmtId="38" fontId="16" fillId="0" borderId="0" xfId="6" applyFont="1" applyFill="1" applyAlignment="1">
      <alignment horizontal="right" vertical="top"/>
    </xf>
    <xf numFmtId="178" fontId="16" fillId="0" borderId="0" xfId="6" applyNumberFormat="1" applyFont="1" applyFill="1" applyAlignment="1">
      <alignment horizontal="right" vertical="top"/>
    </xf>
    <xf numFmtId="38" fontId="13" fillId="0" borderId="69" xfId="6" quotePrefix="1" applyFont="1" applyFill="1" applyBorder="1" applyAlignment="1">
      <alignment vertical="center"/>
    </xf>
    <xf numFmtId="38" fontId="15" fillId="0" borderId="70" xfId="6" applyFont="1" applyFill="1" applyBorder="1" applyAlignment="1">
      <alignment horizontal="right" vertical="center"/>
    </xf>
    <xf numFmtId="38" fontId="13" fillId="0" borderId="69" xfId="6" applyFont="1" applyFill="1" applyBorder="1" applyAlignment="1">
      <alignment horizontal="distributed" vertical="center"/>
    </xf>
    <xf numFmtId="38" fontId="13" fillId="0" borderId="59" xfId="6" quotePrefix="1" applyFont="1" applyFill="1" applyBorder="1" applyAlignment="1">
      <alignment horizontal="center" vertical="center"/>
    </xf>
    <xf numFmtId="38" fontId="17" fillId="0" borderId="0" xfId="6" applyFont="1" applyFill="1" applyAlignment="1">
      <alignment horizontal="right" vertical="center"/>
    </xf>
    <xf numFmtId="38" fontId="13" fillId="0" borderId="76" xfId="6" applyFont="1" applyFill="1" applyBorder="1" applyAlignment="1">
      <alignment horizontal="distributed" vertical="center"/>
    </xf>
    <xf numFmtId="38" fontId="13" fillId="0" borderId="77" xfId="6" quotePrefix="1" applyFont="1" applyFill="1" applyBorder="1" applyAlignment="1">
      <alignment horizontal="left" vertical="center"/>
    </xf>
    <xf numFmtId="38" fontId="15" fillId="0" borderId="78" xfId="6" quotePrefix="1" applyFont="1" applyFill="1" applyBorder="1" applyAlignment="1">
      <alignment horizontal="right" vertical="center"/>
    </xf>
    <xf numFmtId="38" fontId="13" fillId="0" borderId="13" xfId="6" applyFont="1" applyFill="1" applyBorder="1" applyAlignment="1">
      <alignment horizontal="distributed" vertical="center"/>
    </xf>
    <xf numFmtId="38" fontId="13" fillId="0" borderId="14" xfId="6" quotePrefix="1" applyFont="1" applyFill="1" applyBorder="1" applyAlignment="1">
      <alignment horizontal="left" vertical="center"/>
    </xf>
    <xf numFmtId="38" fontId="13" fillId="0" borderId="0" xfId="6" quotePrefix="1" applyFont="1" applyFill="1" applyBorder="1" applyAlignment="1">
      <alignment vertical="center"/>
    </xf>
    <xf numFmtId="179" fontId="17" fillId="0" borderId="0" xfId="6" applyNumberFormat="1" applyFont="1" applyFill="1" applyBorder="1" applyAlignment="1">
      <alignment horizontal="right" vertical="center"/>
    </xf>
    <xf numFmtId="38" fontId="13" fillId="0" borderId="59" xfId="6" applyFont="1" applyFill="1" applyBorder="1" applyAlignment="1">
      <alignment vertical="center"/>
    </xf>
    <xf numFmtId="38" fontId="17" fillId="0" borderId="0" xfId="6" applyFont="1" applyFill="1" applyAlignment="1">
      <alignment vertical="center"/>
    </xf>
    <xf numFmtId="38" fontId="13" fillId="0" borderId="69" xfId="6" applyFont="1" applyFill="1" applyBorder="1" applyAlignment="1">
      <alignment vertical="center"/>
    </xf>
    <xf numFmtId="38" fontId="15" fillId="0" borderId="79" xfId="6" applyFont="1" applyFill="1" applyBorder="1" applyAlignment="1">
      <alignment horizontal="right" vertical="center"/>
    </xf>
    <xf numFmtId="38" fontId="18" fillId="0" borderId="0" xfId="6" applyFont="1" applyFill="1" applyAlignment="1">
      <alignment vertical="center"/>
    </xf>
    <xf numFmtId="38" fontId="13" fillId="0" borderId="0" xfId="6" quotePrefix="1" applyFont="1" applyFill="1" applyAlignment="1">
      <alignment vertical="center"/>
    </xf>
    <xf numFmtId="38" fontId="15" fillId="0" borderId="78" xfId="6" applyFont="1" applyFill="1" applyBorder="1" applyAlignment="1">
      <alignment horizontal="right" vertical="center"/>
    </xf>
    <xf numFmtId="179" fontId="13" fillId="0" borderId="0" xfId="6" applyNumberFormat="1" applyFont="1" applyFill="1" applyBorder="1" applyAlignment="1">
      <alignment horizontal="right" vertical="center"/>
    </xf>
    <xf numFmtId="38" fontId="13" fillId="0" borderId="80" xfId="6" applyFont="1" applyFill="1" applyBorder="1" applyAlignment="1">
      <alignment vertical="center"/>
    </xf>
    <xf numFmtId="38" fontId="13" fillId="0" borderId="0" xfId="6" applyFont="1" applyFill="1" applyBorder="1" applyAlignment="1">
      <alignment vertical="center"/>
    </xf>
    <xf numFmtId="38" fontId="15" fillId="0" borderId="0" xfId="6" applyFont="1" applyFill="1" applyBorder="1" applyAlignment="1">
      <alignment horizontal="right" vertical="center"/>
    </xf>
    <xf numFmtId="38" fontId="13" fillId="0" borderId="77" xfId="6" applyFont="1" applyFill="1" applyBorder="1" applyAlignment="1">
      <alignment vertical="center"/>
    </xf>
    <xf numFmtId="38" fontId="13" fillId="0" borderId="69" xfId="6" quotePrefix="1" applyFont="1" applyFill="1" applyBorder="1" applyAlignment="1">
      <alignment horizontal="left" vertical="center"/>
    </xf>
    <xf numFmtId="38" fontId="13" fillId="0" borderId="74" xfId="6" applyFont="1" applyFill="1" applyBorder="1" applyAlignment="1">
      <alignment vertical="center"/>
    </xf>
    <xf numFmtId="38" fontId="13" fillId="0" borderId="0" xfId="6" quotePrefix="1" applyFont="1" applyFill="1" applyAlignment="1">
      <alignment horizontal="left" vertical="center"/>
    </xf>
    <xf numFmtId="38" fontId="13" fillId="0" borderId="0" xfId="6" quotePrefix="1" applyFont="1" applyFill="1" applyBorder="1" applyAlignment="1">
      <alignment horizontal="left" vertical="center"/>
    </xf>
    <xf numFmtId="38" fontId="13" fillId="0" borderId="14" xfId="6" applyFont="1" applyFill="1" applyBorder="1" applyAlignment="1">
      <alignment vertical="center"/>
    </xf>
    <xf numFmtId="38" fontId="13" fillId="0" borderId="81" xfId="6" applyFont="1" applyFill="1" applyBorder="1" applyAlignment="1">
      <alignment horizontal="distributed" vertical="center"/>
    </xf>
    <xf numFmtId="38" fontId="13" fillId="0" borderId="80" xfId="6" quotePrefix="1" applyFont="1" applyFill="1" applyBorder="1" applyAlignment="1">
      <alignment horizontal="left" vertical="center"/>
    </xf>
    <xf numFmtId="38" fontId="15" fillId="0" borderId="0" xfId="6" applyFont="1" applyFill="1" applyAlignment="1">
      <alignment horizontal="center" vertical="center"/>
    </xf>
    <xf numFmtId="38" fontId="13" fillId="0" borderId="45" xfId="6" quotePrefix="1" applyFont="1" applyFill="1" applyBorder="1" applyAlignment="1">
      <alignment horizontal="left" vertical="center"/>
    </xf>
    <xf numFmtId="38" fontId="15" fillId="0" borderId="9" xfId="6" applyFont="1" applyFill="1" applyBorder="1" applyAlignment="1">
      <alignment horizontal="right" vertical="center"/>
    </xf>
    <xf numFmtId="38" fontId="15" fillId="0" borderId="14" xfId="6" applyFont="1" applyFill="1" applyBorder="1" applyAlignment="1">
      <alignment horizontal="center" vertical="center"/>
    </xf>
    <xf numFmtId="38" fontId="13" fillId="0" borderId="50" xfId="6" quotePrefix="1" applyFont="1" applyFill="1" applyBorder="1" applyAlignment="1">
      <alignment horizontal="left" vertical="center"/>
    </xf>
    <xf numFmtId="38" fontId="15" fillId="0" borderId="21" xfId="6" applyFont="1" applyFill="1" applyBorder="1" applyAlignment="1">
      <alignment horizontal="right" vertical="center"/>
    </xf>
    <xf numFmtId="38" fontId="13" fillId="0" borderId="56" xfId="6" applyFont="1" applyFill="1" applyBorder="1" applyAlignment="1">
      <alignment vertical="center"/>
    </xf>
    <xf numFmtId="38" fontId="15" fillId="0" borderId="65" xfId="6" applyFont="1" applyFill="1" applyBorder="1" applyAlignment="1">
      <alignment horizontal="right" vertical="center"/>
    </xf>
    <xf numFmtId="38" fontId="13" fillId="0" borderId="0" xfId="6" applyFont="1" applyFill="1" applyAlignment="1">
      <alignment horizontal="left"/>
    </xf>
    <xf numFmtId="38" fontId="13" fillId="0" borderId="0" xfId="6" applyFont="1" applyFill="1" applyAlignment="1">
      <alignment horizontal="center"/>
    </xf>
  </cellXfs>
  <cellStyles count="8">
    <cellStyle name="桁区切り 2" xfId="6"/>
    <cellStyle name="標準" xfId="0" builtinId="0"/>
    <cellStyle name="標準 2" xfId="1"/>
    <cellStyle name="標準 2_H19集計結果（ごみ処理状況） 2" xfId="3"/>
    <cellStyle name="標準_H12集計結果（ごみ処理状況）" xfId="4"/>
    <cellStyle name="標準_H12集計結果（経費）" xfId="5"/>
    <cellStyle name="標準_新ごみフローシート" xfId="7"/>
    <cellStyle name="標準_表ごみPrg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36</xdr:row>
      <xdr:rowOff>180975</xdr:rowOff>
    </xdr:from>
    <xdr:to>
      <xdr:col>13</xdr:col>
      <xdr:colOff>485775</xdr:colOff>
      <xdr:row>36</xdr:row>
      <xdr:rowOff>180975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00000000-0008-0000-0800-0000757E0000}"/>
            </a:ext>
          </a:extLst>
        </xdr:cNvPr>
        <xdr:cNvSpPr>
          <a:spLocks noChangeShapeType="1"/>
        </xdr:cNvSpPr>
      </xdr:nvSpPr>
      <xdr:spPr bwMode="auto">
        <a:xfrm flipV="1">
          <a:off x="11753850" y="9734550"/>
          <a:ext cx="46672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6</xdr:row>
      <xdr:rowOff>200025</xdr:rowOff>
    </xdr:from>
    <xdr:to>
      <xdr:col>15</xdr:col>
      <xdr:colOff>0</xdr:colOff>
      <xdr:row>6</xdr:row>
      <xdr:rowOff>209550</xdr:rowOff>
    </xdr:to>
    <xdr:sp macro="" textlink="">
      <xdr:nvSpPr>
        <xdr:cNvPr id="3" name="Line 2">
          <a:extLst>
            <a:ext uri="{FF2B5EF4-FFF2-40B4-BE49-F238E27FC236}">
              <a16:creationId xmlns="" xmlns:a16="http://schemas.microsoft.com/office/drawing/2014/main" id="{00000000-0008-0000-0800-0000767E0000}"/>
            </a:ext>
          </a:extLst>
        </xdr:cNvPr>
        <xdr:cNvSpPr>
          <a:spLocks noChangeShapeType="1"/>
        </xdr:cNvSpPr>
      </xdr:nvSpPr>
      <xdr:spPr bwMode="auto">
        <a:xfrm flipV="1">
          <a:off x="11744325" y="1466850"/>
          <a:ext cx="1647825" cy="95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</xdr:row>
      <xdr:rowOff>152400</xdr:rowOff>
    </xdr:from>
    <xdr:to>
      <xdr:col>13</xdr:col>
      <xdr:colOff>247650</xdr:colOff>
      <xdr:row>9</xdr:row>
      <xdr:rowOff>152400</xdr:rowOff>
    </xdr:to>
    <xdr:sp macro="" textlink="">
      <xdr:nvSpPr>
        <xdr:cNvPr id="4" name="Line 3">
          <a:extLst>
            <a:ext uri="{FF2B5EF4-FFF2-40B4-BE49-F238E27FC236}">
              <a16:creationId xmlns="" xmlns:a16="http://schemas.microsoft.com/office/drawing/2014/main" id="{00000000-0008-0000-0800-0000777E0000}"/>
            </a:ext>
          </a:extLst>
        </xdr:cNvPr>
        <xdr:cNvSpPr>
          <a:spLocks noChangeShapeType="1"/>
        </xdr:cNvSpPr>
      </xdr:nvSpPr>
      <xdr:spPr bwMode="auto">
        <a:xfrm>
          <a:off x="11734800" y="224790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485775</xdr:colOff>
      <xdr:row>9</xdr:row>
      <xdr:rowOff>152400</xdr:rowOff>
    </xdr:from>
    <xdr:to>
      <xdr:col>14</xdr:col>
      <xdr:colOff>0</xdr:colOff>
      <xdr:row>9</xdr:row>
      <xdr:rowOff>152400</xdr:rowOff>
    </xdr:to>
    <xdr:sp macro="" textlink="">
      <xdr:nvSpPr>
        <xdr:cNvPr id="5" name="Line 4">
          <a:extLst>
            <a:ext uri="{FF2B5EF4-FFF2-40B4-BE49-F238E27FC236}">
              <a16:creationId xmlns="" xmlns:a16="http://schemas.microsoft.com/office/drawing/2014/main" id="{00000000-0008-0000-0800-0000787E0000}"/>
            </a:ext>
          </a:extLst>
        </xdr:cNvPr>
        <xdr:cNvSpPr>
          <a:spLocks noChangeShapeType="1"/>
        </xdr:cNvSpPr>
      </xdr:nvSpPr>
      <xdr:spPr bwMode="auto">
        <a:xfrm>
          <a:off x="12220575" y="2247900"/>
          <a:ext cx="495300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257175</xdr:colOff>
      <xdr:row>9</xdr:row>
      <xdr:rowOff>152400</xdr:rowOff>
    </xdr:from>
    <xdr:to>
      <xdr:col>13</xdr:col>
      <xdr:colOff>257175</xdr:colOff>
      <xdr:row>35</xdr:row>
      <xdr:rowOff>200025</xdr:rowOff>
    </xdr:to>
    <xdr:sp macro="" textlink="">
      <xdr:nvSpPr>
        <xdr:cNvPr id="6" name="Line 5">
          <a:extLst>
            <a:ext uri="{FF2B5EF4-FFF2-40B4-BE49-F238E27FC236}">
              <a16:creationId xmlns="" xmlns:a16="http://schemas.microsoft.com/office/drawing/2014/main" id="{00000000-0008-0000-0800-0000797E0000}"/>
            </a:ext>
          </a:extLst>
        </xdr:cNvPr>
        <xdr:cNvSpPr>
          <a:spLocks noChangeShapeType="1"/>
        </xdr:cNvSpPr>
      </xdr:nvSpPr>
      <xdr:spPr bwMode="auto">
        <a:xfrm>
          <a:off x="11991975" y="2247900"/>
          <a:ext cx="0" cy="7229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485775</xdr:colOff>
      <xdr:row>9</xdr:row>
      <xdr:rowOff>180975</xdr:rowOff>
    </xdr:from>
    <xdr:to>
      <xdr:col>13</xdr:col>
      <xdr:colOff>485775</xdr:colOff>
      <xdr:row>36</xdr:row>
      <xdr:rowOff>200025</xdr:rowOff>
    </xdr:to>
    <xdr:sp macro="" textlink="">
      <xdr:nvSpPr>
        <xdr:cNvPr id="7" name="Line 6">
          <a:extLst>
            <a:ext uri="{FF2B5EF4-FFF2-40B4-BE49-F238E27FC236}">
              <a16:creationId xmlns="" xmlns:a16="http://schemas.microsoft.com/office/drawing/2014/main" id="{00000000-0008-0000-0800-00007A7E0000}"/>
            </a:ext>
          </a:extLst>
        </xdr:cNvPr>
        <xdr:cNvSpPr>
          <a:spLocks noChangeShapeType="1"/>
        </xdr:cNvSpPr>
      </xdr:nvSpPr>
      <xdr:spPr bwMode="auto">
        <a:xfrm>
          <a:off x="12220575" y="2276475"/>
          <a:ext cx="0" cy="74771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13</xdr:row>
      <xdr:rowOff>200025</xdr:rowOff>
    </xdr:from>
    <xdr:to>
      <xdr:col>13</xdr:col>
      <xdr:colOff>723900</xdr:colOff>
      <xdr:row>13</xdr:row>
      <xdr:rowOff>200025</xdr:rowOff>
    </xdr:to>
    <xdr:sp macro="" textlink="">
      <xdr:nvSpPr>
        <xdr:cNvPr id="8" name="Line 7">
          <a:extLst>
            <a:ext uri="{FF2B5EF4-FFF2-40B4-BE49-F238E27FC236}">
              <a16:creationId xmlns="" xmlns:a16="http://schemas.microsoft.com/office/drawing/2014/main" id="{00000000-0008-0000-0800-00007B7E0000}"/>
            </a:ext>
          </a:extLst>
        </xdr:cNvPr>
        <xdr:cNvSpPr>
          <a:spLocks noChangeShapeType="1"/>
        </xdr:cNvSpPr>
      </xdr:nvSpPr>
      <xdr:spPr bwMode="auto">
        <a:xfrm flipH="1">
          <a:off x="11744325" y="340042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723900</xdr:colOff>
      <xdr:row>7</xdr:row>
      <xdr:rowOff>200025</xdr:rowOff>
    </xdr:from>
    <xdr:to>
      <xdr:col>13</xdr:col>
      <xdr:colOff>723900</xdr:colOff>
      <xdr:row>39</xdr:row>
      <xdr:rowOff>9525</xdr:rowOff>
    </xdr:to>
    <xdr:sp macro="" textlink="">
      <xdr:nvSpPr>
        <xdr:cNvPr id="9" name="Line 8">
          <a:extLst>
            <a:ext uri="{FF2B5EF4-FFF2-40B4-BE49-F238E27FC236}">
              <a16:creationId xmlns="" xmlns:a16="http://schemas.microsoft.com/office/drawing/2014/main" id="{00000000-0008-0000-0800-00007C7E0000}"/>
            </a:ext>
          </a:extLst>
        </xdr:cNvPr>
        <xdr:cNvSpPr>
          <a:spLocks noChangeShapeType="1"/>
        </xdr:cNvSpPr>
      </xdr:nvSpPr>
      <xdr:spPr bwMode="auto">
        <a:xfrm flipH="1">
          <a:off x="12458700" y="1743075"/>
          <a:ext cx="0" cy="88106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25</xdr:row>
      <xdr:rowOff>142875</xdr:rowOff>
    </xdr:from>
    <xdr:to>
      <xdr:col>13</xdr:col>
      <xdr:colOff>723900</xdr:colOff>
      <xdr:row>25</xdr:row>
      <xdr:rowOff>142875</xdr:rowOff>
    </xdr:to>
    <xdr:sp macro="" textlink="">
      <xdr:nvSpPr>
        <xdr:cNvPr id="10" name="Line 9">
          <a:extLst>
            <a:ext uri="{FF2B5EF4-FFF2-40B4-BE49-F238E27FC236}">
              <a16:creationId xmlns="" xmlns:a16="http://schemas.microsoft.com/office/drawing/2014/main" id="{00000000-0008-0000-0800-00007D7E0000}"/>
            </a:ext>
          </a:extLst>
        </xdr:cNvPr>
        <xdr:cNvSpPr>
          <a:spLocks noChangeShapeType="1"/>
        </xdr:cNvSpPr>
      </xdr:nvSpPr>
      <xdr:spPr bwMode="auto">
        <a:xfrm flipV="1">
          <a:off x="11744325" y="665797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21</xdr:row>
      <xdr:rowOff>180975</xdr:rowOff>
    </xdr:from>
    <xdr:to>
      <xdr:col>13</xdr:col>
      <xdr:colOff>723900</xdr:colOff>
      <xdr:row>21</xdr:row>
      <xdr:rowOff>180975</xdr:rowOff>
    </xdr:to>
    <xdr:sp macro="" textlink="">
      <xdr:nvSpPr>
        <xdr:cNvPr id="11" name="Line 10">
          <a:extLst>
            <a:ext uri="{FF2B5EF4-FFF2-40B4-BE49-F238E27FC236}">
              <a16:creationId xmlns="" xmlns:a16="http://schemas.microsoft.com/office/drawing/2014/main" id="{00000000-0008-0000-0800-00007E7E0000}"/>
            </a:ext>
          </a:extLst>
        </xdr:cNvPr>
        <xdr:cNvSpPr>
          <a:spLocks noChangeShapeType="1"/>
        </xdr:cNvSpPr>
      </xdr:nvSpPr>
      <xdr:spPr bwMode="auto">
        <a:xfrm flipV="1">
          <a:off x="11744325" y="5591175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152400</xdr:rowOff>
    </xdr:from>
    <xdr:to>
      <xdr:col>13</xdr:col>
      <xdr:colOff>704850</xdr:colOff>
      <xdr:row>17</xdr:row>
      <xdr:rowOff>152400</xdr:rowOff>
    </xdr:to>
    <xdr:sp macro="" textlink="">
      <xdr:nvSpPr>
        <xdr:cNvPr id="12" name="Line 11">
          <a:extLst>
            <a:ext uri="{FF2B5EF4-FFF2-40B4-BE49-F238E27FC236}">
              <a16:creationId xmlns="" xmlns:a16="http://schemas.microsoft.com/office/drawing/2014/main" id="{00000000-0008-0000-0800-00007F7E0000}"/>
            </a:ext>
          </a:extLst>
        </xdr:cNvPr>
        <xdr:cNvSpPr>
          <a:spLocks noChangeShapeType="1"/>
        </xdr:cNvSpPr>
      </xdr:nvSpPr>
      <xdr:spPr bwMode="auto">
        <a:xfrm>
          <a:off x="11734800" y="4457700"/>
          <a:ext cx="7048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190500</xdr:rowOff>
    </xdr:from>
    <xdr:to>
      <xdr:col>13</xdr:col>
      <xdr:colOff>723900</xdr:colOff>
      <xdr:row>7</xdr:row>
      <xdr:rowOff>190500</xdr:rowOff>
    </xdr:to>
    <xdr:sp macro="" textlink="">
      <xdr:nvSpPr>
        <xdr:cNvPr id="13" name="Line 12">
          <a:extLst>
            <a:ext uri="{FF2B5EF4-FFF2-40B4-BE49-F238E27FC236}">
              <a16:creationId xmlns="" xmlns:a16="http://schemas.microsoft.com/office/drawing/2014/main" id="{00000000-0008-0000-0800-0000807E0000}"/>
            </a:ext>
          </a:extLst>
        </xdr:cNvPr>
        <xdr:cNvSpPr>
          <a:spLocks noChangeShapeType="1"/>
        </xdr:cNvSpPr>
      </xdr:nvSpPr>
      <xdr:spPr bwMode="auto">
        <a:xfrm flipV="1">
          <a:off x="11744325" y="173355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11</xdr:row>
      <xdr:rowOff>228600</xdr:rowOff>
    </xdr:from>
    <xdr:to>
      <xdr:col>13</xdr:col>
      <xdr:colOff>257175</xdr:colOff>
      <xdr:row>11</xdr:row>
      <xdr:rowOff>228600</xdr:rowOff>
    </xdr:to>
    <xdr:sp macro="" textlink="">
      <xdr:nvSpPr>
        <xdr:cNvPr id="14" name="Line 13">
          <a:extLst>
            <a:ext uri="{FF2B5EF4-FFF2-40B4-BE49-F238E27FC236}">
              <a16:creationId xmlns="" xmlns:a16="http://schemas.microsoft.com/office/drawing/2014/main" id="{00000000-0008-0000-0800-0000817E0000}"/>
            </a:ext>
          </a:extLst>
        </xdr:cNvPr>
        <xdr:cNvSpPr>
          <a:spLocks noChangeShapeType="1"/>
        </xdr:cNvSpPr>
      </xdr:nvSpPr>
      <xdr:spPr bwMode="auto">
        <a:xfrm>
          <a:off x="11734800" y="2876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190500</xdr:rowOff>
    </xdr:from>
    <xdr:to>
      <xdr:col>13</xdr:col>
      <xdr:colOff>257175</xdr:colOff>
      <xdr:row>15</xdr:row>
      <xdr:rowOff>190500</xdr:rowOff>
    </xdr:to>
    <xdr:sp macro="" textlink="">
      <xdr:nvSpPr>
        <xdr:cNvPr id="15" name="Line 14">
          <a:extLst>
            <a:ext uri="{FF2B5EF4-FFF2-40B4-BE49-F238E27FC236}">
              <a16:creationId xmlns="" xmlns:a16="http://schemas.microsoft.com/office/drawing/2014/main" id="{00000000-0008-0000-0800-0000827E0000}"/>
            </a:ext>
          </a:extLst>
        </xdr:cNvPr>
        <xdr:cNvSpPr>
          <a:spLocks noChangeShapeType="1"/>
        </xdr:cNvSpPr>
      </xdr:nvSpPr>
      <xdr:spPr bwMode="auto">
        <a:xfrm flipV="1">
          <a:off x="11734800" y="3943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190500</xdr:rowOff>
    </xdr:from>
    <xdr:to>
      <xdr:col>13</xdr:col>
      <xdr:colOff>257175</xdr:colOff>
      <xdr:row>19</xdr:row>
      <xdr:rowOff>190500</xdr:rowOff>
    </xdr:to>
    <xdr:sp macro="" textlink="">
      <xdr:nvSpPr>
        <xdr:cNvPr id="16" name="Line 15">
          <a:extLst>
            <a:ext uri="{FF2B5EF4-FFF2-40B4-BE49-F238E27FC236}">
              <a16:creationId xmlns="" xmlns:a16="http://schemas.microsoft.com/office/drawing/2014/main" id="{00000000-0008-0000-0800-0000837E0000}"/>
            </a:ext>
          </a:extLst>
        </xdr:cNvPr>
        <xdr:cNvSpPr>
          <a:spLocks noChangeShapeType="1"/>
        </xdr:cNvSpPr>
      </xdr:nvSpPr>
      <xdr:spPr bwMode="auto">
        <a:xfrm>
          <a:off x="11734800" y="5048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23</xdr:row>
      <xdr:rowOff>200025</xdr:rowOff>
    </xdr:from>
    <xdr:to>
      <xdr:col>13</xdr:col>
      <xdr:colOff>257175</xdr:colOff>
      <xdr:row>23</xdr:row>
      <xdr:rowOff>200025</xdr:rowOff>
    </xdr:to>
    <xdr:sp macro="" textlink="">
      <xdr:nvSpPr>
        <xdr:cNvPr id="17" name="Line 16">
          <a:extLst>
            <a:ext uri="{FF2B5EF4-FFF2-40B4-BE49-F238E27FC236}">
              <a16:creationId xmlns="" xmlns:a16="http://schemas.microsoft.com/office/drawing/2014/main" id="{00000000-0008-0000-0800-0000847E0000}"/>
            </a:ext>
          </a:extLst>
        </xdr:cNvPr>
        <xdr:cNvSpPr>
          <a:spLocks noChangeShapeType="1"/>
        </xdr:cNvSpPr>
      </xdr:nvSpPr>
      <xdr:spPr bwMode="auto">
        <a:xfrm>
          <a:off x="11744325" y="616267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12</xdr:row>
      <xdr:rowOff>190500</xdr:rowOff>
    </xdr:from>
    <xdr:to>
      <xdr:col>13</xdr:col>
      <xdr:colOff>485775</xdr:colOff>
      <xdr:row>12</xdr:row>
      <xdr:rowOff>190500</xdr:rowOff>
    </xdr:to>
    <xdr:sp macro="" textlink="">
      <xdr:nvSpPr>
        <xdr:cNvPr id="18" name="Line 17">
          <a:extLst>
            <a:ext uri="{FF2B5EF4-FFF2-40B4-BE49-F238E27FC236}">
              <a16:creationId xmlns="" xmlns:a16="http://schemas.microsoft.com/office/drawing/2014/main" id="{00000000-0008-0000-0800-0000857E0000}"/>
            </a:ext>
          </a:extLst>
        </xdr:cNvPr>
        <xdr:cNvSpPr>
          <a:spLocks noChangeShapeType="1"/>
        </xdr:cNvSpPr>
      </xdr:nvSpPr>
      <xdr:spPr bwMode="auto">
        <a:xfrm>
          <a:off x="11734800" y="3114675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16</xdr:row>
      <xdr:rowOff>171450</xdr:rowOff>
    </xdr:from>
    <xdr:to>
      <xdr:col>13</xdr:col>
      <xdr:colOff>485775</xdr:colOff>
      <xdr:row>16</xdr:row>
      <xdr:rowOff>180975</xdr:rowOff>
    </xdr:to>
    <xdr:sp macro="" textlink="">
      <xdr:nvSpPr>
        <xdr:cNvPr id="19" name="Line 18">
          <a:extLst>
            <a:ext uri="{FF2B5EF4-FFF2-40B4-BE49-F238E27FC236}">
              <a16:creationId xmlns="" xmlns:a16="http://schemas.microsoft.com/office/drawing/2014/main" id="{00000000-0008-0000-0800-0000867E0000}"/>
            </a:ext>
          </a:extLst>
        </xdr:cNvPr>
        <xdr:cNvSpPr>
          <a:spLocks noChangeShapeType="1"/>
        </xdr:cNvSpPr>
      </xdr:nvSpPr>
      <xdr:spPr bwMode="auto">
        <a:xfrm>
          <a:off x="11744325" y="4200525"/>
          <a:ext cx="476250" cy="952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20</xdr:row>
      <xdr:rowOff>190500</xdr:rowOff>
    </xdr:from>
    <xdr:to>
      <xdr:col>13</xdr:col>
      <xdr:colOff>476250</xdr:colOff>
      <xdr:row>20</xdr:row>
      <xdr:rowOff>190500</xdr:rowOff>
    </xdr:to>
    <xdr:sp macro="" textlink="">
      <xdr:nvSpPr>
        <xdr:cNvPr id="20" name="Line 19">
          <a:extLst>
            <a:ext uri="{FF2B5EF4-FFF2-40B4-BE49-F238E27FC236}">
              <a16:creationId xmlns="" xmlns:a16="http://schemas.microsoft.com/office/drawing/2014/main" id="{00000000-0008-0000-0800-0000877E0000}"/>
            </a:ext>
          </a:extLst>
        </xdr:cNvPr>
        <xdr:cNvSpPr>
          <a:spLocks noChangeShapeType="1"/>
        </xdr:cNvSpPr>
      </xdr:nvSpPr>
      <xdr:spPr bwMode="auto">
        <a:xfrm flipV="1">
          <a:off x="11734800" y="5324475"/>
          <a:ext cx="476250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24</xdr:row>
      <xdr:rowOff>142875</xdr:rowOff>
    </xdr:from>
    <xdr:to>
      <xdr:col>13</xdr:col>
      <xdr:colOff>495300</xdr:colOff>
      <xdr:row>24</xdr:row>
      <xdr:rowOff>142875</xdr:rowOff>
    </xdr:to>
    <xdr:sp macro="" textlink="">
      <xdr:nvSpPr>
        <xdr:cNvPr id="21" name="Line 20">
          <a:extLst>
            <a:ext uri="{FF2B5EF4-FFF2-40B4-BE49-F238E27FC236}">
              <a16:creationId xmlns="" xmlns:a16="http://schemas.microsoft.com/office/drawing/2014/main" id="{00000000-0008-0000-0800-0000887E0000}"/>
            </a:ext>
          </a:extLst>
        </xdr:cNvPr>
        <xdr:cNvSpPr>
          <a:spLocks noChangeShapeType="1"/>
        </xdr:cNvSpPr>
      </xdr:nvSpPr>
      <xdr:spPr bwMode="auto">
        <a:xfrm>
          <a:off x="11744325" y="6381750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14</xdr:col>
      <xdr:colOff>0</xdr:colOff>
      <xdr:row>4</xdr:row>
      <xdr:rowOff>0</xdr:rowOff>
    </xdr:to>
    <xdr:sp macro="" textlink="">
      <xdr:nvSpPr>
        <xdr:cNvPr id="22" name="Line 21">
          <a:extLst>
            <a:ext uri="{FF2B5EF4-FFF2-40B4-BE49-F238E27FC236}">
              <a16:creationId xmlns="" xmlns:a16="http://schemas.microsoft.com/office/drawing/2014/main" id="{00000000-0008-0000-0800-0000897E0000}"/>
            </a:ext>
          </a:extLst>
        </xdr:cNvPr>
        <xdr:cNvSpPr>
          <a:spLocks noChangeShapeType="1"/>
        </xdr:cNvSpPr>
      </xdr:nvSpPr>
      <xdr:spPr bwMode="auto">
        <a:xfrm>
          <a:off x="5391150" y="714375"/>
          <a:ext cx="732472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561975</xdr:colOff>
      <xdr:row>4</xdr:row>
      <xdr:rowOff>295275</xdr:rowOff>
    </xdr:from>
    <xdr:to>
      <xdr:col>15</xdr:col>
      <xdr:colOff>561975</xdr:colOff>
      <xdr:row>8</xdr:row>
      <xdr:rowOff>295275</xdr:rowOff>
    </xdr:to>
    <xdr:sp macro="" textlink="">
      <xdr:nvSpPr>
        <xdr:cNvPr id="23" name="Line 22">
          <a:extLst>
            <a:ext uri="{FF2B5EF4-FFF2-40B4-BE49-F238E27FC236}">
              <a16:creationId xmlns="" xmlns:a16="http://schemas.microsoft.com/office/drawing/2014/main" id="{00000000-0008-0000-0800-00008A7E0000}"/>
            </a:ext>
          </a:extLst>
        </xdr:cNvPr>
        <xdr:cNvSpPr>
          <a:spLocks noChangeShapeType="1"/>
        </xdr:cNvSpPr>
      </xdr:nvSpPr>
      <xdr:spPr bwMode="auto">
        <a:xfrm flipH="1" flipV="1">
          <a:off x="13954125" y="990600"/>
          <a:ext cx="0" cy="110490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9</xdr:row>
      <xdr:rowOff>152400</xdr:rowOff>
    </xdr:from>
    <xdr:to>
      <xdr:col>10</xdr:col>
      <xdr:colOff>0</xdr:colOff>
      <xdr:row>9</xdr:row>
      <xdr:rowOff>152400</xdr:rowOff>
    </xdr:to>
    <xdr:sp macro="" textlink="">
      <xdr:nvSpPr>
        <xdr:cNvPr id="24" name="Line 23">
          <a:extLst>
            <a:ext uri="{FF2B5EF4-FFF2-40B4-BE49-F238E27FC236}">
              <a16:creationId xmlns="" xmlns:a16="http://schemas.microsoft.com/office/drawing/2014/main" id="{00000000-0008-0000-0800-00008B7E0000}"/>
            </a:ext>
          </a:extLst>
        </xdr:cNvPr>
        <xdr:cNvSpPr>
          <a:spLocks noChangeShapeType="1"/>
        </xdr:cNvSpPr>
      </xdr:nvSpPr>
      <xdr:spPr bwMode="auto">
        <a:xfrm>
          <a:off x="5734050" y="2247900"/>
          <a:ext cx="2800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39</xdr:row>
      <xdr:rowOff>19050</xdr:rowOff>
    </xdr:from>
    <xdr:to>
      <xdr:col>13</xdr:col>
      <xdr:colOff>942975</xdr:colOff>
      <xdr:row>39</xdr:row>
      <xdr:rowOff>28575</xdr:rowOff>
    </xdr:to>
    <xdr:sp macro="" textlink="">
      <xdr:nvSpPr>
        <xdr:cNvPr id="25" name="Line 24">
          <a:extLst>
            <a:ext uri="{FF2B5EF4-FFF2-40B4-BE49-F238E27FC236}">
              <a16:creationId xmlns="" xmlns:a16="http://schemas.microsoft.com/office/drawing/2014/main" id="{00000000-0008-0000-0800-00008C7E0000}"/>
            </a:ext>
          </a:extLst>
        </xdr:cNvPr>
        <xdr:cNvSpPr>
          <a:spLocks noChangeShapeType="1"/>
        </xdr:cNvSpPr>
      </xdr:nvSpPr>
      <xdr:spPr bwMode="auto">
        <a:xfrm>
          <a:off x="5400675" y="10563225"/>
          <a:ext cx="7277100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4</xdr:row>
      <xdr:rowOff>0</xdr:rowOff>
    </xdr:from>
    <xdr:to>
      <xdr:col>3</xdr:col>
      <xdr:colOff>466725</xdr:colOff>
      <xdr:row>38</xdr:row>
      <xdr:rowOff>314325</xdr:rowOff>
    </xdr:to>
    <xdr:sp macro="" textlink="">
      <xdr:nvSpPr>
        <xdr:cNvPr id="26" name="Line 25">
          <a:extLst>
            <a:ext uri="{FF2B5EF4-FFF2-40B4-BE49-F238E27FC236}">
              <a16:creationId xmlns="" xmlns:a16="http://schemas.microsoft.com/office/drawing/2014/main" id="{00000000-0008-0000-0800-00008D7E0000}"/>
            </a:ext>
          </a:extLst>
        </xdr:cNvPr>
        <xdr:cNvSpPr>
          <a:spLocks noChangeShapeType="1"/>
        </xdr:cNvSpPr>
      </xdr:nvSpPr>
      <xdr:spPr bwMode="auto">
        <a:xfrm>
          <a:off x="3209925" y="714375"/>
          <a:ext cx="0" cy="9829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9</xdr:row>
      <xdr:rowOff>180975</xdr:rowOff>
    </xdr:from>
    <xdr:to>
      <xdr:col>3</xdr:col>
      <xdr:colOff>190500</xdr:colOff>
      <xdr:row>21</xdr:row>
      <xdr:rowOff>200025</xdr:rowOff>
    </xdr:to>
    <xdr:sp macro="" textlink="">
      <xdr:nvSpPr>
        <xdr:cNvPr id="27" name="Line 26">
          <a:extLst>
            <a:ext uri="{FF2B5EF4-FFF2-40B4-BE49-F238E27FC236}">
              <a16:creationId xmlns="" xmlns:a16="http://schemas.microsoft.com/office/drawing/2014/main" id="{00000000-0008-0000-0800-00008E7E0000}"/>
            </a:ext>
          </a:extLst>
        </xdr:cNvPr>
        <xdr:cNvSpPr>
          <a:spLocks noChangeShapeType="1"/>
        </xdr:cNvSpPr>
      </xdr:nvSpPr>
      <xdr:spPr bwMode="auto">
        <a:xfrm>
          <a:off x="2933700" y="2276475"/>
          <a:ext cx="0" cy="3333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13</xdr:row>
      <xdr:rowOff>247650</xdr:rowOff>
    </xdr:from>
    <xdr:to>
      <xdr:col>3</xdr:col>
      <xdr:colOff>200025</xdr:colOff>
      <xdr:row>13</xdr:row>
      <xdr:rowOff>247650</xdr:rowOff>
    </xdr:to>
    <xdr:sp macro="" textlink="">
      <xdr:nvSpPr>
        <xdr:cNvPr id="28" name="Line 27">
          <a:extLst>
            <a:ext uri="{FF2B5EF4-FFF2-40B4-BE49-F238E27FC236}">
              <a16:creationId xmlns="" xmlns:a16="http://schemas.microsoft.com/office/drawing/2014/main" id="{00000000-0008-0000-0800-00008F7E0000}"/>
            </a:ext>
          </a:extLst>
        </xdr:cNvPr>
        <xdr:cNvSpPr>
          <a:spLocks noChangeShapeType="1"/>
        </xdr:cNvSpPr>
      </xdr:nvSpPr>
      <xdr:spPr bwMode="auto">
        <a:xfrm>
          <a:off x="2752725" y="344805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9</xdr:row>
      <xdr:rowOff>171450</xdr:rowOff>
    </xdr:from>
    <xdr:to>
      <xdr:col>3</xdr:col>
      <xdr:colOff>190500</xdr:colOff>
      <xdr:row>9</xdr:row>
      <xdr:rowOff>171450</xdr:rowOff>
    </xdr:to>
    <xdr:sp macro="" textlink="">
      <xdr:nvSpPr>
        <xdr:cNvPr id="29" name="Line 28">
          <a:extLst>
            <a:ext uri="{FF2B5EF4-FFF2-40B4-BE49-F238E27FC236}">
              <a16:creationId xmlns="" xmlns:a16="http://schemas.microsoft.com/office/drawing/2014/main" id="{00000000-0008-0000-0800-0000907E0000}"/>
            </a:ext>
          </a:extLst>
        </xdr:cNvPr>
        <xdr:cNvSpPr>
          <a:spLocks noChangeShapeType="1"/>
        </xdr:cNvSpPr>
      </xdr:nvSpPr>
      <xdr:spPr bwMode="auto">
        <a:xfrm>
          <a:off x="2752725" y="22669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11</xdr:row>
      <xdr:rowOff>180975</xdr:rowOff>
    </xdr:from>
    <xdr:to>
      <xdr:col>3</xdr:col>
      <xdr:colOff>190500</xdr:colOff>
      <xdr:row>11</xdr:row>
      <xdr:rowOff>180975</xdr:rowOff>
    </xdr:to>
    <xdr:sp macro="" textlink="">
      <xdr:nvSpPr>
        <xdr:cNvPr id="30" name="Line 29">
          <a:extLst>
            <a:ext uri="{FF2B5EF4-FFF2-40B4-BE49-F238E27FC236}">
              <a16:creationId xmlns="" xmlns:a16="http://schemas.microsoft.com/office/drawing/2014/main" id="{00000000-0008-0000-0800-0000917E0000}"/>
            </a:ext>
          </a:extLst>
        </xdr:cNvPr>
        <xdr:cNvSpPr>
          <a:spLocks noChangeShapeType="1"/>
        </xdr:cNvSpPr>
      </xdr:nvSpPr>
      <xdr:spPr bwMode="auto">
        <a:xfrm>
          <a:off x="2743200" y="28289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15</xdr:row>
      <xdr:rowOff>190500</xdr:rowOff>
    </xdr:from>
    <xdr:to>
      <xdr:col>3</xdr:col>
      <xdr:colOff>466725</xdr:colOff>
      <xdr:row>15</xdr:row>
      <xdr:rowOff>190500</xdr:rowOff>
    </xdr:to>
    <xdr:sp macro="" textlink="">
      <xdr:nvSpPr>
        <xdr:cNvPr id="31" name="Line 30">
          <a:extLst>
            <a:ext uri="{FF2B5EF4-FFF2-40B4-BE49-F238E27FC236}">
              <a16:creationId xmlns="" xmlns:a16="http://schemas.microsoft.com/office/drawing/2014/main" id="{00000000-0008-0000-0800-0000927E0000}"/>
            </a:ext>
          </a:extLst>
        </xdr:cNvPr>
        <xdr:cNvSpPr>
          <a:spLocks noChangeShapeType="1"/>
        </xdr:cNvSpPr>
      </xdr:nvSpPr>
      <xdr:spPr bwMode="auto">
        <a:xfrm>
          <a:off x="2752725" y="39433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17</xdr:row>
      <xdr:rowOff>180975</xdr:rowOff>
    </xdr:from>
    <xdr:to>
      <xdr:col>3</xdr:col>
      <xdr:colOff>180975</xdr:colOff>
      <xdr:row>17</xdr:row>
      <xdr:rowOff>180975</xdr:rowOff>
    </xdr:to>
    <xdr:sp macro="" textlink="">
      <xdr:nvSpPr>
        <xdr:cNvPr id="32" name="Line 31">
          <a:extLst>
            <a:ext uri="{FF2B5EF4-FFF2-40B4-BE49-F238E27FC236}">
              <a16:creationId xmlns="" xmlns:a16="http://schemas.microsoft.com/office/drawing/2014/main" id="{00000000-0008-0000-0800-0000937E0000}"/>
            </a:ext>
          </a:extLst>
        </xdr:cNvPr>
        <xdr:cNvSpPr>
          <a:spLocks noChangeShapeType="1"/>
        </xdr:cNvSpPr>
      </xdr:nvSpPr>
      <xdr:spPr bwMode="auto">
        <a:xfrm>
          <a:off x="2752725" y="448627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</xdr:row>
      <xdr:rowOff>180975</xdr:rowOff>
    </xdr:from>
    <xdr:to>
      <xdr:col>3</xdr:col>
      <xdr:colOff>190500</xdr:colOff>
      <xdr:row>19</xdr:row>
      <xdr:rowOff>180975</xdr:rowOff>
    </xdr:to>
    <xdr:sp macro="" textlink="">
      <xdr:nvSpPr>
        <xdr:cNvPr id="33" name="Line 32">
          <a:extLst>
            <a:ext uri="{FF2B5EF4-FFF2-40B4-BE49-F238E27FC236}">
              <a16:creationId xmlns="" xmlns:a16="http://schemas.microsoft.com/office/drawing/2014/main" id="{00000000-0008-0000-0800-0000947E0000}"/>
            </a:ext>
          </a:extLst>
        </xdr:cNvPr>
        <xdr:cNvSpPr>
          <a:spLocks noChangeShapeType="1"/>
        </xdr:cNvSpPr>
      </xdr:nvSpPr>
      <xdr:spPr bwMode="auto">
        <a:xfrm>
          <a:off x="2743200" y="5038725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21</xdr:row>
      <xdr:rowOff>190500</xdr:rowOff>
    </xdr:from>
    <xdr:to>
      <xdr:col>3</xdr:col>
      <xdr:colOff>200025</xdr:colOff>
      <xdr:row>21</xdr:row>
      <xdr:rowOff>190500</xdr:rowOff>
    </xdr:to>
    <xdr:sp macro="" textlink="">
      <xdr:nvSpPr>
        <xdr:cNvPr id="34" name="Line 33">
          <a:extLst>
            <a:ext uri="{FF2B5EF4-FFF2-40B4-BE49-F238E27FC236}">
              <a16:creationId xmlns="" xmlns:a16="http://schemas.microsoft.com/office/drawing/2014/main" id="{00000000-0008-0000-0800-0000957E0000}"/>
            </a:ext>
          </a:extLst>
        </xdr:cNvPr>
        <xdr:cNvSpPr>
          <a:spLocks noChangeShapeType="1"/>
        </xdr:cNvSpPr>
      </xdr:nvSpPr>
      <xdr:spPr bwMode="auto">
        <a:xfrm>
          <a:off x="2743200" y="56007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39</xdr:row>
      <xdr:rowOff>9525</xdr:rowOff>
    </xdr:from>
    <xdr:to>
      <xdr:col>4</xdr:col>
      <xdr:colOff>9525</xdr:colOff>
      <xdr:row>39</xdr:row>
      <xdr:rowOff>9525</xdr:rowOff>
    </xdr:to>
    <xdr:sp macro="" textlink="">
      <xdr:nvSpPr>
        <xdr:cNvPr id="35" name="Line 34">
          <a:extLst>
            <a:ext uri="{FF2B5EF4-FFF2-40B4-BE49-F238E27FC236}">
              <a16:creationId xmlns="" xmlns:a16="http://schemas.microsoft.com/office/drawing/2014/main" id="{00000000-0008-0000-0800-0000967E0000}"/>
            </a:ext>
          </a:extLst>
        </xdr:cNvPr>
        <xdr:cNvSpPr>
          <a:spLocks noChangeShapeType="1"/>
        </xdr:cNvSpPr>
      </xdr:nvSpPr>
      <xdr:spPr bwMode="auto">
        <a:xfrm>
          <a:off x="3209925" y="1055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20</xdr:row>
      <xdr:rowOff>28575</xdr:rowOff>
    </xdr:from>
    <xdr:to>
      <xdr:col>4</xdr:col>
      <xdr:colOff>9525</xdr:colOff>
      <xdr:row>20</xdr:row>
      <xdr:rowOff>28575</xdr:rowOff>
    </xdr:to>
    <xdr:sp macro="" textlink="">
      <xdr:nvSpPr>
        <xdr:cNvPr id="36" name="Line 35">
          <a:extLst>
            <a:ext uri="{FF2B5EF4-FFF2-40B4-BE49-F238E27FC236}">
              <a16:creationId xmlns="" xmlns:a16="http://schemas.microsoft.com/office/drawing/2014/main" id="{00000000-0008-0000-0800-0000977E0000}"/>
            </a:ext>
          </a:extLst>
        </xdr:cNvPr>
        <xdr:cNvSpPr>
          <a:spLocks noChangeShapeType="1"/>
        </xdr:cNvSpPr>
      </xdr:nvSpPr>
      <xdr:spPr bwMode="auto">
        <a:xfrm>
          <a:off x="3209925" y="51625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7</xdr:row>
      <xdr:rowOff>9525</xdr:rowOff>
    </xdr:from>
    <xdr:to>
      <xdr:col>4</xdr:col>
      <xdr:colOff>9525</xdr:colOff>
      <xdr:row>7</xdr:row>
      <xdr:rowOff>9525</xdr:rowOff>
    </xdr:to>
    <xdr:sp macro="" textlink="">
      <xdr:nvSpPr>
        <xdr:cNvPr id="37" name="Line 36">
          <a:extLst>
            <a:ext uri="{FF2B5EF4-FFF2-40B4-BE49-F238E27FC236}">
              <a16:creationId xmlns="" xmlns:a16="http://schemas.microsoft.com/office/drawing/2014/main" id="{00000000-0008-0000-0800-0000987E0000}"/>
            </a:ext>
          </a:extLst>
        </xdr:cNvPr>
        <xdr:cNvSpPr>
          <a:spLocks noChangeShapeType="1"/>
        </xdr:cNvSpPr>
      </xdr:nvSpPr>
      <xdr:spPr bwMode="auto">
        <a:xfrm>
          <a:off x="3209925" y="1552575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447675</xdr:colOff>
      <xdr:row>4</xdr:row>
      <xdr:rowOff>0</xdr:rowOff>
    </xdr:from>
    <xdr:to>
      <xdr:col>4</xdr:col>
      <xdr:colOff>9525</xdr:colOff>
      <xdr:row>4</xdr:row>
      <xdr:rowOff>0</xdr:rowOff>
    </xdr:to>
    <xdr:sp macro="" textlink="">
      <xdr:nvSpPr>
        <xdr:cNvPr id="38" name="Line 37">
          <a:extLst>
            <a:ext uri="{FF2B5EF4-FFF2-40B4-BE49-F238E27FC236}">
              <a16:creationId xmlns="" xmlns:a16="http://schemas.microsoft.com/office/drawing/2014/main" id="{00000000-0008-0000-0800-0000997E0000}"/>
            </a:ext>
          </a:extLst>
        </xdr:cNvPr>
        <xdr:cNvSpPr>
          <a:spLocks noChangeShapeType="1"/>
        </xdr:cNvSpPr>
      </xdr:nvSpPr>
      <xdr:spPr bwMode="auto">
        <a:xfrm flipV="1">
          <a:off x="3190875" y="714375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7</xdr:row>
      <xdr:rowOff>0</xdr:rowOff>
    </xdr:from>
    <xdr:to>
      <xdr:col>7</xdr:col>
      <xdr:colOff>9525</xdr:colOff>
      <xdr:row>7</xdr:row>
      <xdr:rowOff>0</xdr:rowOff>
    </xdr:to>
    <xdr:sp macro="" textlink="">
      <xdr:nvSpPr>
        <xdr:cNvPr id="39" name="Line 38">
          <a:extLst>
            <a:ext uri="{FF2B5EF4-FFF2-40B4-BE49-F238E27FC236}">
              <a16:creationId xmlns="" xmlns:a16="http://schemas.microsoft.com/office/drawing/2014/main" id="{00000000-0008-0000-0800-00009A7E0000}"/>
            </a:ext>
          </a:extLst>
        </xdr:cNvPr>
        <xdr:cNvSpPr>
          <a:spLocks noChangeShapeType="1"/>
        </xdr:cNvSpPr>
      </xdr:nvSpPr>
      <xdr:spPr bwMode="auto">
        <a:xfrm>
          <a:off x="5391150" y="1543050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12</xdr:row>
      <xdr:rowOff>9525</xdr:rowOff>
    </xdr:from>
    <xdr:to>
      <xdr:col>6</xdr:col>
      <xdr:colOff>314325</xdr:colOff>
      <xdr:row>36</xdr:row>
      <xdr:rowOff>9525</xdr:rowOff>
    </xdr:to>
    <xdr:sp macro="" textlink="">
      <xdr:nvSpPr>
        <xdr:cNvPr id="40" name="Line 39">
          <a:extLst>
            <a:ext uri="{FF2B5EF4-FFF2-40B4-BE49-F238E27FC236}">
              <a16:creationId xmlns="" xmlns:a16="http://schemas.microsoft.com/office/drawing/2014/main" id="{00000000-0008-0000-0800-00009B7E0000}"/>
            </a:ext>
          </a:extLst>
        </xdr:cNvPr>
        <xdr:cNvSpPr>
          <a:spLocks noChangeShapeType="1"/>
        </xdr:cNvSpPr>
      </xdr:nvSpPr>
      <xdr:spPr bwMode="auto">
        <a:xfrm>
          <a:off x="5705475" y="2933700"/>
          <a:ext cx="0" cy="6629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304800</xdr:colOff>
      <xdr:row>20</xdr:row>
      <xdr:rowOff>0</xdr:rowOff>
    </xdr:to>
    <xdr:sp macro="" textlink="">
      <xdr:nvSpPr>
        <xdr:cNvPr id="41" name="Line 40">
          <a:extLst>
            <a:ext uri="{FF2B5EF4-FFF2-40B4-BE49-F238E27FC236}">
              <a16:creationId xmlns="" xmlns:a16="http://schemas.microsoft.com/office/drawing/2014/main" id="{00000000-0008-0000-0800-00009C7E0000}"/>
            </a:ext>
          </a:extLst>
        </xdr:cNvPr>
        <xdr:cNvSpPr>
          <a:spLocks noChangeShapeType="1"/>
        </xdr:cNvSpPr>
      </xdr:nvSpPr>
      <xdr:spPr bwMode="auto">
        <a:xfrm>
          <a:off x="5391150" y="513397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12</xdr:row>
      <xdr:rowOff>0</xdr:rowOff>
    </xdr:from>
    <xdr:to>
      <xdr:col>7</xdr:col>
      <xdr:colOff>9525</xdr:colOff>
      <xdr:row>12</xdr:row>
      <xdr:rowOff>0</xdr:rowOff>
    </xdr:to>
    <xdr:sp macro="" textlink="">
      <xdr:nvSpPr>
        <xdr:cNvPr id="42" name="Line 41">
          <a:extLst>
            <a:ext uri="{FF2B5EF4-FFF2-40B4-BE49-F238E27FC236}">
              <a16:creationId xmlns="" xmlns:a16="http://schemas.microsoft.com/office/drawing/2014/main" id="{00000000-0008-0000-0800-00009D7E0000}"/>
            </a:ext>
          </a:extLst>
        </xdr:cNvPr>
        <xdr:cNvSpPr>
          <a:spLocks noChangeShapeType="1"/>
        </xdr:cNvSpPr>
      </xdr:nvSpPr>
      <xdr:spPr bwMode="auto">
        <a:xfrm flipV="1">
          <a:off x="5705475" y="29241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32</xdr:row>
      <xdr:rowOff>9525</xdr:rowOff>
    </xdr:from>
    <xdr:to>
      <xdr:col>7</xdr:col>
      <xdr:colOff>9525</xdr:colOff>
      <xdr:row>32</xdr:row>
      <xdr:rowOff>9525</xdr:rowOff>
    </xdr:to>
    <xdr:sp macro="" textlink="">
      <xdr:nvSpPr>
        <xdr:cNvPr id="43" name="Line 42">
          <a:extLst>
            <a:ext uri="{FF2B5EF4-FFF2-40B4-BE49-F238E27FC236}">
              <a16:creationId xmlns="" xmlns:a16="http://schemas.microsoft.com/office/drawing/2014/main" id="{00000000-0008-0000-0800-00009E7E0000}"/>
            </a:ext>
          </a:extLst>
        </xdr:cNvPr>
        <xdr:cNvSpPr>
          <a:spLocks noChangeShapeType="1"/>
        </xdr:cNvSpPr>
      </xdr:nvSpPr>
      <xdr:spPr bwMode="auto">
        <a:xfrm>
          <a:off x="5705475" y="84582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323850</xdr:colOff>
      <xdr:row>16</xdr:row>
      <xdr:rowOff>0</xdr:rowOff>
    </xdr:from>
    <xdr:to>
      <xdr:col>7</xdr:col>
      <xdr:colOff>19050</xdr:colOff>
      <xdr:row>16</xdr:row>
      <xdr:rowOff>0</xdr:rowOff>
    </xdr:to>
    <xdr:sp macro="" textlink="">
      <xdr:nvSpPr>
        <xdr:cNvPr id="44" name="Line 43">
          <a:extLst>
            <a:ext uri="{FF2B5EF4-FFF2-40B4-BE49-F238E27FC236}">
              <a16:creationId xmlns="" xmlns:a16="http://schemas.microsoft.com/office/drawing/2014/main" id="{00000000-0008-0000-0800-00009F7E0000}"/>
            </a:ext>
          </a:extLst>
        </xdr:cNvPr>
        <xdr:cNvSpPr>
          <a:spLocks noChangeShapeType="1"/>
        </xdr:cNvSpPr>
      </xdr:nvSpPr>
      <xdr:spPr bwMode="auto">
        <a:xfrm flipV="1">
          <a:off x="5715000" y="40290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28</xdr:row>
      <xdr:rowOff>0</xdr:rowOff>
    </xdr:from>
    <xdr:to>
      <xdr:col>7</xdr:col>
      <xdr:colOff>9525</xdr:colOff>
      <xdr:row>28</xdr:row>
      <xdr:rowOff>0</xdr:rowOff>
    </xdr:to>
    <xdr:sp macro="" textlink="">
      <xdr:nvSpPr>
        <xdr:cNvPr id="45" name="Line 44">
          <a:extLst>
            <a:ext uri="{FF2B5EF4-FFF2-40B4-BE49-F238E27FC236}">
              <a16:creationId xmlns="" xmlns:a16="http://schemas.microsoft.com/office/drawing/2014/main" id="{00000000-0008-0000-0800-0000A07E0000}"/>
            </a:ext>
          </a:extLst>
        </xdr:cNvPr>
        <xdr:cNvSpPr>
          <a:spLocks noChangeShapeType="1"/>
        </xdr:cNvSpPr>
      </xdr:nvSpPr>
      <xdr:spPr bwMode="auto">
        <a:xfrm>
          <a:off x="5695950" y="7343775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133350</xdr:rowOff>
    </xdr:from>
    <xdr:to>
      <xdr:col>10</xdr:col>
      <xdr:colOff>0</xdr:colOff>
      <xdr:row>11</xdr:row>
      <xdr:rowOff>133350</xdr:rowOff>
    </xdr:to>
    <xdr:sp macro="" textlink="">
      <xdr:nvSpPr>
        <xdr:cNvPr id="46" name="Line 45">
          <a:extLst>
            <a:ext uri="{FF2B5EF4-FFF2-40B4-BE49-F238E27FC236}">
              <a16:creationId xmlns="" xmlns:a16="http://schemas.microsoft.com/office/drawing/2014/main" id="{00000000-0008-0000-0800-0000A17E0000}"/>
            </a:ext>
          </a:extLst>
        </xdr:cNvPr>
        <xdr:cNvSpPr>
          <a:spLocks noChangeShapeType="1"/>
        </xdr:cNvSpPr>
      </xdr:nvSpPr>
      <xdr:spPr bwMode="auto">
        <a:xfrm>
          <a:off x="7867650" y="27813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114300</xdr:rowOff>
    </xdr:from>
    <xdr:to>
      <xdr:col>10</xdr:col>
      <xdr:colOff>0</xdr:colOff>
      <xdr:row>31</xdr:row>
      <xdr:rowOff>114300</xdr:rowOff>
    </xdr:to>
    <xdr:sp macro="" textlink="">
      <xdr:nvSpPr>
        <xdr:cNvPr id="47" name="Line 46">
          <a:extLst>
            <a:ext uri="{FF2B5EF4-FFF2-40B4-BE49-F238E27FC236}">
              <a16:creationId xmlns="" xmlns:a16="http://schemas.microsoft.com/office/drawing/2014/main" id="{00000000-0008-0000-0800-0000A27E0000}"/>
            </a:ext>
          </a:extLst>
        </xdr:cNvPr>
        <xdr:cNvSpPr>
          <a:spLocks noChangeShapeType="1"/>
        </xdr:cNvSpPr>
      </xdr:nvSpPr>
      <xdr:spPr bwMode="auto">
        <a:xfrm flipV="1">
          <a:off x="7867650" y="82867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15</xdr:row>
      <xdr:rowOff>180975</xdr:rowOff>
    </xdr:from>
    <xdr:to>
      <xdr:col>10</xdr:col>
      <xdr:colOff>0</xdr:colOff>
      <xdr:row>15</xdr:row>
      <xdr:rowOff>180975</xdr:rowOff>
    </xdr:to>
    <xdr:sp macro="" textlink="">
      <xdr:nvSpPr>
        <xdr:cNvPr id="48" name="Line 47">
          <a:extLst>
            <a:ext uri="{FF2B5EF4-FFF2-40B4-BE49-F238E27FC236}">
              <a16:creationId xmlns="" xmlns:a16="http://schemas.microsoft.com/office/drawing/2014/main" id="{00000000-0008-0000-0800-0000A37E0000}"/>
            </a:ext>
          </a:extLst>
        </xdr:cNvPr>
        <xdr:cNvSpPr>
          <a:spLocks noChangeShapeType="1"/>
        </xdr:cNvSpPr>
      </xdr:nvSpPr>
      <xdr:spPr bwMode="auto">
        <a:xfrm flipV="1">
          <a:off x="7877175" y="3933825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123825</xdr:rowOff>
    </xdr:from>
    <xdr:to>
      <xdr:col>10</xdr:col>
      <xdr:colOff>0</xdr:colOff>
      <xdr:row>27</xdr:row>
      <xdr:rowOff>123825</xdr:rowOff>
    </xdr:to>
    <xdr:sp macro="" textlink="">
      <xdr:nvSpPr>
        <xdr:cNvPr id="49" name="Line 48">
          <a:extLst>
            <a:ext uri="{FF2B5EF4-FFF2-40B4-BE49-F238E27FC236}">
              <a16:creationId xmlns="" xmlns:a16="http://schemas.microsoft.com/office/drawing/2014/main" id="{00000000-0008-0000-0800-0000A47E0000}"/>
            </a:ext>
          </a:extLst>
        </xdr:cNvPr>
        <xdr:cNvSpPr>
          <a:spLocks noChangeShapeType="1"/>
        </xdr:cNvSpPr>
      </xdr:nvSpPr>
      <xdr:spPr bwMode="auto">
        <a:xfrm>
          <a:off x="7867650" y="7191375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133350</xdr:rowOff>
    </xdr:from>
    <xdr:to>
      <xdr:col>9</xdr:col>
      <xdr:colOff>390525</xdr:colOff>
      <xdr:row>13</xdr:row>
      <xdr:rowOff>114300</xdr:rowOff>
    </xdr:to>
    <xdr:sp macro="" textlink="">
      <xdr:nvSpPr>
        <xdr:cNvPr id="50" name="Line 49">
          <a:extLst>
            <a:ext uri="{FF2B5EF4-FFF2-40B4-BE49-F238E27FC236}">
              <a16:creationId xmlns="" xmlns:a16="http://schemas.microsoft.com/office/drawing/2014/main" id="{00000000-0008-0000-0800-0000A57E0000}"/>
            </a:ext>
          </a:extLst>
        </xdr:cNvPr>
        <xdr:cNvSpPr>
          <a:spLocks noChangeShapeType="1"/>
        </xdr:cNvSpPr>
      </xdr:nvSpPr>
      <xdr:spPr bwMode="auto">
        <a:xfrm>
          <a:off x="8258175" y="278130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31</xdr:row>
      <xdr:rowOff>114300</xdr:rowOff>
    </xdr:from>
    <xdr:to>
      <xdr:col>9</xdr:col>
      <xdr:colOff>390525</xdr:colOff>
      <xdr:row>33</xdr:row>
      <xdr:rowOff>95250</xdr:rowOff>
    </xdr:to>
    <xdr:sp macro="" textlink="">
      <xdr:nvSpPr>
        <xdr:cNvPr id="51" name="Line 50">
          <a:extLst>
            <a:ext uri="{FF2B5EF4-FFF2-40B4-BE49-F238E27FC236}">
              <a16:creationId xmlns="" xmlns:a16="http://schemas.microsoft.com/office/drawing/2014/main" id="{00000000-0008-0000-0800-0000A67E0000}"/>
            </a:ext>
          </a:extLst>
        </xdr:cNvPr>
        <xdr:cNvSpPr>
          <a:spLocks noChangeShapeType="1"/>
        </xdr:cNvSpPr>
      </xdr:nvSpPr>
      <xdr:spPr bwMode="auto">
        <a:xfrm>
          <a:off x="8258175" y="8286750"/>
          <a:ext cx="0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15</xdr:row>
      <xdr:rowOff>180975</xdr:rowOff>
    </xdr:from>
    <xdr:to>
      <xdr:col>9</xdr:col>
      <xdr:colOff>390525</xdr:colOff>
      <xdr:row>17</xdr:row>
      <xdr:rowOff>152400</xdr:rowOff>
    </xdr:to>
    <xdr:sp macro="" textlink="">
      <xdr:nvSpPr>
        <xdr:cNvPr id="52" name="Line 51">
          <a:extLst>
            <a:ext uri="{FF2B5EF4-FFF2-40B4-BE49-F238E27FC236}">
              <a16:creationId xmlns="" xmlns:a16="http://schemas.microsoft.com/office/drawing/2014/main" id="{00000000-0008-0000-0800-0000A77E0000}"/>
            </a:ext>
          </a:extLst>
        </xdr:cNvPr>
        <xdr:cNvSpPr>
          <a:spLocks noChangeShapeType="1"/>
        </xdr:cNvSpPr>
      </xdr:nvSpPr>
      <xdr:spPr bwMode="auto">
        <a:xfrm>
          <a:off x="8258175" y="393382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27</xdr:row>
      <xdr:rowOff>123825</xdr:rowOff>
    </xdr:from>
    <xdr:to>
      <xdr:col>9</xdr:col>
      <xdr:colOff>390525</xdr:colOff>
      <xdr:row>29</xdr:row>
      <xdr:rowOff>95250</xdr:rowOff>
    </xdr:to>
    <xdr:sp macro="" textlink="">
      <xdr:nvSpPr>
        <xdr:cNvPr id="53" name="Line 52">
          <a:extLst>
            <a:ext uri="{FF2B5EF4-FFF2-40B4-BE49-F238E27FC236}">
              <a16:creationId xmlns="" xmlns:a16="http://schemas.microsoft.com/office/drawing/2014/main" id="{00000000-0008-0000-0800-0000A87E0000}"/>
            </a:ext>
          </a:extLst>
        </xdr:cNvPr>
        <xdr:cNvSpPr>
          <a:spLocks noChangeShapeType="1"/>
        </xdr:cNvSpPr>
      </xdr:nvSpPr>
      <xdr:spPr bwMode="auto">
        <a:xfrm>
          <a:off x="8258175" y="7191375"/>
          <a:ext cx="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333375</xdr:colOff>
      <xdr:row>7</xdr:row>
      <xdr:rowOff>0</xdr:rowOff>
    </xdr:from>
    <xdr:to>
      <xdr:col>6</xdr:col>
      <xdr:colOff>333375</xdr:colOff>
      <xdr:row>9</xdr:row>
      <xdr:rowOff>152400</xdr:rowOff>
    </xdr:to>
    <xdr:sp macro="" textlink="">
      <xdr:nvSpPr>
        <xdr:cNvPr id="54" name="Line 53">
          <a:extLst>
            <a:ext uri="{FF2B5EF4-FFF2-40B4-BE49-F238E27FC236}">
              <a16:creationId xmlns="" xmlns:a16="http://schemas.microsoft.com/office/drawing/2014/main" id="{00000000-0008-0000-0800-0000A97E0000}"/>
            </a:ext>
          </a:extLst>
        </xdr:cNvPr>
        <xdr:cNvSpPr>
          <a:spLocks noChangeShapeType="1"/>
        </xdr:cNvSpPr>
      </xdr:nvSpPr>
      <xdr:spPr bwMode="auto">
        <a:xfrm flipV="1">
          <a:off x="5724525" y="154305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12</xdr:row>
      <xdr:rowOff>123825</xdr:rowOff>
    </xdr:from>
    <xdr:to>
      <xdr:col>10</xdr:col>
      <xdr:colOff>0</xdr:colOff>
      <xdr:row>12</xdr:row>
      <xdr:rowOff>123825</xdr:rowOff>
    </xdr:to>
    <xdr:sp macro="" textlink="">
      <xdr:nvSpPr>
        <xdr:cNvPr id="55" name="Line 54">
          <a:extLst>
            <a:ext uri="{FF2B5EF4-FFF2-40B4-BE49-F238E27FC236}">
              <a16:creationId xmlns="" xmlns:a16="http://schemas.microsoft.com/office/drawing/2014/main" id="{00000000-0008-0000-0800-0000AA7E0000}"/>
            </a:ext>
          </a:extLst>
        </xdr:cNvPr>
        <xdr:cNvSpPr>
          <a:spLocks noChangeShapeType="1"/>
        </xdr:cNvSpPr>
      </xdr:nvSpPr>
      <xdr:spPr bwMode="auto">
        <a:xfrm>
          <a:off x="8267700" y="304800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13</xdr:row>
      <xdr:rowOff>123825</xdr:rowOff>
    </xdr:from>
    <xdr:to>
      <xdr:col>10</xdr:col>
      <xdr:colOff>0</xdr:colOff>
      <xdr:row>13</xdr:row>
      <xdr:rowOff>123825</xdr:rowOff>
    </xdr:to>
    <xdr:sp macro="" textlink="">
      <xdr:nvSpPr>
        <xdr:cNvPr id="56" name="Line 55">
          <a:extLst>
            <a:ext uri="{FF2B5EF4-FFF2-40B4-BE49-F238E27FC236}">
              <a16:creationId xmlns="" xmlns:a16="http://schemas.microsoft.com/office/drawing/2014/main" id="{00000000-0008-0000-0800-0000AB7E0000}"/>
            </a:ext>
          </a:extLst>
        </xdr:cNvPr>
        <xdr:cNvSpPr>
          <a:spLocks noChangeShapeType="1"/>
        </xdr:cNvSpPr>
      </xdr:nvSpPr>
      <xdr:spPr bwMode="auto">
        <a:xfrm flipH="1">
          <a:off x="8267700" y="33242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32</xdr:row>
      <xdr:rowOff>104775</xdr:rowOff>
    </xdr:from>
    <xdr:to>
      <xdr:col>10</xdr:col>
      <xdr:colOff>0</xdr:colOff>
      <xdr:row>32</xdr:row>
      <xdr:rowOff>104775</xdr:rowOff>
    </xdr:to>
    <xdr:sp macro="" textlink="">
      <xdr:nvSpPr>
        <xdr:cNvPr id="57" name="Line 56">
          <a:extLst>
            <a:ext uri="{FF2B5EF4-FFF2-40B4-BE49-F238E27FC236}">
              <a16:creationId xmlns="" xmlns:a16="http://schemas.microsoft.com/office/drawing/2014/main" id="{00000000-0008-0000-0800-0000AC7E0000}"/>
            </a:ext>
          </a:extLst>
        </xdr:cNvPr>
        <xdr:cNvSpPr>
          <a:spLocks noChangeShapeType="1"/>
        </xdr:cNvSpPr>
      </xdr:nvSpPr>
      <xdr:spPr bwMode="auto">
        <a:xfrm flipH="1">
          <a:off x="8267700" y="855345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33</xdr:row>
      <xdr:rowOff>85725</xdr:rowOff>
    </xdr:from>
    <xdr:to>
      <xdr:col>10</xdr:col>
      <xdr:colOff>0</xdr:colOff>
      <xdr:row>33</xdr:row>
      <xdr:rowOff>85725</xdr:rowOff>
    </xdr:to>
    <xdr:sp macro="" textlink="">
      <xdr:nvSpPr>
        <xdr:cNvPr id="58" name="Line 57">
          <a:extLst>
            <a:ext uri="{FF2B5EF4-FFF2-40B4-BE49-F238E27FC236}">
              <a16:creationId xmlns="" xmlns:a16="http://schemas.microsoft.com/office/drawing/2014/main" id="{00000000-0008-0000-0800-0000AD7E0000}"/>
            </a:ext>
          </a:extLst>
        </xdr:cNvPr>
        <xdr:cNvSpPr>
          <a:spLocks noChangeShapeType="1"/>
        </xdr:cNvSpPr>
      </xdr:nvSpPr>
      <xdr:spPr bwMode="auto">
        <a:xfrm flipH="1">
          <a:off x="8267700" y="88106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16</xdr:row>
      <xdr:rowOff>171450</xdr:rowOff>
    </xdr:from>
    <xdr:to>
      <xdr:col>10</xdr:col>
      <xdr:colOff>0</xdr:colOff>
      <xdr:row>16</xdr:row>
      <xdr:rowOff>171450</xdr:rowOff>
    </xdr:to>
    <xdr:sp macro="" textlink="">
      <xdr:nvSpPr>
        <xdr:cNvPr id="59" name="Line 58">
          <a:extLst>
            <a:ext uri="{FF2B5EF4-FFF2-40B4-BE49-F238E27FC236}">
              <a16:creationId xmlns="" xmlns:a16="http://schemas.microsoft.com/office/drawing/2014/main" id="{00000000-0008-0000-0800-0000AE7E0000}"/>
            </a:ext>
          </a:extLst>
        </xdr:cNvPr>
        <xdr:cNvSpPr>
          <a:spLocks noChangeShapeType="1"/>
        </xdr:cNvSpPr>
      </xdr:nvSpPr>
      <xdr:spPr bwMode="auto">
        <a:xfrm>
          <a:off x="8267700" y="42005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400050</xdr:colOff>
      <xdr:row>17</xdr:row>
      <xdr:rowOff>152400</xdr:rowOff>
    </xdr:from>
    <xdr:to>
      <xdr:col>10</xdr:col>
      <xdr:colOff>9525</xdr:colOff>
      <xdr:row>17</xdr:row>
      <xdr:rowOff>152400</xdr:rowOff>
    </xdr:to>
    <xdr:sp macro="" textlink="">
      <xdr:nvSpPr>
        <xdr:cNvPr id="60" name="Line 59">
          <a:extLst>
            <a:ext uri="{FF2B5EF4-FFF2-40B4-BE49-F238E27FC236}">
              <a16:creationId xmlns="" xmlns:a16="http://schemas.microsoft.com/office/drawing/2014/main" id="{00000000-0008-0000-0800-0000AF7E0000}"/>
            </a:ext>
          </a:extLst>
        </xdr:cNvPr>
        <xdr:cNvSpPr>
          <a:spLocks noChangeShapeType="1"/>
        </xdr:cNvSpPr>
      </xdr:nvSpPr>
      <xdr:spPr bwMode="auto">
        <a:xfrm flipH="1">
          <a:off x="8267700" y="44577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29</xdr:row>
      <xdr:rowOff>104775</xdr:rowOff>
    </xdr:from>
    <xdr:to>
      <xdr:col>10</xdr:col>
      <xdr:colOff>0</xdr:colOff>
      <xdr:row>29</xdr:row>
      <xdr:rowOff>104775</xdr:rowOff>
    </xdr:to>
    <xdr:sp macro="" textlink="">
      <xdr:nvSpPr>
        <xdr:cNvPr id="61" name="Line 60">
          <a:extLst>
            <a:ext uri="{FF2B5EF4-FFF2-40B4-BE49-F238E27FC236}">
              <a16:creationId xmlns="" xmlns:a16="http://schemas.microsoft.com/office/drawing/2014/main" id="{00000000-0008-0000-0800-0000B07E0000}"/>
            </a:ext>
          </a:extLst>
        </xdr:cNvPr>
        <xdr:cNvSpPr>
          <a:spLocks noChangeShapeType="1"/>
        </xdr:cNvSpPr>
      </xdr:nvSpPr>
      <xdr:spPr bwMode="auto">
        <a:xfrm flipH="1">
          <a:off x="8258175" y="772477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28</xdr:row>
      <xdr:rowOff>85725</xdr:rowOff>
    </xdr:from>
    <xdr:to>
      <xdr:col>10</xdr:col>
      <xdr:colOff>0</xdr:colOff>
      <xdr:row>28</xdr:row>
      <xdr:rowOff>85725</xdr:rowOff>
    </xdr:to>
    <xdr:sp macro="" textlink="">
      <xdr:nvSpPr>
        <xdr:cNvPr id="62" name="Line 61">
          <a:extLst>
            <a:ext uri="{FF2B5EF4-FFF2-40B4-BE49-F238E27FC236}">
              <a16:creationId xmlns="" xmlns:a16="http://schemas.microsoft.com/office/drawing/2014/main" id="{00000000-0008-0000-0800-0000B17E0000}"/>
            </a:ext>
          </a:extLst>
        </xdr:cNvPr>
        <xdr:cNvSpPr>
          <a:spLocks noChangeShapeType="1"/>
        </xdr:cNvSpPr>
      </xdr:nvSpPr>
      <xdr:spPr bwMode="auto">
        <a:xfrm>
          <a:off x="8258175" y="74295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</xdr:row>
      <xdr:rowOff>180975</xdr:rowOff>
    </xdr:from>
    <xdr:to>
      <xdr:col>10</xdr:col>
      <xdr:colOff>0</xdr:colOff>
      <xdr:row>6</xdr:row>
      <xdr:rowOff>180975</xdr:rowOff>
    </xdr:to>
    <xdr:sp macro="" textlink="">
      <xdr:nvSpPr>
        <xdr:cNvPr id="63" name="Line 62">
          <a:extLst>
            <a:ext uri="{FF2B5EF4-FFF2-40B4-BE49-F238E27FC236}">
              <a16:creationId xmlns="" xmlns:a16="http://schemas.microsoft.com/office/drawing/2014/main" id="{00000000-0008-0000-0800-0000B27E0000}"/>
            </a:ext>
          </a:extLst>
        </xdr:cNvPr>
        <xdr:cNvSpPr>
          <a:spLocks noChangeShapeType="1"/>
        </xdr:cNvSpPr>
      </xdr:nvSpPr>
      <xdr:spPr bwMode="auto">
        <a:xfrm>
          <a:off x="7867650" y="144780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6</xdr:row>
      <xdr:rowOff>190500</xdr:rowOff>
    </xdr:from>
    <xdr:to>
      <xdr:col>9</xdr:col>
      <xdr:colOff>419100</xdr:colOff>
      <xdr:row>7</xdr:row>
      <xdr:rowOff>190500</xdr:rowOff>
    </xdr:to>
    <xdr:sp macro="" textlink="">
      <xdr:nvSpPr>
        <xdr:cNvPr id="64" name="Line 63">
          <a:extLst>
            <a:ext uri="{FF2B5EF4-FFF2-40B4-BE49-F238E27FC236}">
              <a16:creationId xmlns="" xmlns:a16="http://schemas.microsoft.com/office/drawing/2014/main" id="{00000000-0008-0000-0800-0000B37E0000}"/>
            </a:ext>
          </a:extLst>
        </xdr:cNvPr>
        <xdr:cNvSpPr>
          <a:spLocks noChangeShapeType="1"/>
        </xdr:cNvSpPr>
      </xdr:nvSpPr>
      <xdr:spPr bwMode="auto">
        <a:xfrm flipH="1" flipV="1">
          <a:off x="8286750" y="1457325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7</xdr:row>
      <xdr:rowOff>190500</xdr:rowOff>
    </xdr:from>
    <xdr:to>
      <xdr:col>10</xdr:col>
      <xdr:colOff>9525</xdr:colOff>
      <xdr:row>7</xdr:row>
      <xdr:rowOff>190500</xdr:rowOff>
    </xdr:to>
    <xdr:sp macro="" textlink="">
      <xdr:nvSpPr>
        <xdr:cNvPr id="65" name="Line 64">
          <a:extLst>
            <a:ext uri="{FF2B5EF4-FFF2-40B4-BE49-F238E27FC236}">
              <a16:creationId xmlns="" xmlns:a16="http://schemas.microsoft.com/office/drawing/2014/main" id="{00000000-0008-0000-0800-0000B47E0000}"/>
            </a:ext>
          </a:extLst>
        </xdr:cNvPr>
        <xdr:cNvSpPr>
          <a:spLocks noChangeShapeType="1"/>
        </xdr:cNvSpPr>
      </xdr:nvSpPr>
      <xdr:spPr bwMode="auto">
        <a:xfrm>
          <a:off x="8286750" y="1733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914400</xdr:colOff>
      <xdr:row>5</xdr:row>
      <xdr:rowOff>0</xdr:rowOff>
    </xdr:from>
    <xdr:to>
      <xdr:col>14</xdr:col>
      <xdr:colOff>914400</xdr:colOff>
      <xdr:row>6</xdr:row>
      <xdr:rowOff>209550</xdr:rowOff>
    </xdr:to>
    <xdr:sp macro="" textlink="">
      <xdr:nvSpPr>
        <xdr:cNvPr id="66" name="Line 65">
          <a:extLst>
            <a:ext uri="{FF2B5EF4-FFF2-40B4-BE49-F238E27FC236}">
              <a16:creationId xmlns="" xmlns:a16="http://schemas.microsoft.com/office/drawing/2014/main" id="{00000000-0008-0000-0800-0000B57E0000}"/>
            </a:ext>
          </a:extLst>
        </xdr:cNvPr>
        <xdr:cNvSpPr>
          <a:spLocks noChangeShapeType="1"/>
        </xdr:cNvSpPr>
      </xdr:nvSpPr>
      <xdr:spPr bwMode="auto">
        <a:xfrm flipH="1" flipV="1">
          <a:off x="13392150" y="990600"/>
          <a:ext cx="0" cy="485775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1181100</xdr:colOff>
      <xdr:row>35</xdr:row>
      <xdr:rowOff>114300</xdr:rowOff>
    </xdr:from>
    <xdr:to>
      <xdr:col>10</xdr:col>
      <xdr:colOff>0</xdr:colOff>
      <xdr:row>35</xdr:row>
      <xdr:rowOff>114300</xdr:rowOff>
    </xdr:to>
    <xdr:sp macro="" textlink="">
      <xdr:nvSpPr>
        <xdr:cNvPr id="67" name="Line 66">
          <a:extLst>
            <a:ext uri="{FF2B5EF4-FFF2-40B4-BE49-F238E27FC236}">
              <a16:creationId xmlns="" xmlns:a16="http://schemas.microsoft.com/office/drawing/2014/main" id="{00000000-0008-0000-0800-0000B67E0000}"/>
            </a:ext>
          </a:extLst>
        </xdr:cNvPr>
        <xdr:cNvSpPr>
          <a:spLocks noChangeShapeType="1"/>
        </xdr:cNvSpPr>
      </xdr:nvSpPr>
      <xdr:spPr bwMode="auto">
        <a:xfrm>
          <a:off x="7867650" y="9391650"/>
          <a:ext cx="666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36</xdr:row>
      <xdr:rowOff>114300</xdr:rowOff>
    </xdr:from>
    <xdr:to>
      <xdr:col>9</xdr:col>
      <xdr:colOff>647700</xdr:colOff>
      <xdr:row>36</xdr:row>
      <xdr:rowOff>114300</xdr:rowOff>
    </xdr:to>
    <xdr:sp macro="" textlink="">
      <xdr:nvSpPr>
        <xdr:cNvPr id="68" name="Line 67">
          <a:extLst>
            <a:ext uri="{FF2B5EF4-FFF2-40B4-BE49-F238E27FC236}">
              <a16:creationId xmlns="" xmlns:a16="http://schemas.microsoft.com/office/drawing/2014/main" id="{00000000-0008-0000-0800-0000B77E0000}"/>
            </a:ext>
          </a:extLst>
        </xdr:cNvPr>
        <xdr:cNvSpPr>
          <a:spLocks noChangeShapeType="1"/>
        </xdr:cNvSpPr>
      </xdr:nvSpPr>
      <xdr:spPr bwMode="auto">
        <a:xfrm>
          <a:off x="8258175" y="96678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35</xdr:row>
      <xdr:rowOff>114300</xdr:rowOff>
    </xdr:from>
    <xdr:to>
      <xdr:col>9</xdr:col>
      <xdr:colOff>390525</xdr:colOff>
      <xdr:row>36</xdr:row>
      <xdr:rowOff>104775</xdr:rowOff>
    </xdr:to>
    <xdr:sp macro="" textlink="">
      <xdr:nvSpPr>
        <xdr:cNvPr id="69" name="Line 68">
          <a:extLst>
            <a:ext uri="{FF2B5EF4-FFF2-40B4-BE49-F238E27FC236}">
              <a16:creationId xmlns="" xmlns:a16="http://schemas.microsoft.com/office/drawing/2014/main" id="{00000000-0008-0000-0800-0000B87E0000}"/>
            </a:ext>
          </a:extLst>
        </xdr:cNvPr>
        <xdr:cNvSpPr>
          <a:spLocks noChangeShapeType="1"/>
        </xdr:cNvSpPr>
      </xdr:nvSpPr>
      <xdr:spPr bwMode="auto">
        <a:xfrm flipV="1">
          <a:off x="8258175" y="93916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35</xdr:row>
      <xdr:rowOff>190500</xdr:rowOff>
    </xdr:from>
    <xdr:to>
      <xdr:col>13</xdr:col>
      <xdr:colOff>257175</xdr:colOff>
      <xdr:row>35</xdr:row>
      <xdr:rowOff>190500</xdr:rowOff>
    </xdr:to>
    <xdr:sp macro="" textlink="">
      <xdr:nvSpPr>
        <xdr:cNvPr id="70" name="Line 69">
          <a:extLst>
            <a:ext uri="{FF2B5EF4-FFF2-40B4-BE49-F238E27FC236}">
              <a16:creationId xmlns="" xmlns:a16="http://schemas.microsoft.com/office/drawing/2014/main" id="{00000000-0008-0000-0800-0000B97E0000}"/>
            </a:ext>
          </a:extLst>
        </xdr:cNvPr>
        <xdr:cNvSpPr>
          <a:spLocks noChangeShapeType="1"/>
        </xdr:cNvSpPr>
      </xdr:nvSpPr>
      <xdr:spPr bwMode="auto">
        <a:xfrm>
          <a:off x="11734800" y="9467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71" name="Line 70">
          <a:extLst>
            <a:ext uri="{FF2B5EF4-FFF2-40B4-BE49-F238E27FC236}">
              <a16:creationId xmlns="" xmlns:a16="http://schemas.microsoft.com/office/drawing/2014/main" id="{00000000-0008-0000-0800-0000BA7E0000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133350</xdr:colOff>
      <xdr:row>8</xdr:row>
      <xdr:rowOff>104775</xdr:rowOff>
    </xdr:from>
    <xdr:to>
      <xdr:col>3</xdr:col>
      <xdr:colOff>104775</xdr:colOff>
      <xdr:row>22</xdr:row>
      <xdr:rowOff>180975</xdr:rowOff>
    </xdr:to>
    <xdr:sp macro="" textlink="">
      <xdr:nvSpPr>
        <xdr:cNvPr id="72" name="Rectangle 71">
          <a:extLst>
            <a:ext uri="{FF2B5EF4-FFF2-40B4-BE49-F238E27FC236}">
              <a16:creationId xmlns="" xmlns:a16="http://schemas.microsoft.com/office/drawing/2014/main" id="{00000000-0008-0000-0800-0000BB7E0000}"/>
            </a:ext>
          </a:extLst>
        </xdr:cNvPr>
        <xdr:cNvSpPr>
          <a:spLocks noChangeArrowheads="1"/>
        </xdr:cNvSpPr>
      </xdr:nvSpPr>
      <xdr:spPr bwMode="auto">
        <a:xfrm>
          <a:off x="133350" y="1924050"/>
          <a:ext cx="2714625" cy="394335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409575</xdr:colOff>
      <xdr:row>21</xdr:row>
      <xdr:rowOff>95250</xdr:rowOff>
    </xdr:from>
    <xdr:to>
      <xdr:col>10</xdr:col>
      <xdr:colOff>19050</xdr:colOff>
      <xdr:row>21</xdr:row>
      <xdr:rowOff>95250</xdr:rowOff>
    </xdr:to>
    <xdr:sp macro="" textlink="">
      <xdr:nvSpPr>
        <xdr:cNvPr id="73" name="Line 72">
          <a:extLst>
            <a:ext uri="{FF2B5EF4-FFF2-40B4-BE49-F238E27FC236}">
              <a16:creationId xmlns="" xmlns:a16="http://schemas.microsoft.com/office/drawing/2014/main" id="{00000000-0008-0000-0800-0000BC7E0000}"/>
            </a:ext>
          </a:extLst>
        </xdr:cNvPr>
        <xdr:cNvSpPr>
          <a:spLocks noChangeShapeType="1"/>
        </xdr:cNvSpPr>
      </xdr:nvSpPr>
      <xdr:spPr bwMode="auto">
        <a:xfrm flipH="1">
          <a:off x="8277225" y="55054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152400</xdr:rowOff>
    </xdr:from>
    <xdr:to>
      <xdr:col>10</xdr:col>
      <xdr:colOff>0</xdr:colOff>
      <xdr:row>19</xdr:row>
      <xdr:rowOff>152400</xdr:rowOff>
    </xdr:to>
    <xdr:sp macro="" textlink="">
      <xdr:nvSpPr>
        <xdr:cNvPr id="74" name="Line 73">
          <a:extLst>
            <a:ext uri="{FF2B5EF4-FFF2-40B4-BE49-F238E27FC236}">
              <a16:creationId xmlns="" xmlns:a16="http://schemas.microsoft.com/office/drawing/2014/main" id="{00000000-0008-0000-0800-0000BD7E0000}"/>
            </a:ext>
          </a:extLst>
        </xdr:cNvPr>
        <xdr:cNvSpPr>
          <a:spLocks noChangeShapeType="1"/>
        </xdr:cNvSpPr>
      </xdr:nvSpPr>
      <xdr:spPr bwMode="auto">
        <a:xfrm flipV="1">
          <a:off x="7877175" y="50101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19</xdr:row>
      <xdr:rowOff>152400</xdr:rowOff>
    </xdr:from>
    <xdr:to>
      <xdr:col>9</xdr:col>
      <xdr:colOff>390525</xdr:colOff>
      <xdr:row>21</xdr:row>
      <xdr:rowOff>114300</xdr:rowOff>
    </xdr:to>
    <xdr:sp macro="" textlink="">
      <xdr:nvSpPr>
        <xdr:cNvPr id="75" name="Line 74">
          <a:extLst>
            <a:ext uri="{FF2B5EF4-FFF2-40B4-BE49-F238E27FC236}">
              <a16:creationId xmlns="" xmlns:a16="http://schemas.microsoft.com/office/drawing/2014/main" id="{00000000-0008-0000-0800-0000BE7E0000}"/>
            </a:ext>
          </a:extLst>
        </xdr:cNvPr>
        <xdr:cNvSpPr>
          <a:spLocks noChangeShapeType="1"/>
        </xdr:cNvSpPr>
      </xdr:nvSpPr>
      <xdr:spPr bwMode="auto">
        <a:xfrm>
          <a:off x="8258175" y="50101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20</xdr:row>
      <xdr:rowOff>152400</xdr:rowOff>
    </xdr:from>
    <xdr:to>
      <xdr:col>10</xdr:col>
      <xdr:colOff>9525</xdr:colOff>
      <xdr:row>20</xdr:row>
      <xdr:rowOff>152400</xdr:rowOff>
    </xdr:to>
    <xdr:sp macro="" textlink="">
      <xdr:nvSpPr>
        <xdr:cNvPr id="76" name="Line 75">
          <a:extLst>
            <a:ext uri="{FF2B5EF4-FFF2-40B4-BE49-F238E27FC236}">
              <a16:creationId xmlns="" xmlns:a16="http://schemas.microsoft.com/office/drawing/2014/main" id="{00000000-0008-0000-0800-0000BF7E0000}"/>
            </a:ext>
          </a:extLst>
        </xdr:cNvPr>
        <xdr:cNvSpPr>
          <a:spLocks noChangeShapeType="1"/>
        </xdr:cNvSpPr>
      </xdr:nvSpPr>
      <xdr:spPr bwMode="auto">
        <a:xfrm>
          <a:off x="8277225" y="52863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20</xdr:row>
      <xdr:rowOff>0</xdr:rowOff>
    </xdr:from>
    <xdr:to>
      <xdr:col>7</xdr:col>
      <xdr:colOff>0</xdr:colOff>
      <xdr:row>20</xdr:row>
      <xdr:rowOff>0</xdr:rowOff>
    </xdr:to>
    <xdr:sp macro="" textlink="">
      <xdr:nvSpPr>
        <xdr:cNvPr id="77" name="Line 76">
          <a:extLst>
            <a:ext uri="{FF2B5EF4-FFF2-40B4-BE49-F238E27FC236}">
              <a16:creationId xmlns="" xmlns:a16="http://schemas.microsoft.com/office/drawing/2014/main" id="{00000000-0008-0000-0800-0000C07E0000}"/>
            </a:ext>
          </a:extLst>
        </xdr:cNvPr>
        <xdr:cNvSpPr>
          <a:spLocks noChangeShapeType="1"/>
        </xdr:cNvSpPr>
      </xdr:nvSpPr>
      <xdr:spPr bwMode="auto">
        <a:xfrm flipV="1">
          <a:off x="5695950" y="51339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25</xdr:row>
      <xdr:rowOff>95250</xdr:rowOff>
    </xdr:from>
    <xdr:to>
      <xdr:col>10</xdr:col>
      <xdr:colOff>19050</xdr:colOff>
      <xdr:row>25</xdr:row>
      <xdr:rowOff>95250</xdr:rowOff>
    </xdr:to>
    <xdr:sp macro="" textlink="">
      <xdr:nvSpPr>
        <xdr:cNvPr id="78" name="Line 77">
          <a:extLst>
            <a:ext uri="{FF2B5EF4-FFF2-40B4-BE49-F238E27FC236}">
              <a16:creationId xmlns="" xmlns:a16="http://schemas.microsoft.com/office/drawing/2014/main" id="{00000000-0008-0000-0800-0000C17E0000}"/>
            </a:ext>
          </a:extLst>
        </xdr:cNvPr>
        <xdr:cNvSpPr>
          <a:spLocks noChangeShapeType="1"/>
        </xdr:cNvSpPr>
      </xdr:nvSpPr>
      <xdr:spPr bwMode="auto">
        <a:xfrm flipH="1">
          <a:off x="8277225" y="6610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23</xdr:row>
      <xdr:rowOff>152400</xdr:rowOff>
    </xdr:from>
    <xdr:to>
      <xdr:col>10</xdr:col>
      <xdr:colOff>0</xdr:colOff>
      <xdr:row>23</xdr:row>
      <xdr:rowOff>152400</xdr:rowOff>
    </xdr:to>
    <xdr:sp macro="" textlink="">
      <xdr:nvSpPr>
        <xdr:cNvPr id="79" name="Line 78">
          <a:extLst>
            <a:ext uri="{FF2B5EF4-FFF2-40B4-BE49-F238E27FC236}">
              <a16:creationId xmlns="" xmlns:a16="http://schemas.microsoft.com/office/drawing/2014/main" id="{00000000-0008-0000-0800-0000C27E0000}"/>
            </a:ext>
          </a:extLst>
        </xdr:cNvPr>
        <xdr:cNvSpPr>
          <a:spLocks noChangeShapeType="1"/>
        </xdr:cNvSpPr>
      </xdr:nvSpPr>
      <xdr:spPr bwMode="auto">
        <a:xfrm flipV="1">
          <a:off x="7877175" y="611505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23</xdr:row>
      <xdr:rowOff>152400</xdr:rowOff>
    </xdr:from>
    <xdr:to>
      <xdr:col>9</xdr:col>
      <xdr:colOff>390525</xdr:colOff>
      <xdr:row>25</xdr:row>
      <xdr:rowOff>114300</xdr:rowOff>
    </xdr:to>
    <xdr:sp macro="" textlink="">
      <xdr:nvSpPr>
        <xdr:cNvPr id="80" name="Line 79">
          <a:extLst>
            <a:ext uri="{FF2B5EF4-FFF2-40B4-BE49-F238E27FC236}">
              <a16:creationId xmlns="" xmlns:a16="http://schemas.microsoft.com/office/drawing/2014/main" id="{00000000-0008-0000-0800-0000C37E0000}"/>
            </a:ext>
          </a:extLst>
        </xdr:cNvPr>
        <xdr:cNvSpPr>
          <a:spLocks noChangeShapeType="1"/>
        </xdr:cNvSpPr>
      </xdr:nvSpPr>
      <xdr:spPr bwMode="auto">
        <a:xfrm>
          <a:off x="8258175" y="61150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409575</xdr:colOff>
      <xdr:row>24</xdr:row>
      <xdr:rowOff>152400</xdr:rowOff>
    </xdr:from>
    <xdr:to>
      <xdr:col>10</xdr:col>
      <xdr:colOff>9525</xdr:colOff>
      <xdr:row>24</xdr:row>
      <xdr:rowOff>152400</xdr:rowOff>
    </xdr:to>
    <xdr:sp macro="" textlink="">
      <xdr:nvSpPr>
        <xdr:cNvPr id="81" name="Line 80">
          <a:extLst>
            <a:ext uri="{FF2B5EF4-FFF2-40B4-BE49-F238E27FC236}">
              <a16:creationId xmlns="" xmlns:a16="http://schemas.microsoft.com/office/drawing/2014/main" id="{00000000-0008-0000-0800-0000C47E0000}"/>
            </a:ext>
          </a:extLst>
        </xdr:cNvPr>
        <xdr:cNvSpPr>
          <a:spLocks noChangeShapeType="1"/>
        </xdr:cNvSpPr>
      </xdr:nvSpPr>
      <xdr:spPr bwMode="auto">
        <a:xfrm>
          <a:off x="8277225" y="63912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23</xdr:row>
      <xdr:rowOff>152400</xdr:rowOff>
    </xdr:from>
    <xdr:to>
      <xdr:col>7</xdr:col>
      <xdr:colOff>9525</xdr:colOff>
      <xdr:row>23</xdr:row>
      <xdr:rowOff>152400</xdr:rowOff>
    </xdr:to>
    <xdr:sp macro="" textlink="">
      <xdr:nvSpPr>
        <xdr:cNvPr id="82" name="Line 81">
          <a:extLst>
            <a:ext uri="{FF2B5EF4-FFF2-40B4-BE49-F238E27FC236}">
              <a16:creationId xmlns="" xmlns:a16="http://schemas.microsoft.com/office/drawing/2014/main" id="{00000000-0008-0000-0800-0000C57E0000}"/>
            </a:ext>
          </a:extLst>
        </xdr:cNvPr>
        <xdr:cNvSpPr>
          <a:spLocks noChangeShapeType="1"/>
        </xdr:cNvSpPr>
      </xdr:nvSpPr>
      <xdr:spPr bwMode="auto">
        <a:xfrm flipV="1">
          <a:off x="5705475" y="61150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114300</xdr:rowOff>
    </xdr:from>
    <xdr:to>
      <xdr:col>13</xdr:col>
      <xdr:colOff>714375</xdr:colOff>
      <xdr:row>29</xdr:row>
      <xdr:rowOff>114300</xdr:rowOff>
    </xdr:to>
    <xdr:sp macro="" textlink="">
      <xdr:nvSpPr>
        <xdr:cNvPr id="83" name="Line 82">
          <a:extLst>
            <a:ext uri="{FF2B5EF4-FFF2-40B4-BE49-F238E27FC236}">
              <a16:creationId xmlns="" xmlns:a16="http://schemas.microsoft.com/office/drawing/2014/main" id="{00000000-0008-0000-0800-0000C67E0000}"/>
            </a:ext>
          </a:extLst>
        </xdr:cNvPr>
        <xdr:cNvSpPr>
          <a:spLocks noChangeShapeType="1"/>
        </xdr:cNvSpPr>
      </xdr:nvSpPr>
      <xdr:spPr bwMode="auto">
        <a:xfrm flipV="1">
          <a:off x="11734800" y="7734300"/>
          <a:ext cx="7143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180975</xdr:rowOff>
    </xdr:from>
    <xdr:to>
      <xdr:col>13</xdr:col>
      <xdr:colOff>247650</xdr:colOff>
      <xdr:row>27</xdr:row>
      <xdr:rowOff>180975</xdr:rowOff>
    </xdr:to>
    <xdr:sp macro="" textlink="">
      <xdr:nvSpPr>
        <xdr:cNvPr id="84" name="Line 83">
          <a:extLst>
            <a:ext uri="{FF2B5EF4-FFF2-40B4-BE49-F238E27FC236}">
              <a16:creationId xmlns="" xmlns:a16="http://schemas.microsoft.com/office/drawing/2014/main" id="{00000000-0008-0000-0800-0000C77E0000}"/>
            </a:ext>
          </a:extLst>
        </xdr:cNvPr>
        <xdr:cNvSpPr>
          <a:spLocks noChangeShapeType="1"/>
        </xdr:cNvSpPr>
      </xdr:nvSpPr>
      <xdr:spPr bwMode="auto">
        <a:xfrm>
          <a:off x="11734800" y="724852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28</xdr:row>
      <xdr:rowOff>114300</xdr:rowOff>
    </xdr:from>
    <xdr:to>
      <xdr:col>13</xdr:col>
      <xdr:colOff>485775</xdr:colOff>
      <xdr:row>28</xdr:row>
      <xdr:rowOff>114300</xdr:rowOff>
    </xdr:to>
    <xdr:sp macro="" textlink="">
      <xdr:nvSpPr>
        <xdr:cNvPr id="85" name="Line 84">
          <a:extLst>
            <a:ext uri="{FF2B5EF4-FFF2-40B4-BE49-F238E27FC236}">
              <a16:creationId xmlns="" xmlns:a16="http://schemas.microsoft.com/office/drawing/2014/main" id="{00000000-0008-0000-0800-0000C87E0000}"/>
            </a:ext>
          </a:extLst>
        </xdr:cNvPr>
        <xdr:cNvSpPr>
          <a:spLocks noChangeShapeType="1"/>
        </xdr:cNvSpPr>
      </xdr:nvSpPr>
      <xdr:spPr bwMode="auto">
        <a:xfrm>
          <a:off x="11734800" y="7458075"/>
          <a:ext cx="4857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33</xdr:row>
      <xdr:rowOff>142875</xdr:rowOff>
    </xdr:from>
    <xdr:to>
      <xdr:col>13</xdr:col>
      <xdr:colOff>704850</xdr:colOff>
      <xdr:row>33</xdr:row>
      <xdr:rowOff>142875</xdr:rowOff>
    </xdr:to>
    <xdr:sp macro="" textlink="">
      <xdr:nvSpPr>
        <xdr:cNvPr id="86" name="Line 85">
          <a:extLst>
            <a:ext uri="{FF2B5EF4-FFF2-40B4-BE49-F238E27FC236}">
              <a16:creationId xmlns="" xmlns:a16="http://schemas.microsoft.com/office/drawing/2014/main" id="{00000000-0008-0000-0800-0000C97E0000}"/>
            </a:ext>
          </a:extLst>
        </xdr:cNvPr>
        <xdr:cNvSpPr>
          <a:spLocks noChangeShapeType="1"/>
        </xdr:cNvSpPr>
      </xdr:nvSpPr>
      <xdr:spPr bwMode="auto">
        <a:xfrm flipV="1">
          <a:off x="11744325" y="8867775"/>
          <a:ext cx="6953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981075</xdr:colOff>
      <xdr:row>31</xdr:row>
      <xdr:rowOff>200025</xdr:rowOff>
    </xdr:from>
    <xdr:to>
      <xdr:col>13</xdr:col>
      <xdr:colOff>238125</xdr:colOff>
      <xdr:row>31</xdr:row>
      <xdr:rowOff>200025</xdr:rowOff>
    </xdr:to>
    <xdr:sp macro="" textlink="">
      <xdr:nvSpPr>
        <xdr:cNvPr id="87" name="Line 86">
          <a:extLst>
            <a:ext uri="{FF2B5EF4-FFF2-40B4-BE49-F238E27FC236}">
              <a16:creationId xmlns="" xmlns:a16="http://schemas.microsoft.com/office/drawing/2014/main" id="{00000000-0008-0000-0800-0000CA7E0000}"/>
            </a:ext>
          </a:extLst>
        </xdr:cNvPr>
        <xdr:cNvSpPr>
          <a:spLocks noChangeShapeType="1"/>
        </xdr:cNvSpPr>
      </xdr:nvSpPr>
      <xdr:spPr bwMode="auto">
        <a:xfrm>
          <a:off x="11687175" y="837247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981075</xdr:colOff>
      <xdr:row>32</xdr:row>
      <xdr:rowOff>142875</xdr:rowOff>
    </xdr:from>
    <xdr:to>
      <xdr:col>13</xdr:col>
      <xdr:colOff>476250</xdr:colOff>
      <xdr:row>32</xdr:row>
      <xdr:rowOff>142875</xdr:rowOff>
    </xdr:to>
    <xdr:sp macro="" textlink="">
      <xdr:nvSpPr>
        <xdr:cNvPr id="88" name="Line 87">
          <a:extLst>
            <a:ext uri="{FF2B5EF4-FFF2-40B4-BE49-F238E27FC236}">
              <a16:creationId xmlns="" xmlns:a16="http://schemas.microsoft.com/office/drawing/2014/main" id="{00000000-0008-0000-0800-0000CB7E0000}"/>
            </a:ext>
          </a:extLst>
        </xdr:cNvPr>
        <xdr:cNvSpPr>
          <a:spLocks noChangeShapeType="1"/>
        </xdr:cNvSpPr>
      </xdr:nvSpPr>
      <xdr:spPr bwMode="auto">
        <a:xfrm>
          <a:off x="11687175" y="8591550"/>
          <a:ext cx="523875" cy="0"/>
        </a:xfrm>
        <a:prstGeom prst="line">
          <a:avLst/>
        </a:prstGeom>
        <a:noFill/>
        <a:ln w="1905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466725</xdr:colOff>
      <xdr:row>39</xdr:row>
      <xdr:rowOff>9525</xdr:rowOff>
    </xdr:from>
    <xdr:to>
      <xdr:col>4</xdr:col>
      <xdr:colOff>9525</xdr:colOff>
      <xdr:row>39</xdr:row>
      <xdr:rowOff>9525</xdr:rowOff>
    </xdr:to>
    <xdr:sp macro="" textlink="">
      <xdr:nvSpPr>
        <xdr:cNvPr id="89" name="Line 88">
          <a:extLst>
            <a:ext uri="{FF2B5EF4-FFF2-40B4-BE49-F238E27FC236}">
              <a16:creationId xmlns="" xmlns:a16="http://schemas.microsoft.com/office/drawing/2014/main" id="{00000000-0008-0000-0800-0000CC7E0000}"/>
            </a:ext>
          </a:extLst>
        </xdr:cNvPr>
        <xdr:cNvSpPr>
          <a:spLocks noChangeShapeType="1"/>
        </xdr:cNvSpPr>
      </xdr:nvSpPr>
      <xdr:spPr bwMode="auto">
        <a:xfrm>
          <a:off x="3209925" y="1055370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90" name="Line 89">
          <a:extLst>
            <a:ext uri="{FF2B5EF4-FFF2-40B4-BE49-F238E27FC236}">
              <a16:creationId xmlns="" xmlns:a16="http://schemas.microsoft.com/office/drawing/2014/main" id="{00000000-0008-0000-0800-0000CD7E0000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314325</xdr:colOff>
      <xdr:row>36</xdr:row>
      <xdr:rowOff>9525</xdr:rowOff>
    </xdr:from>
    <xdr:to>
      <xdr:col>7</xdr:col>
      <xdr:colOff>19050</xdr:colOff>
      <xdr:row>36</xdr:row>
      <xdr:rowOff>9525</xdr:rowOff>
    </xdr:to>
    <xdr:sp macro="" textlink="">
      <xdr:nvSpPr>
        <xdr:cNvPr id="91" name="Line 90">
          <a:extLst>
            <a:ext uri="{FF2B5EF4-FFF2-40B4-BE49-F238E27FC236}">
              <a16:creationId xmlns="" xmlns:a16="http://schemas.microsoft.com/office/drawing/2014/main" id="{00000000-0008-0000-0800-0000CE7E0000}"/>
            </a:ext>
          </a:extLst>
        </xdr:cNvPr>
        <xdr:cNvSpPr>
          <a:spLocks noChangeShapeType="1"/>
        </xdr:cNvSpPr>
      </xdr:nvSpPr>
      <xdr:spPr bwMode="auto">
        <a:xfrm>
          <a:off x="5705475" y="956310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53"/>
  <sheetViews>
    <sheetView tabSelected="1" zoomScaleNormal="100" workbookViewId="0">
      <pane xSplit="3" ySplit="5" topLeftCell="D6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/>
  <cols>
    <col min="1" max="1" width="10.75" style="10" customWidth="1"/>
    <col min="2" max="2" width="8.75" style="13" customWidth="1"/>
    <col min="3" max="3" width="12.625" style="10" customWidth="1"/>
    <col min="4" max="7" width="11.75" style="14" customWidth="1"/>
    <col min="8" max="11" width="10.625" style="14" customWidth="1"/>
    <col min="12" max="12" width="10.625" style="15" customWidth="1"/>
    <col min="13" max="27" width="10.625" style="14" customWidth="1"/>
    <col min="28" max="28" width="10.625" style="16" customWidth="1"/>
    <col min="29" max="36" width="10.625" style="14" customWidth="1"/>
    <col min="37" max="38" width="15.5" style="16" customWidth="1"/>
    <col min="39" max="42" width="10.625" style="14" customWidth="1"/>
    <col min="43" max="16384" width="9" style="10"/>
  </cols>
  <sheetData>
    <row r="1" spans="1:42" s="3" customFormat="1" ht="17.25">
      <c r="A1" s="1" t="s">
        <v>0</v>
      </c>
      <c r="B1" s="2"/>
      <c r="C1" s="2"/>
      <c r="E1" s="4"/>
      <c r="F1" s="4"/>
      <c r="G1" s="4"/>
      <c r="I1" s="4"/>
      <c r="K1" s="4"/>
      <c r="L1" s="5"/>
      <c r="M1" s="4"/>
      <c r="O1" s="4"/>
      <c r="Q1" s="4"/>
      <c r="S1" s="4"/>
      <c r="U1" s="4"/>
      <c r="V1" s="4"/>
      <c r="W1" s="4"/>
      <c r="Y1" s="6"/>
      <c r="AB1" s="4"/>
      <c r="AD1" s="4"/>
      <c r="AH1" s="4"/>
      <c r="AK1" s="4"/>
      <c r="AL1" s="4"/>
      <c r="AN1" s="4"/>
      <c r="AP1" s="4"/>
    </row>
    <row r="2" spans="1:42" ht="25.5" customHeight="1">
      <c r="A2" s="7" t="s">
        <v>1</v>
      </c>
      <c r="B2" s="7" t="s">
        <v>2</v>
      </c>
      <c r="C2" s="8" t="s">
        <v>3</v>
      </c>
      <c r="D2" s="8" t="s">
        <v>4</v>
      </c>
      <c r="E2" s="8" t="s">
        <v>4</v>
      </c>
      <c r="F2" s="8" t="s">
        <v>5</v>
      </c>
      <c r="G2" s="7" t="s">
        <v>6</v>
      </c>
      <c r="H2" s="8" t="s">
        <v>7</v>
      </c>
      <c r="I2" s="8" t="s">
        <v>7</v>
      </c>
      <c r="J2" s="8" t="s">
        <v>7</v>
      </c>
      <c r="K2" s="8" t="s">
        <v>7</v>
      </c>
      <c r="L2" s="8" t="s">
        <v>8</v>
      </c>
      <c r="M2" s="8" t="s">
        <v>8</v>
      </c>
      <c r="N2" s="8" t="s">
        <v>8</v>
      </c>
      <c r="O2" s="7" t="s">
        <v>9</v>
      </c>
      <c r="P2" s="9" t="s">
        <v>10</v>
      </c>
      <c r="Q2" s="9" t="s">
        <v>10</v>
      </c>
      <c r="R2" s="9" t="s">
        <v>10</v>
      </c>
      <c r="S2" s="9" t="s">
        <v>10</v>
      </c>
      <c r="T2" s="9" t="s">
        <v>10</v>
      </c>
      <c r="U2" s="9" t="s">
        <v>10</v>
      </c>
      <c r="V2" s="9" t="s">
        <v>10</v>
      </c>
      <c r="W2" s="9" t="s">
        <v>10</v>
      </c>
      <c r="X2" s="9" t="s">
        <v>10</v>
      </c>
      <c r="Y2" s="9" t="s">
        <v>10</v>
      </c>
      <c r="Z2" s="9" t="s">
        <v>10</v>
      </c>
      <c r="AA2" s="9" t="s">
        <v>10</v>
      </c>
      <c r="AB2" s="8" t="s">
        <v>11</v>
      </c>
      <c r="AC2" s="8" t="s">
        <v>12</v>
      </c>
      <c r="AD2" s="8" t="s">
        <v>13</v>
      </c>
      <c r="AE2" s="8" t="s">
        <v>13</v>
      </c>
      <c r="AF2" s="8" t="s">
        <v>13</v>
      </c>
      <c r="AG2" s="8" t="s">
        <v>13</v>
      </c>
      <c r="AH2" s="8" t="s">
        <v>13</v>
      </c>
      <c r="AI2" s="8" t="s">
        <v>13</v>
      </c>
      <c r="AJ2" s="8" t="s">
        <v>13</v>
      </c>
      <c r="AK2" s="8" t="s">
        <v>14</v>
      </c>
      <c r="AL2" s="8" t="s">
        <v>15</v>
      </c>
      <c r="AM2" s="8" t="s">
        <v>16</v>
      </c>
      <c r="AN2" s="8" t="s">
        <v>16</v>
      </c>
      <c r="AO2" s="8" t="s">
        <v>16</v>
      </c>
      <c r="AP2" s="8" t="s">
        <v>16</v>
      </c>
    </row>
    <row r="3" spans="1:42" ht="22.5" customHeight="1">
      <c r="A3" s="7"/>
      <c r="B3" s="7"/>
      <c r="C3" s="8"/>
      <c r="D3" s="11" t="s">
        <v>17</v>
      </c>
      <c r="E3" s="8" t="s">
        <v>18</v>
      </c>
      <c r="F3" s="7" t="s">
        <v>19</v>
      </c>
      <c r="G3" s="7"/>
      <c r="H3" s="8" t="s">
        <v>20</v>
      </c>
      <c r="I3" s="8" t="s">
        <v>21</v>
      </c>
      <c r="J3" s="7" t="s">
        <v>22</v>
      </c>
      <c r="K3" s="11" t="s">
        <v>23</v>
      </c>
      <c r="L3" s="8" t="s">
        <v>24</v>
      </c>
      <c r="M3" s="8" t="s">
        <v>25</v>
      </c>
      <c r="N3" s="8" t="s">
        <v>26</v>
      </c>
      <c r="O3" s="7"/>
      <c r="P3" s="8" t="s">
        <v>27</v>
      </c>
      <c r="Q3" s="8" t="s">
        <v>28</v>
      </c>
      <c r="R3" s="8" t="s">
        <v>29</v>
      </c>
      <c r="S3" s="8" t="s">
        <v>29</v>
      </c>
      <c r="T3" s="8" t="s">
        <v>29</v>
      </c>
      <c r="U3" s="8" t="s">
        <v>29</v>
      </c>
      <c r="V3" s="8" t="s">
        <v>29</v>
      </c>
      <c r="W3" s="8" t="s">
        <v>29</v>
      </c>
      <c r="X3" s="8" t="s">
        <v>29</v>
      </c>
      <c r="Y3" s="8" t="s">
        <v>30</v>
      </c>
      <c r="Z3" s="8" t="s">
        <v>31</v>
      </c>
      <c r="AA3" s="11" t="s">
        <v>32</v>
      </c>
      <c r="AB3" s="8"/>
      <c r="AC3" s="8" t="s">
        <v>33</v>
      </c>
      <c r="AD3" s="8" t="s">
        <v>34</v>
      </c>
      <c r="AE3" s="7" t="s">
        <v>35</v>
      </c>
      <c r="AF3" s="7" t="s">
        <v>36</v>
      </c>
      <c r="AG3" s="7" t="s">
        <v>37</v>
      </c>
      <c r="AH3" s="7" t="s">
        <v>38</v>
      </c>
      <c r="AI3" s="7" t="s">
        <v>39</v>
      </c>
      <c r="AJ3" s="11" t="s">
        <v>40</v>
      </c>
      <c r="AK3" s="8"/>
      <c r="AL3" s="8"/>
      <c r="AM3" s="8" t="s">
        <v>28</v>
      </c>
      <c r="AN3" s="8" t="s">
        <v>41</v>
      </c>
      <c r="AO3" s="8" t="s">
        <v>42</v>
      </c>
      <c r="AP3" s="11" t="s">
        <v>23</v>
      </c>
    </row>
    <row r="4" spans="1:42" ht="25.5" customHeight="1">
      <c r="A4" s="7"/>
      <c r="B4" s="7"/>
      <c r="C4" s="8"/>
      <c r="D4" s="11"/>
      <c r="E4" s="8"/>
      <c r="F4" s="7"/>
      <c r="G4" s="8"/>
      <c r="H4" s="7"/>
      <c r="I4" s="7"/>
      <c r="J4" s="7"/>
      <c r="K4" s="11"/>
      <c r="L4" s="11"/>
      <c r="M4" s="11"/>
      <c r="N4" s="11"/>
      <c r="O4" s="7"/>
      <c r="P4" s="7"/>
      <c r="Q4" s="7"/>
      <c r="R4" s="11" t="s">
        <v>23</v>
      </c>
      <c r="S4" s="8" t="s">
        <v>43</v>
      </c>
      <c r="T4" s="7" t="s">
        <v>44</v>
      </c>
      <c r="U4" s="7" t="s">
        <v>45</v>
      </c>
      <c r="V4" s="7" t="s">
        <v>36</v>
      </c>
      <c r="W4" s="7" t="s">
        <v>37</v>
      </c>
      <c r="X4" s="7" t="s">
        <v>38</v>
      </c>
      <c r="Y4" s="8" t="s">
        <v>46</v>
      </c>
      <c r="Z4" s="9"/>
      <c r="AA4" s="11"/>
      <c r="AB4" s="8"/>
      <c r="AC4" s="7"/>
      <c r="AD4" s="7"/>
      <c r="AE4" s="7"/>
      <c r="AF4" s="8"/>
      <c r="AG4" s="8"/>
      <c r="AH4" s="7"/>
      <c r="AI4" s="7"/>
      <c r="AJ4" s="11"/>
      <c r="AK4" s="8"/>
      <c r="AL4" s="8"/>
      <c r="AM4" s="7"/>
      <c r="AN4" s="7"/>
      <c r="AO4" s="7"/>
      <c r="AP4" s="11"/>
    </row>
    <row r="5" spans="1:42" s="12" customFormat="1" ht="13.5" customHeight="1">
      <c r="A5" s="7"/>
      <c r="B5" s="7"/>
      <c r="C5" s="8"/>
      <c r="D5" s="11" t="s">
        <v>47</v>
      </c>
      <c r="E5" s="11" t="s">
        <v>48</v>
      </c>
      <c r="F5" s="11" t="s">
        <v>49</v>
      </c>
      <c r="G5" s="11" t="s">
        <v>47</v>
      </c>
      <c r="H5" s="7" t="s">
        <v>50</v>
      </c>
      <c r="I5" s="7" t="s">
        <v>51</v>
      </c>
      <c r="J5" s="7" t="s">
        <v>51</v>
      </c>
      <c r="K5" s="7" t="s">
        <v>51</v>
      </c>
      <c r="L5" s="8" t="s">
        <v>52</v>
      </c>
      <c r="M5" s="8" t="s">
        <v>53</v>
      </c>
      <c r="N5" s="8" t="s">
        <v>53</v>
      </c>
      <c r="O5" s="7" t="s">
        <v>51</v>
      </c>
      <c r="P5" s="7" t="s">
        <v>54</v>
      </c>
      <c r="Q5" s="7" t="s">
        <v>54</v>
      </c>
      <c r="R5" s="7" t="s">
        <v>51</v>
      </c>
      <c r="S5" s="7" t="s">
        <v>54</v>
      </c>
      <c r="T5" s="7" t="s">
        <v>54</v>
      </c>
      <c r="U5" s="7" t="s">
        <v>51</v>
      </c>
      <c r="V5" s="7" t="s">
        <v>54</v>
      </c>
      <c r="W5" s="7" t="s">
        <v>50</v>
      </c>
      <c r="X5" s="7" t="s">
        <v>51</v>
      </c>
      <c r="Y5" s="7" t="s">
        <v>54</v>
      </c>
      <c r="Z5" s="7" t="s">
        <v>54</v>
      </c>
      <c r="AA5" s="7" t="s">
        <v>51</v>
      </c>
      <c r="AB5" s="7" t="s">
        <v>55</v>
      </c>
      <c r="AC5" s="7" t="s">
        <v>56</v>
      </c>
      <c r="AD5" s="7" t="s">
        <v>54</v>
      </c>
      <c r="AE5" s="7" t="s">
        <v>51</v>
      </c>
      <c r="AF5" s="7" t="s">
        <v>51</v>
      </c>
      <c r="AG5" s="7" t="s">
        <v>51</v>
      </c>
      <c r="AH5" s="7" t="s">
        <v>54</v>
      </c>
      <c r="AI5" s="7" t="s">
        <v>54</v>
      </c>
      <c r="AJ5" s="7" t="s">
        <v>54</v>
      </c>
      <c r="AK5" s="7" t="s">
        <v>55</v>
      </c>
      <c r="AL5" s="7" t="s">
        <v>55</v>
      </c>
      <c r="AM5" s="7" t="s">
        <v>54</v>
      </c>
      <c r="AN5" s="7" t="s">
        <v>54</v>
      </c>
      <c r="AO5" s="7" t="s">
        <v>51</v>
      </c>
      <c r="AP5" s="7" t="s">
        <v>54</v>
      </c>
    </row>
    <row r="6" spans="1:42" ht="13.5" customHeight="1">
      <c r="A6" s="17" t="s">
        <v>57</v>
      </c>
      <c r="B6" s="18" t="s">
        <v>58</v>
      </c>
      <c r="C6" s="17" t="s">
        <v>59</v>
      </c>
      <c r="D6" s="19">
        <v>5185414</v>
      </c>
      <c r="E6" s="19">
        <v>5183150</v>
      </c>
      <c r="F6" s="19">
        <v>2264</v>
      </c>
      <c r="G6" s="19">
        <v>36612</v>
      </c>
      <c r="H6" s="19">
        <v>1461861</v>
      </c>
      <c r="I6" s="19">
        <v>210818</v>
      </c>
      <c r="J6" s="19">
        <v>108636</v>
      </c>
      <c r="K6" s="19">
        <v>1781315</v>
      </c>
      <c r="L6" s="20">
        <v>941.16208821381485</v>
      </c>
      <c r="M6" s="19">
        <v>667.68370632627682</v>
      </c>
      <c r="N6" s="19">
        <v>273.47838188753803</v>
      </c>
      <c r="O6" s="19">
        <v>266</v>
      </c>
      <c r="P6" s="19">
        <v>1078253</v>
      </c>
      <c r="Q6" s="19">
        <v>120308</v>
      </c>
      <c r="R6" s="19">
        <v>443220</v>
      </c>
      <c r="S6" s="19">
        <v>122217</v>
      </c>
      <c r="T6" s="19">
        <v>244000</v>
      </c>
      <c r="U6" s="19">
        <v>31059</v>
      </c>
      <c r="V6" s="19">
        <v>0</v>
      </c>
      <c r="W6" s="19">
        <v>15753</v>
      </c>
      <c r="X6" s="19">
        <v>26278</v>
      </c>
      <c r="Y6" s="19">
        <v>3913</v>
      </c>
      <c r="Z6" s="19">
        <v>32719</v>
      </c>
      <c r="AA6" s="19">
        <v>1674500</v>
      </c>
      <c r="AB6" s="21">
        <v>92.81528814571513</v>
      </c>
      <c r="AC6" s="19">
        <v>26872</v>
      </c>
      <c r="AD6" s="19">
        <v>15450</v>
      </c>
      <c r="AE6" s="19">
        <v>14552</v>
      </c>
      <c r="AF6" s="19">
        <v>0</v>
      </c>
      <c r="AG6" s="19">
        <v>5719</v>
      </c>
      <c r="AH6" s="19">
        <v>21946</v>
      </c>
      <c r="AI6" s="19">
        <v>193176</v>
      </c>
      <c r="AJ6" s="19">
        <v>277715</v>
      </c>
      <c r="AK6" s="21">
        <v>23.501852915313247</v>
      </c>
      <c r="AL6" s="21">
        <v>21.363373292895211</v>
      </c>
      <c r="AM6" s="19">
        <v>120308</v>
      </c>
      <c r="AN6" s="19">
        <v>114554</v>
      </c>
      <c r="AO6" s="19">
        <v>48153</v>
      </c>
      <c r="AP6" s="19">
        <v>283015</v>
      </c>
    </row>
    <row r="7" spans="1:42" ht="13.5" customHeight="1">
      <c r="A7" s="17" t="s">
        <v>60</v>
      </c>
      <c r="B7" s="18" t="s">
        <v>61</v>
      </c>
      <c r="C7" s="17" t="s">
        <v>59</v>
      </c>
      <c r="D7" s="19">
        <v>1246157</v>
      </c>
      <c r="E7" s="19">
        <v>1246157</v>
      </c>
      <c r="F7" s="19">
        <v>0</v>
      </c>
      <c r="G7" s="19">
        <v>5826</v>
      </c>
      <c r="H7" s="19">
        <v>409477</v>
      </c>
      <c r="I7" s="19">
        <v>37518</v>
      </c>
      <c r="J7" s="19">
        <v>8544</v>
      </c>
      <c r="K7" s="19">
        <v>455539</v>
      </c>
      <c r="L7" s="20">
        <v>1001.5207191345237</v>
      </c>
      <c r="M7" s="19">
        <v>689.80292188386181</v>
      </c>
      <c r="N7" s="19">
        <v>311.71779725066193</v>
      </c>
      <c r="O7" s="19">
        <v>0</v>
      </c>
      <c r="P7" s="19">
        <v>370158</v>
      </c>
      <c r="Q7" s="19">
        <v>14437</v>
      </c>
      <c r="R7" s="19">
        <v>53341</v>
      </c>
      <c r="S7" s="19">
        <v>17524</v>
      </c>
      <c r="T7" s="19">
        <v>35008</v>
      </c>
      <c r="U7" s="19">
        <v>690</v>
      </c>
      <c r="V7" s="19">
        <v>0</v>
      </c>
      <c r="W7" s="19">
        <v>0</v>
      </c>
      <c r="X7" s="19">
        <v>36</v>
      </c>
      <c r="Y7" s="19">
        <v>83</v>
      </c>
      <c r="Z7" s="19">
        <v>10000.873638300001</v>
      </c>
      <c r="AA7" s="19">
        <v>447936.87363829999</v>
      </c>
      <c r="AB7" s="21">
        <v>96.777001213868004</v>
      </c>
      <c r="AC7" s="19">
        <v>15843</v>
      </c>
      <c r="AD7" s="19">
        <v>3532</v>
      </c>
      <c r="AE7" s="19">
        <v>686</v>
      </c>
      <c r="AF7" s="19">
        <v>0</v>
      </c>
      <c r="AG7" s="19">
        <v>0</v>
      </c>
      <c r="AH7" s="19">
        <v>36</v>
      </c>
      <c r="AI7" s="19">
        <v>26317</v>
      </c>
      <c r="AJ7" s="19">
        <v>46414</v>
      </c>
      <c r="AK7" s="21">
        <v>14.230360435598714</v>
      </c>
      <c r="AL7" s="21">
        <v>12.647599707331084</v>
      </c>
      <c r="AM7" s="19">
        <v>14437</v>
      </c>
      <c r="AN7" s="19">
        <v>29817</v>
      </c>
      <c r="AO7" s="19">
        <v>6455</v>
      </c>
      <c r="AP7" s="19">
        <v>50709</v>
      </c>
    </row>
    <row r="8" spans="1:42" ht="13.5" customHeight="1">
      <c r="A8" s="17" t="s">
        <v>62</v>
      </c>
      <c r="B8" s="18" t="s">
        <v>63</v>
      </c>
      <c r="C8" s="17" t="s">
        <v>59</v>
      </c>
      <c r="D8" s="19">
        <v>1209697</v>
      </c>
      <c r="E8" s="19">
        <v>1209697</v>
      </c>
      <c r="F8" s="19">
        <v>0</v>
      </c>
      <c r="G8" s="19">
        <v>7339</v>
      </c>
      <c r="H8" s="19">
        <v>350813</v>
      </c>
      <c r="I8" s="19">
        <v>36639</v>
      </c>
      <c r="J8" s="19">
        <v>13583</v>
      </c>
      <c r="K8" s="19">
        <v>401035</v>
      </c>
      <c r="L8" s="20">
        <v>908.26548085781826</v>
      </c>
      <c r="M8" s="19">
        <v>636.7744233382748</v>
      </c>
      <c r="N8" s="19">
        <v>271.49105751954346</v>
      </c>
      <c r="O8" s="19">
        <v>0</v>
      </c>
      <c r="P8" s="19">
        <v>322901</v>
      </c>
      <c r="Q8" s="19">
        <v>1165</v>
      </c>
      <c r="R8" s="19">
        <v>48301</v>
      </c>
      <c r="S8" s="19">
        <v>17537</v>
      </c>
      <c r="T8" s="19">
        <v>27151</v>
      </c>
      <c r="U8" s="19">
        <v>3357</v>
      </c>
      <c r="V8" s="19">
        <v>0</v>
      </c>
      <c r="W8" s="19">
        <v>171</v>
      </c>
      <c r="X8" s="19">
        <v>14</v>
      </c>
      <c r="Y8" s="19">
        <v>71</v>
      </c>
      <c r="Z8" s="19">
        <v>14998</v>
      </c>
      <c r="AA8" s="19">
        <v>387365</v>
      </c>
      <c r="AB8" s="21">
        <v>99.699250061311687</v>
      </c>
      <c r="AC8" s="19">
        <v>14109</v>
      </c>
      <c r="AD8" s="19">
        <v>3450</v>
      </c>
      <c r="AE8" s="19">
        <v>590</v>
      </c>
      <c r="AF8" s="19">
        <v>0</v>
      </c>
      <c r="AG8" s="19">
        <v>171</v>
      </c>
      <c r="AH8" s="19">
        <v>14</v>
      </c>
      <c r="AI8" s="19">
        <v>21845</v>
      </c>
      <c r="AJ8" s="19">
        <v>40179</v>
      </c>
      <c r="AK8" s="21">
        <v>17.149356026217863</v>
      </c>
      <c r="AL8" s="21">
        <v>15.602771431706856</v>
      </c>
      <c r="AM8" s="19">
        <v>1165</v>
      </c>
      <c r="AN8" s="19">
        <v>30003</v>
      </c>
      <c r="AO8" s="19">
        <v>6237</v>
      </c>
      <c r="AP8" s="19">
        <v>37405</v>
      </c>
    </row>
    <row r="9" spans="1:42" ht="13.5" customHeight="1">
      <c r="A9" s="17" t="s">
        <v>64</v>
      </c>
      <c r="B9" s="18" t="s">
        <v>65</v>
      </c>
      <c r="C9" s="17" t="s">
        <v>59</v>
      </c>
      <c r="D9" s="19">
        <v>2269119</v>
      </c>
      <c r="E9" s="19">
        <v>2269119</v>
      </c>
      <c r="F9" s="19">
        <v>0</v>
      </c>
      <c r="G9" s="19">
        <v>20928</v>
      </c>
      <c r="H9" s="19">
        <v>711883</v>
      </c>
      <c r="I9" s="19">
        <v>68360</v>
      </c>
      <c r="J9" s="19">
        <v>27835</v>
      </c>
      <c r="K9" s="19">
        <v>808078</v>
      </c>
      <c r="L9" s="20">
        <v>975.67043807183461</v>
      </c>
      <c r="M9" s="19">
        <v>690.25159707297416</v>
      </c>
      <c r="N9" s="19">
        <v>285.41884099886039</v>
      </c>
      <c r="O9" s="19">
        <v>5</v>
      </c>
      <c r="P9" s="19">
        <v>628617</v>
      </c>
      <c r="Q9" s="19">
        <v>5140</v>
      </c>
      <c r="R9" s="19">
        <v>140651</v>
      </c>
      <c r="S9" s="19">
        <v>56163</v>
      </c>
      <c r="T9" s="19">
        <v>82776</v>
      </c>
      <c r="U9" s="19">
        <v>1572</v>
      </c>
      <c r="V9" s="19">
        <v>0</v>
      </c>
      <c r="W9" s="19">
        <v>0</v>
      </c>
      <c r="X9" s="19">
        <v>140</v>
      </c>
      <c r="Y9" s="19">
        <v>0</v>
      </c>
      <c r="Z9" s="19">
        <v>5640</v>
      </c>
      <c r="AA9" s="19">
        <v>780048</v>
      </c>
      <c r="AB9" s="21">
        <v>99.341066190798514</v>
      </c>
      <c r="AC9" s="19">
        <v>7985</v>
      </c>
      <c r="AD9" s="19">
        <v>13227</v>
      </c>
      <c r="AE9" s="19">
        <v>1572</v>
      </c>
      <c r="AF9" s="19">
        <v>0</v>
      </c>
      <c r="AG9" s="19">
        <v>0</v>
      </c>
      <c r="AH9" s="19">
        <v>140</v>
      </c>
      <c r="AI9" s="19">
        <v>70326</v>
      </c>
      <c r="AJ9" s="19">
        <v>93250</v>
      </c>
      <c r="AK9" s="21">
        <v>15.686058501045325</v>
      </c>
      <c r="AL9" s="21">
        <v>15.382177864864097</v>
      </c>
      <c r="AM9" s="19">
        <v>5140</v>
      </c>
      <c r="AN9" s="19">
        <v>79998</v>
      </c>
      <c r="AO9" s="19">
        <v>7330</v>
      </c>
      <c r="AP9" s="19">
        <v>92468</v>
      </c>
    </row>
    <row r="10" spans="1:42" ht="13.5" customHeight="1">
      <c r="A10" s="17" t="s">
        <v>66</v>
      </c>
      <c r="B10" s="18" t="s">
        <v>67</v>
      </c>
      <c r="C10" s="17" t="s">
        <v>59</v>
      </c>
      <c r="D10" s="19">
        <v>958311</v>
      </c>
      <c r="E10" s="19">
        <v>958311</v>
      </c>
      <c r="F10" s="19">
        <v>0</v>
      </c>
      <c r="G10" s="19">
        <v>3987</v>
      </c>
      <c r="H10" s="19">
        <v>312002.08999999997</v>
      </c>
      <c r="I10" s="19">
        <v>30599</v>
      </c>
      <c r="J10" s="19">
        <v>3346</v>
      </c>
      <c r="K10" s="19">
        <v>345947.08999999997</v>
      </c>
      <c r="L10" s="20">
        <v>989.032001693962</v>
      </c>
      <c r="M10" s="19">
        <v>677.06163911126566</v>
      </c>
      <c r="N10" s="19">
        <v>311.97036258269628</v>
      </c>
      <c r="O10" s="19">
        <v>42</v>
      </c>
      <c r="P10" s="19">
        <v>287191</v>
      </c>
      <c r="Q10" s="19">
        <v>2941</v>
      </c>
      <c r="R10" s="19">
        <v>38138</v>
      </c>
      <c r="S10" s="19">
        <v>13648</v>
      </c>
      <c r="T10" s="19">
        <v>23686</v>
      </c>
      <c r="U10" s="19">
        <v>782</v>
      </c>
      <c r="V10" s="19">
        <v>0</v>
      </c>
      <c r="W10" s="19">
        <v>0</v>
      </c>
      <c r="X10" s="19">
        <v>0</v>
      </c>
      <c r="Y10" s="19">
        <v>22</v>
      </c>
      <c r="Z10" s="19">
        <v>13040</v>
      </c>
      <c r="AA10" s="19">
        <v>341310</v>
      </c>
      <c r="AB10" s="21">
        <v>99.138320002343903</v>
      </c>
      <c r="AC10" s="19">
        <v>10979</v>
      </c>
      <c r="AD10" s="19">
        <v>2328</v>
      </c>
      <c r="AE10" s="19">
        <v>726</v>
      </c>
      <c r="AF10" s="19">
        <v>0</v>
      </c>
      <c r="AG10" s="19">
        <v>0</v>
      </c>
      <c r="AH10" s="19">
        <v>0</v>
      </c>
      <c r="AI10" s="19">
        <v>19731</v>
      </c>
      <c r="AJ10" s="19">
        <v>33764</v>
      </c>
      <c r="AK10" s="21">
        <v>14.550740448447147</v>
      </c>
      <c r="AL10" s="21">
        <v>14.145698899772526</v>
      </c>
      <c r="AM10" s="19">
        <v>2941</v>
      </c>
      <c r="AN10" s="19">
        <v>23038</v>
      </c>
      <c r="AO10" s="19">
        <v>5787</v>
      </c>
      <c r="AP10" s="19">
        <v>31766</v>
      </c>
    </row>
    <row r="11" spans="1:42" ht="13.5" customHeight="1">
      <c r="A11" s="17" t="s">
        <v>68</v>
      </c>
      <c r="B11" s="18" t="s">
        <v>69</v>
      </c>
      <c r="C11" s="17" t="s">
        <v>59</v>
      </c>
      <c r="D11" s="19">
        <v>1055794</v>
      </c>
      <c r="E11" s="19">
        <v>1055794</v>
      </c>
      <c r="F11" s="19">
        <v>0</v>
      </c>
      <c r="G11" s="19">
        <v>7360</v>
      </c>
      <c r="H11" s="19">
        <v>300073</v>
      </c>
      <c r="I11" s="19">
        <v>34093</v>
      </c>
      <c r="J11" s="19">
        <v>14055</v>
      </c>
      <c r="K11" s="19">
        <v>348221</v>
      </c>
      <c r="L11" s="20">
        <v>903.61390288853829</v>
      </c>
      <c r="M11" s="19">
        <v>642.46136018491154</v>
      </c>
      <c r="N11" s="19">
        <v>261.15254270362675</v>
      </c>
      <c r="O11" s="19">
        <v>212</v>
      </c>
      <c r="P11" s="19">
        <v>288805</v>
      </c>
      <c r="Q11" s="19">
        <v>1539</v>
      </c>
      <c r="R11" s="19">
        <v>32128</v>
      </c>
      <c r="S11" s="19">
        <v>12648</v>
      </c>
      <c r="T11" s="19">
        <v>18122</v>
      </c>
      <c r="U11" s="19">
        <v>851</v>
      </c>
      <c r="V11" s="19">
        <v>0</v>
      </c>
      <c r="W11" s="19">
        <v>0</v>
      </c>
      <c r="X11" s="19">
        <v>0</v>
      </c>
      <c r="Y11" s="19">
        <v>507</v>
      </c>
      <c r="Z11" s="19">
        <v>11737</v>
      </c>
      <c r="AA11" s="19">
        <v>334209</v>
      </c>
      <c r="AB11" s="21">
        <v>99.539509707997084</v>
      </c>
      <c r="AC11" s="19">
        <v>5265</v>
      </c>
      <c r="AD11" s="19">
        <v>3308</v>
      </c>
      <c r="AE11" s="19">
        <v>833</v>
      </c>
      <c r="AF11" s="19">
        <v>0</v>
      </c>
      <c r="AG11" s="19">
        <v>0</v>
      </c>
      <c r="AH11" s="19">
        <v>0</v>
      </c>
      <c r="AI11" s="19">
        <v>12596</v>
      </c>
      <c r="AJ11" s="19">
        <v>22002</v>
      </c>
      <c r="AK11" s="21">
        <v>13.723497117129535</v>
      </c>
      <c r="AL11" s="21">
        <v>13.723497117129535</v>
      </c>
      <c r="AM11" s="19">
        <v>1539</v>
      </c>
      <c r="AN11" s="19">
        <v>26361</v>
      </c>
      <c r="AO11" s="19">
        <v>5036</v>
      </c>
      <c r="AP11" s="19">
        <v>32936</v>
      </c>
    </row>
    <row r="12" spans="1:42" ht="13.5" customHeight="1">
      <c r="A12" s="17" t="s">
        <v>70</v>
      </c>
      <c r="B12" s="18" t="s">
        <v>71</v>
      </c>
      <c r="C12" s="17" t="s">
        <v>59</v>
      </c>
      <c r="D12" s="19">
        <v>1844169</v>
      </c>
      <c r="E12" s="19">
        <v>1844169</v>
      </c>
      <c r="F12" s="19">
        <v>0</v>
      </c>
      <c r="G12" s="19">
        <v>14243</v>
      </c>
      <c r="H12" s="19">
        <v>601129</v>
      </c>
      <c r="I12" s="19">
        <v>76461</v>
      </c>
      <c r="J12" s="19">
        <v>15290</v>
      </c>
      <c r="K12" s="19">
        <v>692880</v>
      </c>
      <c r="L12" s="20">
        <v>1029.3532587647951</v>
      </c>
      <c r="M12" s="19">
        <v>734.83890212213271</v>
      </c>
      <c r="N12" s="19">
        <v>294.51435664266262</v>
      </c>
      <c r="O12" s="19">
        <v>0</v>
      </c>
      <c r="P12" s="19">
        <v>582341</v>
      </c>
      <c r="Q12" s="19">
        <v>2424</v>
      </c>
      <c r="R12" s="19">
        <v>69277</v>
      </c>
      <c r="S12" s="19">
        <v>41031</v>
      </c>
      <c r="T12" s="19">
        <v>27498</v>
      </c>
      <c r="U12" s="19">
        <v>143</v>
      </c>
      <c r="V12" s="19">
        <v>0</v>
      </c>
      <c r="W12" s="19">
        <v>0</v>
      </c>
      <c r="X12" s="19">
        <v>7</v>
      </c>
      <c r="Y12" s="19">
        <v>598</v>
      </c>
      <c r="Z12" s="19">
        <v>23637</v>
      </c>
      <c r="AA12" s="19">
        <v>677679</v>
      </c>
      <c r="AB12" s="21">
        <v>99.642308526603301</v>
      </c>
      <c r="AC12" s="19">
        <v>13859</v>
      </c>
      <c r="AD12" s="19">
        <v>15490</v>
      </c>
      <c r="AE12" s="19">
        <v>143</v>
      </c>
      <c r="AF12" s="19">
        <v>0</v>
      </c>
      <c r="AG12" s="19">
        <v>0</v>
      </c>
      <c r="AH12" s="19">
        <v>7</v>
      </c>
      <c r="AI12" s="19">
        <v>23750</v>
      </c>
      <c r="AJ12" s="19">
        <v>53249</v>
      </c>
      <c r="AK12" s="21">
        <v>13.301605122307059</v>
      </c>
      <c r="AL12" s="21">
        <v>13.280680665368868</v>
      </c>
      <c r="AM12" s="19">
        <v>2424</v>
      </c>
      <c r="AN12" s="19">
        <v>64617</v>
      </c>
      <c r="AO12" s="19">
        <v>12995</v>
      </c>
      <c r="AP12" s="19">
        <v>80036</v>
      </c>
    </row>
    <row r="13" spans="1:42" ht="13.5" customHeight="1">
      <c r="A13" s="17" t="s">
        <v>72</v>
      </c>
      <c r="B13" s="18" t="s">
        <v>73</v>
      </c>
      <c r="C13" s="17" t="s">
        <v>59</v>
      </c>
      <c r="D13" s="19">
        <v>2890169</v>
      </c>
      <c r="E13" s="19">
        <v>2890169</v>
      </c>
      <c r="F13" s="19">
        <v>0</v>
      </c>
      <c r="G13" s="19">
        <v>70601</v>
      </c>
      <c r="H13" s="19">
        <v>889576</v>
      </c>
      <c r="I13" s="19">
        <v>100156</v>
      </c>
      <c r="J13" s="19">
        <v>16074</v>
      </c>
      <c r="K13" s="19">
        <v>1005806</v>
      </c>
      <c r="L13" s="20">
        <v>953.45043030782233</v>
      </c>
      <c r="M13" s="19">
        <v>705.0779800585866</v>
      </c>
      <c r="N13" s="19">
        <v>248.37245024923581</v>
      </c>
      <c r="O13" s="19">
        <v>0</v>
      </c>
      <c r="P13" s="19">
        <v>766455</v>
      </c>
      <c r="Q13" s="19">
        <v>202</v>
      </c>
      <c r="R13" s="19">
        <v>160606</v>
      </c>
      <c r="S13" s="19">
        <v>42541</v>
      </c>
      <c r="T13" s="19">
        <v>65976</v>
      </c>
      <c r="U13" s="19">
        <v>10519</v>
      </c>
      <c r="V13" s="19">
        <v>0</v>
      </c>
      <c r="W13" s="19">
        <v>0</v>
      </c>
      <c r="X13" s="19">
        <v>40704</v>
      </c>
      <c r="Y13" s="19">
        <v>866</v>
      </c>
      <c r="Z13" s="19">
        <v>70682</v>
      </c>
      <c r="AA13" s="19">
        <v>997945</v>
      </c>
      <c r="AB13" s="21">
        <v>99.979758403519241</v>
      </c>
      <c r="AC13" s="19">
        <v>39215</v>
      </c>
      <c r="AD13" s="19">
        <v>13675</v>
      </c>
      <c r="AE13" s="19">
        <v>6114</v>
      </c>
      <c r="AF13" s="19">
        <v>0</v>
      </c>
      <c r="AG13" s="19">
        <v>0</v>
      </c>
      <c r="AH13" s="19">
        <v>23616</v>
      </c>
      <c r="AI13" s="19">
        <v>40897</v>
      </c>
      <c r="AJ13" s="19">
        <v>123517</v>
      </c>
      <c r="AK13" s="21">
        <v>20.736593693017586</v>
      </c>
      <c r="AL13" s="21">
        <v>18.016822169998786</v>
      </c>
      <c r="AM13" s="19">
        <v>202</v>
      </c>
      <c r="AN13" s="19">
        <v>57341</v>
      </c>
      <c r="AO13" s="19">
        <v>8417</v>
      </c>
      <c r="AP13" s="19">
        <v>65960</v>
      </c>
    </row>
    <row r="14" spans="1:42" ht="13.5" customHeight="1">
      <c r="A14" s="17" t="s">
        <v>74</v>
      </c>
      <c r="B14" s="18" t="s">
        <v>75</v>
      </c>
      <c r="C14" s="17" t="s">
        <v>59</v>
      </c>
      <c r="D14" s="19">
        <v>1945283</v>
      </c>
      <c r="E14" s="19">
        <v>1945283</v>
      </c>
      <c r="F14" s="19">
        <v>0</v>
      </c>
      <c r="G14" s="19">
        <v>42133</v>
      </c>
      <c r="H14" s="19">
        <v>564288</v>
      </c>
      <c r="I14" s="19">
        <v>68047</v>
      </c>
      <c r="J14" s="19">
        <v>15768</v>
      </c>
      <c r="K14" s="19">
        <v>648103</v>
      </c>
      <c r="L14" s="20">
        <v>912.78475035984297</v>
      </c>
      <c r="M14" s="19">
        <v>682.41364944477323</v>
      </c>
      <c r="N14" s="19">
        <v>230.37110091506986</v>
      </c>
      <c r="O14" s="19">
        <v>0</v>
      </c>
      <c r="P14" s="19">
        <v>525570</v>
      </c>
      <c r="Q14" s="19">
        <v>0</v>
      </c>
      <c r="R14" s="19">
        <v>82734</v>
      </c>
      <c r="S14" s="19">
        <v>24524</v>
      </c>
      <c r="T14" s="19">
        <v>52897</v>
      </c>
      <c r="U14" s="19">
        <v>5310</v>
      </c>
      <c r="V14" s="19">
        <v>0</v>
      </c>
      <c r="W14" s="19">
        <v>0</v>
      </c>
      <c r="X14" s="19">
        <v>3</v>
      </c>
      <c r="Y14" s="19">
        <v>0</v>
      </c>
      <c r="Z14" s="19">
        <v>25739</v>
      </c>
      <c r="AA14" s="19">
        <v>634043</v>
      </c>
      <c r="AB14" s="21">
        <v>100</v>
      </c>
      <c r="AC14" s="19">
        <v>12681</v>
      </c>
      <c r="AD14" s="19">
        <v>8981</v>
      </c>
      <c r="AE14" s="19">
        <v>4379</v>
      </c>
      <c r="AF14" s="19">
        <v>0</v>
      </c>
      <c r="AG14" s="19">
        <v>0</v>
      </c>
      <c r="AH14" s="19">
        <v>3</v>
      </c>
      <c r="AI14" s="19">
        <v>34751</v>
      </c>
      <c r="AJ14" s="19">
        <v>60795</v>
      </c>
      <c r="AK14" s="21">
        <v>15.743346911640463</v>
      </c>
      <c r="AL14" s="21">
        <v>15.654090189301199</v>
      </c>
      <c r="AM14" s="19">
        <v>0</v>
      </c>
      <c r="AN14" s="19">
        <v>44402</v>
      </c>
      <c r="AO14" s="19">
        <v>13193</v>
      </c>
      <c r="AP14" s="19">
        <v>57595</v>
      </c>
    </row>
    <row r="15" spans="1:42" ht="13.5" customHeight="1">
      <c r="A15" s="17" t="s">
        <v>76</v>
      </c>
      <c r="B15" s="18" t="s">
        <v>77</v>
      </c>
      <c r="C15" s="17" t="s">
        <v>59</v>
      </c>
      <c r="D15" s="19">
        <v>1947506</v>
      </c>
      <c r="E15" s="19">
        <v>1946970</v>
      </c>
      <c r="F15" s="19">
        <v>536</v>
      </c>
      <c r="G15" s="19">
        <v>61777</v>
      </c>
      <c r="H15" s="19">
        <v>588930</v>
      </c>
      <c r="I15" s="19">
        <v>77872</v>
      </c>
      <c r="J15" s="19">
        <v>21075</v>
      </c>
      <c r="K15" s="19">
        <v>687877</v>
      </c>
      <c r="L15" s="20">
        <v>967.69638735282217</v>
      </c>
      <c r="M15" s="19">
        <v>743.9961603719679</v>
      </c>
      <c r="N15" s="19">
        <v>223.70022698085415</v>
      </c>
      <c r="O15" s="19">
        <v>299</v>
      </c>
      <c r="P15" s="19">
        <v>568206</v>
      </c>
      <c r="Q15" s="19">
        <v>754</v>
      </c>
      <c r="R15" s="19">
        <v>73667</v>
      </c>
      <c r="S15" s="19">
        <v>45605</v>
      </c>
      <c r="T15" s="19">
        <v>23976</v>
      </c>
      <c r="U15" s="19">
        <v>669</v>
      </c>
      <c r="V15" s="19">
        <v>22</v>
      </c>
      <c r="W15" s="19">
        <v>0</v>
      </c>
      <c r="X15" s="19">
        <v>341</v>
      </c>
      <c r="Y15" s="19">
        <v>3054</v>
      </c>
      <c r="Z15" s="19">
        <v>24373</v>
      </c>
      <c r="AA15" s="19">
        <v>667000</v>
      </c>
      <c r="AB15" s="21">
        <v>99.886956521739137</v>
      </c>
      <c r="AC15" s="19">
        <v>12982</v>
      </c>
      <c r="AD15" s="19">
        <v>18902</v>
      </c>
      <c r="AE15" s="19">
        <v>432</v>
      </c>
      <c r="AF15" s="19">
        <v>22</v>
      </c>
      <c r="AG15" s="19">
        <v>0</v>
      </c>
      <c r="AH15" s="19">
        <v>143</v>
      </c>
      <c r="AI15" s="19">
        <v>21535</v>
      </c>
      <c r="AJ15" s="19">
        <v>54016</v>
      </c>
      <c r="AK15" s="21">
        <v>14.455400937397814</v>
      </c>
      <c r="AL15" s="21">
        <v>13.575554990371689</v>
      </c>
      <c r="AM15" s="19">
        <v>754</v>
      </c>
      <c r="AN15" s="19">
        <v>55753</v>
      </c>
      <c r="AO15" s="19">
        <v>10789</v>
      </c>
      <c r="AP15" s="19">
        <v>67296</v>
      </c>
    </row>
    <row r="16" spans="1:42" ht="13.5" customHeight="1">
      <c r="A16" s="17" t="s">
        <v>78</v>
      </c>
      <c r="B16" s="18" t="s">
        <v>79</v>
      </c>
      <c r="C16" s="17" t="s">
        <v>59</v>
      </c>
      <c r="D16" s="19">
        <v>7389925</v>
      </c>
      <c r="E16" s="19">
        <v>7389925</v>
      </c>
      <c r="F16" s="19">
        <v>0</v>
      </c>
      <c r="G16" s="19">
        <v>196820</v>
      </c>
      <c r="H16" s="19">
        <v>2047904</v>
      </c>
      <c r="I16" s="19">
        <v>142649</v>
      </c>
      <c r="J16" s="19">
        <v>78976</v>
      </c>
      <c r="K16" s="19">
        <v>2269529</v>
      </c>
      <c r="L16" s="20">
        <v>841.40064631682696</v>
      </c>
      <c r="M16" s="19">
        <v>658.98383216208697</v>
      </c>
      <c r="N16" s="19">
        <v>182.41681415473982</v>
      </c>
      <c r="O16" s="19">
        <v>0</v>
      </c>
      <c r="P16" s="19">
        <v>1758814</v>
      </c>
      <c r="Q16" s="19">
        <v>1304</v>
      </c>
      <c r="R16" s="19">
        <v>283528</v>
      </c>
      <c r="S16" s="19">
        <v>94419</v>
      </c>
      <c r="T16" s="19">
        <v>184011</v>
      </c>
      <c r="U16" s="19">
        <v>1174</v>
      </c>
      <c r="V16" s="19">
        <v>0</v>
      </c>
      <c r="W16" s="19">
        <v>1049</v>
      </c>
      <c r="X16" s="19">
        <v>312</v>
      </c>
      <c r="Y16" s="19">
        <v>2563</v>
      </c>
      <c r="Z16" s="19">
        <v>145562</v>
      </c>
      <c r="AA16" s="19">
        <v>2189208</v>
      </c>
      <c r="AB16" s="21">
        <v>99.940435079718327</v>
      </c>
      <c r="AC16" s="19">
        <v>149494</v>
      </c>
      <c r="AD16" s="19">
        <v>25119</v>
      </c>
      <c r="AE16" s="19">
        <v>547</v>
      </c>
      <c r="AF16" s="19">
        <v>0</v>
      </c>
      <c r="AG16" s="19">
        <v>1049</v>
      </c>
      <c r="AH16" s="19">
        <v>312</v>
      </c>
      <c r="AI16" s="19">
        <v>147162</v>
      </c>
      <c r="AJ16" s="19">
        <v>323683</v>
      </c>
      <c r="AK16" s="21">
        <v>24.170040878517792</v>
      </c>
      <c r="AL16" s="21">
        <v>20.791170381238913</v>
      </c>
      <c r="AM16" s="19">
        <v>1304</v>
      </c>
      <c r="AN16" s="19">
        <v>66779</v>
      </c>
      <c r="AO16" s="19">
        <v>17691</v>
      </c>
      <c r="AP16" s="19">
        <v>85774</v>
      </c>
    </row>
    <row r="17" spans="1:42" ht="13.5" customHeight="1">
      <c r="A17" s="17" t="s">
        <v>80</v>
      </c>
      <c r="B17" s="18" t="s">
        <v>81</v>
      </c>
      <c r="C17" s="17" t="s">
        <v>59</v>
      </c>
      <c r="D17" s="19">
        <v>6315205</v>
      </c>
      <c r="E17" s="19">
        <v>6315205</v>
      </c>
      <c r="F17" s="19">
        <v>0</v>
      </c>
      <c r="G17" s="19">
        <v>163751</v>
      </c>
      <c r="H17" s="19">
        <v>1814120</v>
      </c>
      <c r="I17" s="19">
        <v>133412</v>
      </c>
      <c r="J17" s="19">
        <v>80405</v>
      </c>
      <c r="K17" s="19">
        <v>2027937</v>
      </c>
      <c r="L17" s="20">
        <v>879.78011494827444</v>
      </c>
      <c r="M17" s="19">
        <v>643.43685065462739</v>
      </c>
      <c r="N17" s="19">
        <v>236.34326429364711</v>
      </c>
      <c r="O17" s="19">
        <v>118</v>
      </c>
      <c r="P17" s="19">
        <v>1544247</v>
      </c>
      <c r="Q17" s="19">
        <v>2169</v>
      </c>
      <c r="R17" s="19">
        <v>271372</v>
      </c>
      <c r="S17" s="19">
        <v>113486</v>
      </c>
      <c r="T17" s="19">
        <v>147642</v>
      </c>
      <c r="U17" s="19">
        <v>3479</v>
      </c>
      <c r="V17" s="19">
        <v>877</v>
      </c>
      <c r="W17" s="19">
        <v>248</v>
      </c>
      <c r="X17" s="19">
        <v>229</v>
      </c>
      <c r="Y17" s="19">
        <v>5411</v>
      </c>
      <c r="Z17" s="19">
        <v>132932</v>
      </c>
      <c r="AA17" s="19">
        <v>1950720</v>
      </c>
      <c r="AB17" s="21">
        <v>99.888810285433067</v>
      </c>
      <c r="AC17" s="19">
        <v>83506</v>
      </c>
      <c r="AD17" s="19">
        <v>41434</v>
      </c>
      <c r="AE17" s="19">
        <v>3479</v>
      </c>
      <c r="AF17" s="19">
        <v>877</v>
      </c>
      <c r="AG17" s="19">
        <v>248</v>
      </c>
      <c r="AH17" s="19">
        <v>229</v>
      </c>
      <c r="AI17" s="19">
        <v>118682</v>
      </c>
      <c r="AJ17" s="19">
        <v>248455</v>
      </c>
      <c r="AK17" s="21">
        <v>22.735774509200564</v>
      </c>
      <c r="AL17" s="21">
        <v>22.191544095021232</v>
      </c>
      <c r="AM17" s="19">
        <v>2169</v>
      </c>
      <c r="AN17" s="19">
        <v>107445</v>
      </c>
      <c r="AO17" s="19">
        <v>11996</v>
      </c>
      <c r="AP17" s="19">
        <v>121610</v>
      </c>
    </row>
    <row r="18" spans="1:42" ht="13.5" customHeight="1">
      <c r="A18" s="17" t="s">
        <v>82</v>
      </c>
      <c r="B18" s="18" t="s">
        <v>83</v>
      </c>
      <c r="C18" s="17" t="s">
        <v>59</v>
      </c>
      <c r="D18" s="19">
        <v>13818285</v>
      </c>
      <c r="E18" s="19">
        <v>13818082</v>
      </c>
      <c r="F18" s="19">
        <v>203</v>
      </c>
      <c r="G18" s="19">
        <v>522730</v>
      </c>
      <c r="H18" s="19">
        <v>3883620</v>
      </c>
      <c r="I18" s="19">
        <v>84546</v>
      </c>
      <c r="J18" s="19">
        <v>214287.69240000003</v>
      </c>
      <c r="K18" s="19">
        <v>4182453.6924000001</v>
      </c>
      <c r="L18" s="20">
        <v>829.24742393517397</v>
      </c>
      <c r="M18" s="19">
        <v>647.81975920816978</v>
      </c>
      <c r="N18" s="19">
        <v>181.42766472700424</v>
      </c>
      <c r="O18" s="19">
        <v>9</v>
      </c>
      <c r="P18" s="19">
        <v>3138630</v>
      </c>
      <c r="Q18" s="19">
        <v>2463</v>
      </c>
      <c r="R18" s="19">
        <v>393372</v>
      </c>
      <c r="S18" s="19">
        <v>188752</v>
      </c>
      <c r="T18" s="19">
        <v>196440</v>
      </c>
      <c r="U18" s="19">
        <v>3485</v>
      </c>
      <c r="V18" s="19">
        <v>0</v>
      </c>
      <c r="W18" s="19">
        <v>3654</v>
      </c>
      <c r="X18" s="19">
        <v>112</v>
      </c>
      <c r="Y18" s="19">
        <v>929</v>
      </c>
      <c r="Z18" s="19">
        <v>464202</v>
      </c>
      <c r="AA18" s="19">
        <v>3998667</v>
      </c>
      <c r="AB18" s="21">
        <v>99.938404473290717</v>
      </c>
      <c r="AC18" s="19">
        <v>157041</v>
      </c>
      <c r="AD18" s="19">
        <v>52100</v>
      </c>
      <c r="AE18" s="19">
        <v>3485</v>
      </c>
      <c r="AF18" s="19">
        <v>0</v>
      </c>
      <c r="AG18" s="19">
        <v>245</v>
      </c>
      <c r="AH18" s="19">
        <v>112</v>
      </c>
      <c r="AI18" s="19">
        <v>136181</v>
      </c>
      <c r="AJ18" s="19">
        <v>349164</v>
      </c>
      <c r="AK18" s="21">
        <v>24.392706958226864</v>
      </c>
      <c r="AL18" s="21">
        <v>20.974132335057725</v>
      </c>
      <c r="AM18" s="19">
        <v>2463</v>
      </c>
      <c r="AN18" s="19">
        <v>199489</v>
      </c>
      <c r="AO18" s="19">
        <v>22467</v>
      </c>
      <c r="AP18" s="19">
        <v>224419</v>
      </c>
    </row>
    <row r="19" spans="1:42" ht="13.5" customHeight="1">
      <c r="A19" s="17" t="s">
        <v>84</v>
      </c>
      <c r="B19" s="18" t="s">
        <v>85</v>
      </c>
      <c r="C19" s="17" t="s">
        <v>59</v>
      </c>
      <c r="D19" s="19">
        <v>9223214</v>
      </c>
      <c r="E19" s="19">
        <v>9223214</v>
      </c>
      <c r="F19" s="19">
        <v>0</v>
      </c>
      <c r="G19" s="19">
        <v>200546</v>
      </c>
      <c r="H19" s="19">
        <v>2403878</v>
      </c>
      <c r="I19" s="19">
        <v>124158</v>
      </c>
      <c r="J19" s="19">
        <v>229753</v>
      </c>
      <c r="K19" s="19">
        <v>2757789</v>
      </c>
      <c r="L19" s="20">
        <v>819.19234459591451</v>
      </c>
      <c r="M19" s="19">
        <v>632.42923095856838</v>
      </c>
      <c r="N19" s="19">
        <v>186.76311363734615</v>
      </c>
      <c r="O19" s="19">
        <v>0</v>
      </c>
      <c r="P19" s="19">
        <v>2024008</v>
      </c>
      <c r="Q19" s="19">
        <v>3276</v>
      </c>
      <c r="R19" s="19">
        <v>403257</v>
      </c>
      <c r="S19" s="19">
        <v>90179</v>
      </c>
      <c r="T19" s="19">
        <v>289142</v>
      </c>
      <c r="U19" s="19">
        <v>7666</v>
      </c>
      <c r="V19" s="19">
        <v>0</v>
      </c>
      <c r="W19" s="19">
        <v>1798</v>
      </c>
      <c r="X19" s="19">
        <v>14465</v>
      </c>
      <c r="Y19" s="19">
        <v>7</v>
      </c>
      <c r="Z19" s="19">
        <v>97494</v>
      </c>
      <c r="AA19" s="19">
        <v>2528035</v>
      </c>
      <c r="AB19" s="21">
        <v>99.870413186526292</v>
      </c>
      <c r="AC19" s="19">
        <v>44789</v>
      </c>
      <c r="AD19" s="19">
        <v>17228</v>
      </c>
      <c r="AE19" s="19">
        <v>7567</v>
      </c>
      <c r="AF19" s="19">
        <v>0</v>
      </c>
      <c r="AG19" s="19">
        <v>1048</v>
      </c>
      <c r="AH19" s="19">
        <v>14041</v>
      </c>
      <c r="AI19" s="19">
        <v>268282</v>
      </c>
      <c r="AJ19" s="19">
        <v>352955</v>
      </c>
      <c r="AK19" s="21">
        <v>24.664767560088013</v>
      </c>
      <c r="AL19" s="21">
        <v>24.461742526981769</v>
      </c>
      <c r="AM19" s="19">
        <v>3276</v>
      </c>
      <c r="AN19" s="19">
        <v>215591</v>
      </c>
      <c r="AO19" s="19">
        <v>3937</v>
      </c>
      <c r="AP19" s="19">
        <v>222804</v>
      </c>
    </row>
    <row r="20" spans="1:42" ht="13.5" customHeight="1">
      <c r="A20" s="17" t="s">
        <v>86</v>
      </c>
      <c r="B20" s="18" t="s">
        <v>87</v>
      </c>
      <c r="C20" s="17" t="s">
        <v>59</v>
      </c>
      <c r="D20" s="19">
        <v>2191661</v>
      </c>
      <c r="E20" s="19">
        <v>2191661</v>
      </c>
      <c r="F20" s="19">
        <v>0</v>
      </c>
      <c r="G20" s="19">
        <v>16588</v>
      </c>
      <c r="H20" s="19">
        <v>688173</v>
      </c>
      <c r="I20" s="19">
        <v>85495</v>
      </c>
      <c r="J20" s="19">
        <v>24686</v>
      </c>
      <c r="K20" s="19">
        <v>798354</v>
      </c>
      <c r="L20" s="20">
        <v>997.99705925173294</v>
      </c>
      <c r="M20" s="19">
        <v>693.4166582219342</v>
      </c>
      <c r="N20" s="19">
        <v>304.58040102979879</v>
      </c>
      <c r="O20" s="19">
        <v>0</v>
      </c>
      <c r="P20" s="19">
        <v>588673</v>
      </c>
      <c r="Q20" s="19">
        <v>5933</v>
      </c>
      <c r="R20" s="19">
        <v>116489</v>
      </c>
      <c r="S20" s="19">
        <v>26634</v>
      </c>
      <c r="T20" s="19">
        <v>67170</v>
      </c>
      <c r="U20" s="19">
        <v>5904</v>
      </c>
      <c r="V20" s="19">
        <v>0</v>
      </c>
      <c r="W20" s="19">
        <v>16667</v>
      </c>
      <c r="X20" s="19">
        <v>2</v>
      </c>
      <c r="Y20" s="19">
        <v>112</v>
      </c>
      <c r="Z20" s="19">
        <v>61221</v>
      </c>
      <c r="AA20" s="19">
        <v>772316</v>
      </c>
      <c r="AB20" s="21">
        <v>99.23179113212727</v>
      </c>
      <c r="AC20" s="19">
        <v>12575</v>
      </c>
      <c r="AD20" s="19">
        <v>6882</v>
      </c>
      <c r="AE20" s="19">
        <v>5902</v>
      </c>
      <c r="AF20" s="19">
        <v>0</v>
      </c>
      <c r="AG20" s="19">
        <v>1429</v>
      </c>
      <c r="AH20" s="19">
        <v>2</v>
      </c>
      <c r="AI20" s="19">
        <v>50496</v>
      </c>
      <c r="AJ20" s="19">
        <v>77286</v>
      </c>
      <c r="AK20" s="21">
        <v>20.475858278900176</v>
      </c>
      <c r="AL20" s="21">
        <v>19.697441160749911</v>
      </c>
      <c r="AM20" s="19">
        <v>5933</v>
      </c>
      <c r="AN20" s="19">
        <v>55131</v>
      </c>
      <c r="AO20" s="19">
        <v>11720</v>
      </c>
      <c r="AP20" s="19">
        <v>72784</v>
      </c>
    </row>
    <row r="21" spans="1:42" ht="13.5" customHeight="1">
      <c r="A21" s="17" t="s">
        <v>88</v>
      </c>
      <c r="B21" s="18" t="s">
        <v>89</v>
      </c>
      <c r="C21" s="17" t="s">
        <v>59</v>
      </c>
      <c r="D21" s="19">
        <v>1038997</v>
      </c>
      <c r="E21" s="19">
        <v>1038997</v>
      </c>
      <c r="F21" s="19">
        <v>0</v>
      </c>
      <c r="G21" s="19">
        <v>18178</v>
      </c>
      <c r="H21" s="19">
        <v>306479</v>
      </c>
      <c r="I21" s="19">
        <v>66486</v>
      </c>
      <c r="J21" s="19">
        <v>18581</v>
      </c>
      <c r="K21" s="19">
        <v>391546</v>
      </c>
      <c r="L21" s="20">
        <v>1032.4657021370492</v>
      </c>
      <c r="M21" s="19">
        <v>683.79434586683385</v>
      </c>
      <c r="N21" s="19">
        <v>348.67135627021531</v>
      </c>
      <c r="O21" s="19">
        <v>0</v>
      </c>
      <c r="P21" s="19">
        <v>288803</v>
      </c>
      <c r="Q21" s="19">
        <v>2987</v>
      </c>
      <c r="R21" s="19">
        <v>71524</v>
      </c>
      <c r="S21" s="19">
        <v>17095</v>
      </c>
      <c r="T21" s="19">
        <v>13237</v>
      </c>
      <c r="U21" s="19">
        <v>9425</v>
      </c>
      <c r="V21" s="19">
        <v>2925</v>
      </c>
      <c r="W21" s="19">
        <v>3708</v>
      </c>
      <c r="X21" s="19">
        <v>25129</v>
      </c>
      <c r="Y21" s="19">
        <v>5</v>
      </c>
      <c r="Z21" s="19">
        <v>11840</v>
      </c>
      <c r="AA21" s="19">
        <v>375154</v>
      </c>
      <c r="AB21" s="21">
        <v>99.203793642077656</v>
      </c>
      <c r="AC21" s="19">
        <v>626</v>
      </c>
      <c r="AD21" s="19">
        <v>3692</v>
      </c>
      <c r="AE21" s="19">
        <v>9425</v>
      </c>
      <c r="AF21" s="19">
        <v>2925</v>
      </c>
      <c r="AG21" s="19">
        <v>3708</v>
      </c>
      <c r="AH21" s="19">
        <v>24909</v>
      </c>
      <c r="AI21" s="19">
        <v>11907.79</v>
      </c>
      <c r="AJ21" s="19">
        <v>57192.79</v>
      </c>
      <c r="AK21" s="21">
        <v>22.251968963897038</v>
      </c>
      <c r="AL21" s="21">
        <v>21.465145338870055</v>
      </c>
      <c r="AM21" s="19">
        <v>2987</v>
      </c>
      <c r="AN21" s="19">
        <v>29804</v>
      </c>
      <c r="AO21" s="19">
        <v>2837</v>
      </c>
      <c r="AP21" s="19">
        <v>35628</v>
      </c>
    </row>
    <row r="22" spans="1:42" ht="13.5" customHeight="1">
      <c r="A22" s="17" t="s">
        <v>90</v>
      </c>
      <c r="B22" s="18" t="s">
        <v>91</v>
      </c>
      <c r="C22" s="17" t="s">
        <v>59</v>
      </c>
      <c r="D22" s="19">
        <v>1126387</v>
      </c>
      <c r="E22" s="19">
        <v>1126386</v>
      </c>
      <c r="F22" s="19">
        <v>1</v>
      </c>
      <c r="G22" s="19">
        <v>14626</v>
      </c>
      <c r="H22" s="19">
        <v>317815</v>
      </c>
      <c r="I22" s="19">
        <v>48722</v>
      </c>
      <c r="J22" s="19">
        <v>5003</v>
      </c>
      <c r="K22" s="19">
        <v>371540</v>
      </c>
      <c r="L22" s="20">
        <v>903.70166578554097</v>
      </c>
      <c r="M22" s="19">
        <v>581.84338235243149</v>
      </c>
      <c r="N22" s="19">
        <v>321.85828343310948</v>
      </c>
      <c r="O22" s="19">
        <v>1</v>
      </c>
      <c r="P22" s="19">
        <v>213639</v>
      </c>
      <c r="Q22" s="19">
        <v>10422</v>
      </c>
      <c r="R22" s="19">
        <v>124817</v>
      </c>
      <c r="S22" s="19">
        <v>6188</v>
      </c>
      <c r="T22" s="19">
        <v>45176</v>
      </c>
      <c r="U22" s="19">
        <v>954</v>
      </c>
      <c r="V22" s="19">
        <v>0</v>
      </c>
      <c r="W22" s="19">
        <v>25</v>
      </c>
      <c r="X22" s="19">
        <v>68424</v>
      </c>
      <c r="Y22" s="19">
        <v>4050</v>
      </c>
      <c r="Z22" s="19">
        <v>17853</v>
      </c>
      <c r="AA22" s="19">
        <v>366731</v>
      </c>
      <c r="AB22" s="21">
        <v>97.158134981771383</v>
      </c>
      <c r="AC22" s="19">
        <v>7080</v>
      </c>
      <c r="AD22" s="19">
        <v>3043</v>
      </c>
      <c r="AE22" s="19">
        <v>875</v>
      </c>
      <c r="AF22" s="19">
        <v>0</v>
      </c>
      <c r="AG22" s="19">
        <v>25</v>
      </c>
      <c r="AH22" s="19">
        <v>1622</v>
      </c>
      <c r="AI22" s="19">
        <v>20308</v>
      </c>
      <c r="AJ22" s="19">
        <v>32953</v>
      </c>
      <c r="AK22" s="21">
        <v>15.013154567513329</v>
      </c>
      <c r="AL22" s="21">
        <v>13.816869051526091</v>
      </c>
      <c r="AM22" s="19">
        <v>10422</v>
      </c>
      <c r="AN22" s="19">
        <v>23866</v>
      </c>
      <c r="AO22" s="19">
        <v>8178</v>
      </c>
      <c r="AP22" s="19">
        <v>42466</v>
      </c>
    </row>
    <row r="23" spans="1:42" ht="13.5" customHeight="1">
      <c r="A23" s="17" t="s">
        <v>92</v>
      </c>
      <c r="B23" s="18" t="s">
        <v>93</v>
      </c>
      <c r="C23" s="17" t="s">
        <v>59</v>
      </c>
      <c r="D23" s="19">
        <v>768976</v>
      </c>
      <c r="E23" s="19">
        <v>768976</v>
      </c>
      <c r="F23" s="19">
        <v>0</v>
      </c>
      <c r="G23" s="19">
        <v>15555</v>
      </c>
      <c r="H23" s="19">
        <v>210201</v>
      </c>
      <c r="I23" s="19">
        <v>38944</v>
      </c>
      <c r="J23" s="19">
        <v>10588</v>
      </c>
      <c r="K23" s="19">
        <v>259733</v>
      </c>
      <c r="L23" s="20">
        <v>925.38292518098433</v>
      </c>
      <c r="M23" s="19">
        <v>685.87921799151934</v>
      </c>
      <c r="N23" s="19">
        <v>239.50370718946499</v>
      </c>
      <c r="O23" s="19">
        <v>0</v>
      </c>
      <c r="P23" s="19">
        <v>201394</v>
      </c>
      <c r="Q23" s="19">
        <v>931</v>
      </c>
      <c r="R23" s="19">
        <v>41446</v>
      </c>
      <c r="S23" s="19">
        <v>28031</v>
      </c>
      <c r="T23" s="19">
        <v>13277</v>
      </c>
      <c r="U23" s="19">
        <v>138</v>
      </c>
      <c r="V23" s="19">
        <v>0</v>
      </c>
      <c r="W23" s="19">
        <v>0</v>
      </c>
      <c r="X23" s="19">
        <v>0</v>
      </c>
      <c r="Y23" s="19">
        <v>0</v>
      </c>
      <c r="Z23" s="19">
        <v>5765</v>
      </c>
      <c r="AA23" s="19">
        <v>249536</v>
      </c>
      <c r="AB23" s="21">
        <v>99.626907540394967</v>
      </c>
      <c r="AC23" s="19">
        <v>2132</v>
      </c>
      <c r="AD23" s="19">
        <v>5280</v>
      </c>
      <c r="AE23" s="19">
        <v>138</v>
      </c>
      <c r="AF23" s="19">
        <v>0</v>
      </c>
      <c r="AG23" s="19">
        <v>0</v>
      </c>
      <c r="AH23" s="19">
        <v>0</v>
      </c>
      <c r="AI23" s="19">
        <v>10679</v>
      </c>
      <c r="AJ23" s="19">
        <v>18229</v>
      </c>
      <c r="AK23" s="21">
        <v>13.294428810874814</v>
      </c>
      <c r="AL23" s="21">
        <v>13.294428810874814</v>
      </c>
      <c r="AM23" s="19">
        <v>931</v>
      </c>
      <c r="AN23" s="19">
        <v>23468</v>
      </c>
      <c r="AO23" s="19">
        <v>3309</v>
      </c>
      <c r="AP23" s="19">
        <v>27708</v>
      </c>
    </row>
    <row r="24" spans="1:42" ht="13.5" customHeight="1">
      <c r="A24" s="17" t="s">
        <v>94</v>
      </c>
      <c r="B24" s="18" t="s">
        <v>95</v>
      </c>
      <c r="C24" s="17" t="s">
        <v>59</v>
      </c>
      <c r="D24" s="19">
        <v>817365</v>
      </c>
      <c r="E24" s="19">
        <v>817365</v>
      </c>
      <c r="F24" s="19">
        <v>0</v>
      </c>
      <c r="G24" s="19">
        <v>16687</v>
      </c>
      <c r="H24" s="19">
        <v>250717</v>
      </c>
      <c r="I24" s="19">
        <v>24651</v>
      </c>
      <c r="J24" s="19">
        <v>8660</v>
      </c>
      <c r="K24" s="19">
        <v>284028</v>
      </c>
      <c r="L24" s="20">
        <v>952.03355185209671</v>
      </c>
      <c r="M24" s="19">
        <v>696.04557042598219</v>
      </c>
      <c r="N24" s="19">
        <v>255.98798142611457</v>
      </c>
      <c r="O24" s="19">
        <v>0</v>
      </c>
      <c r="P24" s="19">
        <v>233658</v>
      </c>
      <c r="Q24" s="19">
        <v>0</v>
      </c>
      <c r="R24" s="19">
        <v>30434</v>
      </c>
      <c r="S24" s="19">
        <v>18868</v>
      </c>
      <c r="T24" s="19">
        <v>11344</v>
      </c>
      <c r="U24" s="19">
        <v>195</v>
      </c>
      <c r="V24" s="19">
        <v>0</v>
      </c>
      <c r="W24" s="19">
        <v>0</v>
      </c>
      <c r="X24" s="19">
        <v>0</v>
      </c>
      <c r="Y24" s="19">
        <v>27</v>
      </c>
      <c r="Z24" s="19">
        <v>10833</v>
      </c>
      <c r="AA24" s="19">
        <v>274925</v>
      </c>
      <c r="AB24" s="21">
        <v>100</v>
      </c>
      <c r="AC24" s="19">
        <v>10357</v>
      </c>
      <c r="AD24" s="19">
        <v>7066</v>
      </c>
      <c r="AE24" s="19">
        <v>195</v>
      </c>
      <c r="AF24" s="19">
        <v>0</v>
      </c>
      <c r="AG24" s="19">
        <v>0</v>
      </c>
      <c r="AH24" s="19">
        <v>0</v>
      </c>
      <c r="AI24" s="19">
        <v>9989</v>
      </c>
      <c r="AJ24" s="19">
        <v>27607</v>
      </c>
      <c r="AK24" s="21">
        <v>16.60877690992119</v>
      </c>
      <c r="AL24" s="21">
        <v>16.607719026041575</v>
      </c>
      <c r="AM24" s="19">
        <v>0</v>
      </c>
      <c r="AN24" s="19">
        <v>15820</v>
      </c>
      <c r="AO24" s="19">
        <v>3487</v>
      </c>
      <c r="AP24" s="19">
        <v>19307</v>
      </c>
    </row>
    <row r="25" spans="1:42" ht="13.5" customHeight="1">
      <c r="A25" s="17" t="s">
        <v>96</v>
      </c>
      <c r="B25" s="18" t="s">
        <v>97</v>
      </c>
      <c r="C25" s="17" t="s">
        <v>59</v>
      </c>
      <c r="D25" s="19">
        <v>2056667</v>
      </c>
      <c r="E25" s="19">
        <v>2056619</v>
      </c>
      <c r="F25" s="19">
        <v>48</v>
      </c>
      <c r="G25" s="19">
        <v>35955</v>
      </c>
      <c r="H25" s="19">
        <v>535802</v>
      </c>
      <c r="I25" s="19">
        <v>51867</v>
      </c>
      <c r="J25" s="19">
        <v>12638</v>
      </c>
      <c r="K25" s="19">
        <v>600307</v>
      </c>
      <c r="L25" s="20">
        <v>799.68060572215495</v>
      </c>
      <c r="M25" s="19">
        <v>549.7963186094197</v>
      </c>
      <c r="N25" s="19">
        <v>249.88428711273514</v>
      </c>
      <c r="O25" s="19">
        <v>1517</v>
      </c>
      <c r="P25" s="19">
        <v>470929</v>
      </c>
      <c r="Q25" s="19">
        <v>4834</v>
      </c>
      <c r="R25" s="19">
        <v>62756</v>
      </c>
      <c r="S25" s="19">
        <v>14931</v>
      </c>
      <c r="T25" s="19">
        <v>40507</v>
      </c>
      <c r="U25" s="19">
        <v>5739</v>
      </c>
      <c r="V25" s="19">
        <v>0</v>
      </c>
      <c r="W25" s="19">
        <v>0</v>
      </c>
      <c r="X25" s="19">
        <v>3</v>
      </c>
      <c r="Y25" s="19">
        <v>1576</v>
      </c>
      <c r="Z25" s="19">
        <v>48966</v>
      </c>
      <c r="AA25" s="19">
        <v>587485</v>
      </c>
      <c r="AB25" s="21">
        <v>99.177170480948448</v>
      </c>
      <c r="AC25" s="19">
        <v>30489</v>
      </c>
      <c r="AD25" s="19">
        <v>3907</v>
      </c>
      <c r="AE25" s="19">
        <v>4676</v>
      </c>
      <c r="AF25" s="19">
        <v>0</v>
      </c>
      <c r="AG25" s="19">
        <v>0</v>
      </c>
      <c r="AH25" s="19">
        <v>3</v>
      </c>
      <c r="AI25" s="19">
        <v>34977</v>
      </c>
      <c r="AJ25" s="19">
        <v>74052</v>
      </c>
      <c r="AK25" s="21">
        <v>22.604699369962493</v>
      </c>
      <c r="AL25" s="21">
        <v>20.969201313730686</v>
      </c>
      <c r="AM25" s="19">
        <v>4834</v>
      </c>
      <c r="AN25" s="19">
        <v>21242</v>
      </c>
      <c r="AO25" s="19">
        <v>3478</v>
      </c>
      <c r="AP25" s="19">
        <v>29554</v>
      </c>
    </row>
    <row r="26" spans="1:42" ht="13.5" customHeight="1">
      <c r="A26" s="17" t="s">
        <v>98</v>
      </c>
      <c r="B26" s="18" t="s">
        <v>99</v>
      </c>
      <c r="C26" s="17" t="s">
        <v>59</v>
      </c>
      <c r="D26" s="19">
        <v>1961625</v>
      </c>
      <c r="E26" s="19">
        <v>1961625</v>
      </c>
      <c r="F26" s="19">
        <v>0</v>
      </c>
      <c r="G26" s="19">
        <v>56387</v>
      </c>
      <c r="H26" s="19">
        <v>535329</v>
      </c>
      <c r="I26" s="19">
        <v>72733</v>
      </c>
      <c r="J26" s="19">
        <v>17524</v>
      </c>
      <c r="K26" s="19">
        <v>625586</v>
      </c>
      <c r="L26" s="20">
        <v>873.731853221356</v>
      </c>
      <c r="M26" s="19">
        <v>617.65676870151515</v>
      </c>
      <c r="N26" s="19">
        <v>256.07508451984086</v>
      </c>
      <c r="O26" s="19">
        <v>1024</v>
      </c>
      <c r="P26" s="19">
        <v>502960</v>
      </c>
      <c r="Q26" s="19">
        <v>9502</v>
      </c>
      <c r="R26" s="19">
        <v>82888</v>
      </c>
      <c r="S26" s="19">
        <v>29231</v>
      </c>
      <c r="T26" s="19">
        <v>34723</v>
      </c>
      <c r="U26" s="19">
        <v>642</v>
      </c>
      <c r="V26" s="19">
        <v>0</v>
      </c>
      <c r="W26" s="19">
        <v>0</v>
      </c>
      <c r="X26" s="19">
        <v>17737</v>
      </c>
      <c r="Y26" s="19">
        <v>555</v>
      </c>
      <c r="Z26" s="19">
        <v>16262</v>
      </c>
      <c r="AA26" s="19">
        <v>611612</v>
      </c>
      <c r="AB26" s="21">
        <v>98.44640065924149</v>
      </c>
      <c r="AC26" s="19">
        <v>26609</v>
      </c>
      <c r="AD26" s="19">
        <v>4865</v>
      </c>
      <c r="AE26" s="19">
        <v>577</v>
      </c>
      <c r="AF26" s="19">
        <v>0</v>
      </c>
      <c r="AG26" s="19">
        <v>0</v>
      </c>
      <c r="AH26" s="19">
        <v>12536</v>
      </c>
      <c r="AI26" s="19">
        <v>24110</v>
      </c>
      <c r="AJ26" s="19">
        <v>68697</v>
      </c>
      <c r="AK26" s="21">
        <v>16.289482719157704</v>
      </c>
      <c r="AL26" s="21">
        <v>13.649989827318734</v>
      </c>
      <c r="AM26" s="19">
        <v>9502</v>
      </c>
      <c r="AN26" s="19">
        <v>33525</v>
      </c>
      <c r="AO26" s="19">
        <v>2970</v>
      </c>
      <c r="AP26" s="19">
        <v>45997</v>
      </c>
    </row>
    <row r="27" spans="1:42" ht="13.5" customHeight="1">
      <c r="A27" s="17" t="s">
        <v>100</v>
      </c>
      <c r="B27" s="18" t="s">
        <v>101</v>
      </c>
      <c r="C27" s="17" t="s">
        <v>59</v>
      </c>
      <c r="D27" s="19">
        <v>3663938</v>
      </c>
      <c r="E27" s="19">
        <v>3663938</v>
      </c>
      <c r="F27" s="19">
        <v>0</v>
      </c>
      <c r="G27" s="19">
        <v>96178</v>
      </c>
      <c r="H27" s="19">
        <v>978365</v>
      </c>
      <c r="I27" s="19">
        <v>113767</v>
      </c>
      <c r="J27" s="19">
        <v>34988</v>
      </c>
      <c r="K27" s="19">
        <v>1127120</v>
      </c>
      <c r="L27" s="20">
        <v>842.80902133169286</v>
      </c>
      <c r="M27" s="19">
        <v>611.75887128615875</v>
      </c>
      <c r="N27" s="19">
        <v>231.05015004553414</v>
      </c>
      <c r="O27" s="19">
        <v>0</v>
      </c>
      <c r="P27" s="19">
        <v>940248</v>
      </c>
      <c r="Q27" s="19">
        <v>5718</v>
      </c>
      <c r="R27" s="19">
        <v>109299</v>
      </c>
      <c r="S27" s="19">
        <v>41093</v>
      </c>
      <c r="T27" s="19">
        <v>63515</v>
      </c>
      <c r="U27" s="19">
        <v>2052</v>
      </c>
      <c r="V27" s="19">
        <v>0</v>
      </c>
      <c r="W27" s="19">
        <v>0</v>
      </c>
      <c r="X27" s="19">
        <v>572</v>
      </c>
      <c r="Y27" s="19">
        <v>2067</v>
      </c>
      <c r="Z27" s="19">
        <v>38804</v>
      </c>
      <c r="AA27" s="19">
        <v>1094069</v>
      </c>
      <c r="AB27" s="21">
        <v>99.477363859135025</v>
      </c>
      <c r="AC27" s="19">
        <v>62939</v>
      </c>
      <c r="AD27" s="19">
        <v>13656</v>
      </c>
      <c r="AE27" s="19">
        <v>1925</v>
      </c>
      <c r="AF27" s="19">
        <v>0</v>
      </c>
      <c r="AG27" s="19">
        <v>0</v>
      </c>
      <c r="AH27" s="19">
        <v>572</v>
      </c>
      <c r="AI27" s="19">
        <v>57956</v>
      </c>
      <c r="AJ27" s="19">
        <v>137048</v>
      </c>
      <c r="AK27" s="21">
        <v>18.673990772830777</v>
      </c>
      <c r="AL27" s="21">
        <v>18.06206418276491</v>
      </c>
      <c r="AM27" s="19">
        <v>5718</v>
      </c>
      <c r="AN27" s="19">
        <v>34810</v>
      </c>
      <c r="AO27" s="19">
        <v>7942</v>
      </c>
      <c r="AP27" s="19">
        <v>48470</v>
      </c>
    </row>
    <row r="28" spans="1:42" ht="13.5" customHeight="1">
      <c r="A28" s="17" t="s">
        <v>102</v>
      </c>
      <c r="B28" s="18" t="s">
        <v>103</v>
      </c>
      <c r="C28" s="17" t="s">
        <v>59</v>
      </c>
      <c r="D28" s="19">
        <v>7535157</v>
      </c>
      <c r="E28" s="19">
        <v>7535157</v>
      </c>
      <c r="F28" s="19">
        <v>0</v>
      </c>
      <c r="G28" s="19">
        <v>260965</v>
      </c>
      <c r="H28" s="19">
        <v>2053383</v>
      </c>
      <c r="I28" s="19">
        <v>260026</v>
      </c>
      <c r="J28" s="19">
        <v>98886</v>
      </c>
      <c r="K28" s="19">
        <v>2412295</v>
      </c>
      <c r="L28" s="20">
        <v>877.09219559197959</v>
      </c>
      <c r="M28" s="19">
        <v>641.63555683501306</v>
      </c>
      <c r="N28" s="19">
        <v>235.45663875696647</v>
      </c>
      <c r="O28" s="19">
        <v>0</v>
      </c>
      <c r="P28" s="19">
        <v>1824708</v>
      </c>
      <c r="Q28" s="19">
        <v>15965</v>
      </c>
      <c r="R28" s="19">
        <v>379521</v>
      </c>
      <c r="S28" s="19">
        <v>116551</v>
      </c>
      <c r="T28" s="19">
        <v>190021</v>
      </c>
      <c r="U28" s="19">
        <v>34960</v>
      </c>
      <c r="V28" s="19">
        <v>5158</v>
      </c>
      <c r="W28" s="19">
        <v>22159</v>
      </c>
      <c r="X28" s="19">
        <v>6844</v>
      </c>
      <c r="Y28" s="19">
        <v>3828</v>
      </c>
      <c r="Z28" s="19">
        <v>97165</v>
      </c>
      <c r="AA28" s="19">
        <v>2317359</v>
      </c>
      <c r="AB28" s="21">
        <v>99.311069195579975</v>
      </c>
      <c r="AC28" s="19">
        <v>115705</v>
      </c>
      <c r="AD28" s="19">
        <v>17103</v>
      </c>
      <c r="AE28" s="19">
        <v>18271</v>
      </c>
      <c r="AF28" s="19">
        <v>1311</v>
      </c>
      <c r="AG28" s="19">
        <v>15507</v>
      </c>
      <c r="AH28" s="19">
        <v>5385</v>
      </c>
      <c r="AI28" s="19">
        <v>169389</v>
      </c>
      <c r="AJ28" s="19">
        <v>342671</v>
      </c>
      <c r="AK28" s="21">
        <v>22.295835066394343</v>
      </c>
      <c r="AL28" s="21">
        <v>21.3612030237</v>
      </c>
      <c r="AM28" s="19">
        <v>15965</v>
      </c>
      <c r="AN28" s="19">
        <v>133803</v>
      </c>
      <c r="AO28" s="19">
        <v>9791</v>
      </c>
      <c r="AP28" s="19">
        <v>159559</v>
      </c>
    </row>
    <row r="29" spans="1:42" ht="13.5" customHeight="1">
      <c r="A29" s="17" t="s">
        <v>104</v>
      </c>
      <c r="B29" s="18" t="s">
        <v>105</v>
      </c>
      <c r="C29" s="17" t="s">
        <v>59</v>
      </c>
      <c r="D29" s="19">
        <v>1785633</v>
      </c>
      <c r="E29" s="19">
        <v>1785633</v>
      </c>
      <c r="F29" s="19">
        <v>0</v>
      </c>
      <c r="G29" s="19">
        <v>53752</v>
      </c>
      <c r="H29" s="19">
        <v>538541</v>
      </c>
      <c r="I29" s="19">
        <v>62902</v>
      </c>
      <c r="J29" s="19">
        <v>9947</v>
      </c>
      <c r="K29" s="19">
        <v>611390</v>
      </c>
      <c r="L29" s="20">
        <v>938.065714449952</v>
      </c>
      <c r="M29" s="19">
        <v>690.6848098355573</v>
      </c>
      <c r="N29" s="19">
        <v>247.38090461439447</v>
      </c>
      <c r="O29" s="19">
        <v>349</v>
      </c>
      <c r="P29" s="19">
        <v>502176</v>
      </c>
      <c r="Q29" s="19">
        <v>6124</v>
      </c>
      <c r="R29" s="19">
        <v>66507</v>
      </c>
      <c r="S29" s="19">
        <v>26753</v>
      </c>
      <c r="T29" s="19">
        <v>31495</v>
      </c>
      <c r="U29" s="19">
        <v>505</v>
      </c>
      <c r="V29" s="19">
        <v>0</v>
      </c>
      <c r="W29" s="19">
        <v>0</v>
      </c>
      <c r="X29" s="19">
        <v>5755</v>
      </c>
      <c r="Y29" s="19">
        <v>1999</v>
      </c>
      <c r="Z29" s="19">
        <v>26608</v>
      </c>
      <c r="AA29" s="19">
        <v>601415</v>
      </c>
      <c r="AB29" s="21">
        <v>98.981734742232902</v>
      </c>
      <c r="AC29" s="19">
        <v>51093</v>
      </c>
      <c r="AD29" s="19">
        <v>6237</v>
      </c>
      <c r="AE29" s="19">
        <v>505</v>
      </c>
      <c r="AF29" s="19">
        <v>0</v>
      </c>
      <c r="AG29" s="19">
        <v>0</v>
      </c>
      <c r="AH29" s="19">
        <v>3410</v>
      </c>
      <c r="AI29" s="19">
        <v>24444</v>
      </c>
      <c r="AJ29" s="19">
        <v>85689</v>
      </c>
      <c r="AK29" s="21">
        <v>19.995354634406457</v>
      </c>
      <c r="AL29" s="21">
        <v>16.147879652317286</v>
      </c>
      <c r="AM29" s="19">
        <v>6124</v>
      </c>
      <c r="AN29" s="19">
        <v>8274</v>
      </c>
      <c r="AO29" s="19">
        <v>6203</v>
      </c>
      <c r="AP29" s="19">
        <v>20601</v>
      </c>
    </row>
    <row r="30" spans="1:42" ht="13.5" customHeight="1">
      <c r="A30" s="17" t="s">
        <v>106</v>
      </c>
      <c r="B30" s="18" t="s">
        <v>107</v>
      </c>
      <c r="C30" s="17" t="s">
        <v>59</v>
      </c>
      <c r="D30" s="19">
        <v>1415655</v>
      </c>
      <c r="E30" s="19">
        <v>1415655</v>
      </c>
      <c r="F30" s="19">
        <v>0</v>
      </c>
      <c r="G30" s="19">
        <v>30191</v>
      </c>
      <c r="H30" s="19">
        <v>370451</v>
      </c>
      <c r="I30" s="19">
        <v>35112</v>
      </c>
      <c r="J30" s="19">
        <v>12467</v>
      </c>
      <c r="K30" s="19">
        <v>418030</v>
      </c>
      <c r="L30" s="20">
        <v>809.01608883017173</v>
      </c>
      <c r="M30" s="19">
        <v>605.49927926774592</v>
      </c>
      <c r="N30" s="19">
        <v>203.51680956242578</v>
      </c>
      <c r="O30" s="19">
        <v>0</v>
      </c>
      <c r="P30" s="19">
        <v>321988</v>
      </c>
      <c r="Q30" s="19">
        <v>3934</v>
      </c>
      <c r="R30" s="19">
        <v>56550</v>
      </c>
      <c r="S30" s="19">
        <v>27829</v>
      </c>
      <c r="T30" s="19">
        <v>18002</v>
      </c>
      <c r="U30" s="19">
        <v>1323</v>
      </c>
      <c r="V30" s="19">
        <v>0</v>
      </c>
      <c r="W30" s="19">
        <v>0</v>
      </c>
      <c r="X30" s="19">
        <v>9085</v>
      </c>
      <c r="Y30" s="19">
        <v>311</v>
      </c>
      <c r="Z30" s="19">
        <v>25006</v>
      </c>
      <c r="AA30" s="19">
        <v>407478</v>
      </c>
      <c r="AB30" s="21">
        <v>99.034549104491532</v>
      </c>
      <c r="AC30" s="19">
        <v>5725</v>
      </c>
      <c r="AD30" s="19">
        <v>5495</v>
      </c>
      <c r="AE30" s="19">
        <v>1142</v>
      </c>
      <c r="AF30" s="19">
        <v>0</v>
      </c>
      <c r="AG30" s="19">
        <v>0</v>
      </c>
      <c r="AH30" s="19">
        <v>6866</v>
      </c>
      <c r="AI30" s="19">
        <v>15231</v>
      </c>
      <c r="AJ30" s="19">
        <v>34459</v>
      </c>
      <c r="AK30" s="21">
        <v>17.128909738180003</v>
      </c>
      <c r="AL30" s="21">
        <v>14.854088035337961</v>
      </c>
      <c r="AM30" s="19">
        <v>3934</v>
      </c>
      <c r="AN30" s="19">
        <v>34357</v>
      </c>
      <c r="AO30" s="19">
        <v>3488</v>
      </c>
      <c r="AP30" s="19">
        <v>41779</v>
      </c>
    </row>
    <row r="31" spans="1:42" ht="13.5" customHeight="1">
      <c r="A31" s="17" t="s">
        <v>108</v>
      </c>
      <c r="B31" s="18" t="s">
        <v>109</v>
      </c>
      <c r="C31" s="17" t="s">
        <v>59</v>
      </c>
      <c r="D31" s="19">
        <v>2576036</v>
      </c>
      <c r="E31" s="19">
        <v>2576036</v>
      </c>
      <c r="F31" s="19">
        <v>0</v>
      </c>
      <c r="G31" s="19">
        <v>58074</v>
      </c>
      <c r="H31" s="19">
        <v>605394</v>
      </c>
      <c r="I31" s="19">
        <v>79381</v>
      </c>
      <c r="J31" s="19">
        <v>43635</v>
      </c>
      <c r="K31" s="19">
        <v>728410</v>
      </c>
      <c r="L31" s="20">
        <v>774.69563143389246</v>
      </c>
      <c r="M31" s="19">
        <v>509.76165844019414</v>
      </c>
      <c r="N31" s="19">
        <v>264.93397299369826</v>
      </c>
      <c r="O31" s="19">
        <v>0</v>
      </c>
      <c r="P31" s="19">
        <v>552709</v>
      </c>
      <c r="Q31" s="19">
        <v>8792</v>
      </c>
      <c r="R31" s="19">
        <v>124097</v>
      </c>
      <c r="S31" s="19">
        <v>41964</v>
      </c>
      <c r="T31" s="19">
        <v>57430</v>
      </c>
      <c r="U31" s="19">
        <v>298</v>
      </c>
      <c r="V31" s="19">
        <v>0</v>
      </c>
      <c r="W31" s="19">
        <v>15101</v>
      </c>
      <c r="X31" s="19">
        <v>7704</v>
      </c>
      <c r="Y31" s="19">
        <v>1600</v>
      </c>
      <c r="Z31" s="19">
        <v>4926</v>
      </c>
      <c r="AA31" s="19">
        <v>690524</v>
      </c>
      <c r="AB31" s="21">
        <v>98.726764022684222</v>
      </c>
      <c r="AC31" s="19">
        <v>840</v>
      </c>
      <c r="AD31" s="19">
        <v>3936</v>
      </c>
      <c r="AE31" s="19">
        <v>298</v>
      </c>
      <c r="AF31" s="19">
        <v>0</v>
      </c>
      <c r="AG31" s="19">
        <v>3892</v>
      </c>
      <c r="AH31" s="19">
        <v>4591</v>
      </c>
      <c r="AI31" s="19">
        <v>40051</v>
      </c>
      <c r="AJ31" s="19">
        <v>53608</v>
      </c>
      <c r="AK31" s="21">
        <v>13.91646768615518</v>
      </c>
      <c r="AL31" s="21">
        <v>13.37407836722018</v>
      </c>
      <c r="AM31" s="19">
        <v>8792</v>
      </c>
      <c r="AN31" s="19">
        <v>77584</v>
      </c>
      <c r="AO31" s="19">
        <v>12085</v>
      </c>
      <c r="AP31" s="19">
        <v>98461</v>
      </c>
    </row>
    <row r="32" spans="1:42" ht="13.5" customHeight="1">
      <c r="A32" s="17" t="s">
        <v>110</v>
      </c>
      <c r="B32" s="18" t="s">
        <v>111</v>
      </c>
      <c r="C32" s="17" t="s">
        <v>59</v>
      </c>
      <c r="D32" s="19">
        <v>8806260</v>
      </c>
      <c r="E32" s="19">
        <v>8806260</v>
      </c>
      <c r="F32" s="19">
        <v>0</v>
      </c>
      <c r="G32" s="19">
        <v>244713</v>
      </c>
      <c r="H32" s="19">
        <v>2615248</v>
      </c>
      <c r="I32" s="19">
        <v>157290</v>
      </c>
      <c r="J32" s="19">
        <v>157132</v>
      </c>
      <c r="K32" s="19">
        <v>2929670</v>
      </c>
      <c r="L32" s="20">
        <v>911.45311979034591</v>
      </c>
      <c r="M32" s="19">
        <v>557.31680785359129</v>
      </c>
      <c r="N32" s="19">
        <v>354.13631193675462</v>
      </c>
      <c r="O32" s="19">
        <v>0</v>
      </c>
      <c r="P32" s="19">
        <v>2444662</v>
      </c>
      <c r="Q32" s="19">
        <v>1335</v>
      </c>
      <c r="R32" s="19">
        <v>275712</v>
      </c>
      <c r="S32" s="19">
        <v>121523</v>
      </c>
      <c r="T32" s="19">
        <v>154142</v>
      </c>
      <c r="U32" s="19">
        <v>47</v>
      </c>
      <c r="V32" s="19">
        <v>0</v>
      </c>
      <c r="W32" s="19">
        <v>0</v>
      </c>
      <c r="X32" s="19">
        <v>0</v>
      </c>
      <c r="Y32" s="19">
        <v>0</v>
      </c>
      <c r="Z32" s="19">
        <v>51627</v>
      </c>
      <c r="AA32" s="19">
        <v>2773336</v>
      </c>
      <c r="AB32" s="21">
        <v>99.95186302705477</v>
      </c>
      <c r="AC32" s="19">
        <v>27687</v>
      </c>
      <c r="AD32" s="19">
        <v>21642</v>
      </c>
      <c r="AE32" s="19">
        <v>46</v>
      </c>
      <c r="AF32" s="19">
        <v>0</v>
      </c>
      <c r="AG32" s="19">
        <v>0</v>
      </c>
      <c r="AH32" s="19">
        <v>0</v>
      </c>
      <c r="AI32" s="19">
        <v>130774</v>
      </c>
      <c r="AJ32" s="19">
        <v>180149</v>
      </c>
      <c r="AK32" s="21">
        <v>13.271190813207992</v>
      </c>
      <c r="AL32" s="21">
        <v>13.23157256793113</v>
      </c>
      <c r="AM32" s="19">
        <v>1335</v>
      </c>
      <c r="AN32" s="19">
        <v>331488</v>
      </c>
      <c r="AO32" s="19">
        <v>5815</v>
      </c>
      <c r="AP32" s="19">
        <v>338638</v>
      </c>
    </row>
    <row r="33" spans="1:42" ht="13.5" customHeight="1">
      <c r="A33" s="17" t="s">
        <v>112</v>
      </c>
      <c r="B33" s="18" t="s">
        <v>113</v>
      </c>
      <c r="C33" s="17" t="s">
        <v>59</v>
      </c>
      <c r="D33" s="19">
        <v>5490786</v>
      </c>
      <c r="E33" s="19">
        <v>5490786</v>
      </c>
      <c r="F33" s="19">
        <v>0</v>
      </c>
      <c r="G33" s="19">
        <v>110365</v>
      </c>
      <c r="H33" s="19">
        <v>1533871</v>
      </c>
      <c r="I33" s="19">
        <v>164064</v>
      </c>
      <c r="J33" s="19">
        <v>96054</v>
      </c>
      <c r="K33" s="19">
        <v>1793989</v>
      </c>
      <c r="L33" s="20">
        <v>895.14294604895974</v>
      </c>
      <c r="M33" s="19">
        <v>609.07316565586507</v>
      </c>
      <c r="N33" s="19">
        <v>286.06978039309479</v>
      </c>
      <c r="O33" s="19">
        <v>0</v>
      </c>
      <c r="P33" s="19">
        <v>1422841</v>
      </c>
      <c r="Q33" s="19">
        <v>16317</v>
      </c>
      <c r="R33" s="19">
        <v>204606</v>
      </c>
      <c r="S33" s="19">
        <v>95698</v>
      </c>
      <c r="T33" s="19">
        <v>85146</v>
      </c>
      <c r="U33" s="19">
        <v>13748</v>
      </c>
      <c r="V33" s="19">
        <v>0</v>
      </c>
      <c r="W33" s="19">
        <v>3958</v>
      </c>
      <c r="X33" s="19">
        <v>4454</v>
      </c>
      <c r="Y33" s="19">
        <v>1602</v>
      </c>
      <c r="Z33" s="19">
        <v>54077</v>
      </c>
      <c r="AA33" s="19">
        <v>1697841</v>
      </c>
      <c r="AB33" s="21">
        <v>99.038955944637934</v>
      </c>
      <c r="AC33" s="19">
        <v>29557</v>
      </c>
      <c r="AD33" s="19">
        <v>15709</v>
      </c>
      <c r="AE33" s="19">
        <v>13155</v>
      </c>
      <c r="AF33" s="19">
        <v>0</v>
      </c>
      <c r="AG33" s="19">
        <v>302</v>
      </c>
      <c r="AH33" s="19">
        <v>2627</v>
      </c>
      <c r="AI33" s="19">
        <v>65194</v>
      </c>
      <c r="AJ33" s="19">
        <v>126544</v>
      </c>
      <c r="AK33" s="21">
        <v>15.423143495020611</v>
      </c>
      <c r="AL33" s="21">
        <v>14.63876090852586</v>
      </c>
      <c r="AM33" s="19">
        <v>16317</v>
      </c>
      <c r="AN33" s="19">
        <v>165289</v>
      </c>
      <c r="AO33" s="19">
        <v>19073</v>
      </c>
      <c r="AP33" s="19">
        <v>200679</v>
      </c>
    </row>
    <row r="34" spans="1:42" ht="13.5" customHeight="1">
      <c r="A34" s="17" t="s">
        <v>114</v>
      </c>
      <c r="B34" s="18" t="s">
        <v>115</v>
      </c>
      <c r="C34" s="17" t="s">
        <v>59</v>
      </c>
      <c r="D34" s="19">
        <v>1336428</v>
      </c>
      <c r="E34" s="19">
        <v>1336428</v>
      </c>
      <c r="F34" s="19">
        <v>0</v>
      </c>
      <c r="G34" s="19">
        <v>13679</v>
      </c>
      <c r="H34" s="19">
        <v>361149</v>
      </c>
      <c r="I34" s="19">
        <v>41208</v>
      </c>
      <c r="J34" s="19">
        <v>28336</v>
      </c>
      <c r="K34" s="19">
        <v>430693</v>
      </c>
      <c r="L34" s="20">
        <v>882.93632123676559</v>
      </c>
      <c r="M34" s="19">
        <v>641.37438375393731</v>
      </c>
      <c r="N34" s="19">
        <v>241.56193748282837</v>
      </c>
      <c r="O34" s="19">
        <v>0</v>
      </c>
      <c r="P34" s="19">
        <v>342356</v>
      </c>
      <c r="Q34" s="19">
        <v>1800</v>
      </c>
      <c r="R34" s="19">
        <v>46073</v>
      </c>
      <c r="S34" s="19">
        <v>23444</v>
      </c>
      <c r="T34" s="19">
        <v>21297</v>
      </c>
      <c r="U34" s="19">
        <v>454</v>
      </c>
      <c r="V34" s="19">
        <v>0</v>
      </c>
      <c r="W34" s="19">
        <v>0</v>
      </c>
      <c r="X34" s="19">
        <v>0</v>
      </c>
      <c r="Y34" s="19">
        <v>878</v>
      </c>
      <c r="Z34" s="19">
        <v>15650</v>
      </c>
      <c r="AA34" s="19">
        <v>405879</v>
      </c>
      <c r="AB34" s="21">
        <v>99.556518075584094</v>
      </c>
      <c r="AC34" s="19">
        <v>2387</v>
      </c>
      <c r="AD34" s="19">
        <v>3231</v>
      </c>
      <c r="AE34" s="19">
        <v>454</v>
      </c>
      <c r="AF34" s="19">
        <v>0</v>
      </c>
      <c r="AG34" s="19">
        <v>0</v>
      </c>
      <c r="AH34" s="19">
        <v>0</v>
      </c>
      <c r="AI34" s="19">
        <v>18579</v>
      </c>
      <c r="AJ34" s="19">
        <v>24651</v>
      </c>
      <c r="AK34" s="21">
        <v>15.807146229402486</v>
      </c>
      <c r="AL34" s="21">
        <v>15.724698594014486</v>
      </c>
      <c r="AM34" s="19">
        <v>1800</v>
      </c>
      <c r="AN34" s="19">
        <v>42556</v>
      </c>
      <c r="AO34" s="19">
        <v>4191</v>
      </c>
      <c r="AP34" s="19">
        <v>48547</v>
      </c>
    </row>
    <row r="35" spans="1:42" ht="13.5" customHeight="1">
      <c r="A35" s="17" t="s">
        <v>116</v>
      </c>
      <c r="B35" s="18" t="s">
        <v>117</v>
      </c>
      <c r="C35" s="17" t="s">
        <v>59</v>
      </c>
      <c r="D35" s="19">
        <v>936236</v>
      </c>
      <c r="E35" s="19">
        <v>936176</v>
      </c>
      <c r="F35" s="19">
        <v>60</v>
      </c>
      <c r="G35" s="19">
        <v>7171</v>
      </c>
      <c r="H35" s="19">
        <v>263173</v>
      </c>
      <c r="I35" s="19">
        <v>47042</v>
      </c>
      <c r="J35" s="19">
        <v>7404</v>
      </c>
      <c r="K35" s="19">
        <v>317619</v>
      </c>
      <c r="L35" s="20">
        <v>929.45479675625631</v>
      </c>
      <c r="M35" s="19">
        <v>690.81340982577456</v>
      </c>
      <c r="N35" s="19">
        <v>238.64138693048181</v>
      </c>
      <c r="O35" s="19">
        <v>16</v>
      </c>
      <c r="P35" s="19">
        <v>258617</v>
      </c>
      <c r="Q35" s="19">
        <v>2590</v>
      </c>
      <c r="R35" s="19">
        <v>45447</v>
      </c>
      <c r="S35" s="19">
        <v>5526</v>
      </c>
      <c r="T35" s="19">
        <v>34380</v>
      </c>
      <c r="U35" s="19">
        <v>178</v>
      </c>
      <c r="V35" s="19">
        <v>0</v>
      </c>
      <c r="W35" s="19">
        <v>0</v>
      </c>
      <c r="X35" s="19">
        <v>738</v>
      </c>
      <c r="Y35" s="19">
        <v>4625</v>
      </c>
      <c r="Z35" s="19">
        <v>4544</v>
      </c>
      <c r="AA35" s="19">
        <v>311198</v>
      </c>
      <c r="AB35" s="21">
        <v>99.167732440439849</v>
      </c>
      <c r="AC35" s="19">
        <v>890</v>
      </c>
      <c r="AD35" s="19">
        <v>1846</v>
      </c>
      <c r="AE35" s="19">
        <v>178</v>
      </c>
      <c r="AF35" s="19">
        <v>0</v>
      </c>
      <c r="AG35" s="19">
        <v>0</v>
      </c>
      <c r="AH35" s="19">
        <v>738</v>
      </c>
      <c r="AI35" s="19">
        <v>26563</v>
      </c>
      <c r="AJ35" s="19">
        <v>30215</v>
      </c>
      <c r="AK35" s="21">
        <v>13.233752456042335</v>
      </c>
      <c r="AL35" s="21">
        <v>13.231241486243025</v>
      </c>
      <c r="AM35" s="19">
        <v>2590</v>
      </c>
      <c r="AN35" s="19">
        <v>31736</v>
      </c>
      <c r="AO35" s="19">
        <v>5551</v>
      </c>
      <c r="AP35" s="19">
        <v>39877</v>
      </c>
    </row>
    <row r="36" spans="1:42" ht="13.5" customHeight="1">
      <c r="A36" s="17" t="s">
        <v>118</v>
      </c>
      <c r="B36" s="18" t="s">
        <v>119</v>
      </c>
      <c r="C36" s="17" t="s">
        <v>59</v>
      </c>
      <c r="D36" s="19">
        <v>551818</v>
      </c>
      <c r="E36" s="19">
        <v>551818</v>
      </c>
      <c r="F36" s="19">
        <v>0</v>
      </c>
      <c r="G36" s="19">
        <v>4594</v>
      </c>
      <c r="H36" s="19">
        <v>182656</v>
      </c>
      <c r="I36" s="19">
        <v>14951</v>
      </c>
      <c r="J36" s="19">
        <v>3948</v>
      </c>
      <c r="K36" s="19">
        <v>201555</v>
      </c>
      <c r="L36" s="20">
        <v>1000.7021870472779</v>
      </c>
      <c r="M36" s="19">
        <v>573.41220852199774</v>
      </c>
      <c r="N36" s="19">
        <v>427.28997852528011</v>
      </c>
      <c r="O36" s="19">
        <v>4</v>
      </c>
      <c r="P36" s="19">
        <v>142627</v>
      </c>
      <c r="Q36" s="19">
        <v>197</v>
      </c>
      <c r="R36" s="19">
        <v>25506</v>
      </c>
      <c r="S36" s="19">
        <v>1470</v>
      </c>
      <c r="T36" s="19">
        <v>18660</v>
      </c>
      <c r="U36" s="19">
        <v>4236</v>
      </c>
      <c r="V36" s="19">
        <v>163</v>
      </c>
      <c r="W36" s="19">
        <v>0</v>
      </c>
      <c r="X36" s="19">
        <v>977</v>
      </c>
      <c r="Y36" s="19">
        <v>0</v>
      </c>
      <c r="Z36" s="19">
        <v>29105</v>
      </c>
      <c r="AA36" s="19">
        <v>197435</v>
      </c>
      <c r="AB36" s="21">
        <v>99.900220325676798</v>
      </c>
      <c r="AC36" s="19">
        <v>8006</v>
      </c>
      <c r="AD36" s="19">
        <v>634</v>
      </c>
      <c r="AE36" s="19">
        <v>3026</v>
      </c>
      <c r="AF36" s="19">
        <v>157</v>
      </c>
      <c r="AG36" s="19">
        <v>0</v>
      </c>
      <c r="AH36" s="19">
        <v>897</v>
      </c>
      <c r="AI36" s="19">
        <v>11568</v>
      </c>
      <c r="AJ36" s="19">
        <v>24288</v>
      </c>
      <c r="AK36" s="21">
        <v>28.473605021277866</v>
      </c>
      <c r="AL36" s="21">
        <v>24.240377787598753</v>
      </c>
      <c r="AM36" s="19">
        <v>197</v>
      </c>
      <c r="AN36" s="19">
        <v>7213</v>
      </c>
      <c r="AO36" s="19">
        <v>5085</v>
      </c>
      <c r="AP36" s="19">
        <v>12495</v>
      </c>
    </row>
    <row r="37" spans="1:42" ht="13.5" customHeight="1">
      <c r="A37" s="17" t="s">
        <v>120</v>
      </c>
      <c r="B37" s="18" t="s">
        <v>121</v>
      </c>
      <c r="C37" s="17" t="s">
        <v>59</v>
      </c>
      <c r="D37" s="19">
        <v>666659</v>
      </c>
      <c r="E37" s="19">
        <v>666500</v>
      </c>
      <c r="F37" s="19">
        <v>159</v>
      </c>
      <c r="G37" s="19">
        <v>9032</v>
      </c>
      <c r="H37" s="19">
        <v>192608</v>
      </c>
      <c r="I37" s="19">
        <v>35810</v>
      </c>
      <c r="J37" s="19">
        <v>362</v>
      </c>
      <c r="K37" s="19">
        <v>228780</v>
      </c>
      <c r="L37" s="20">
        <v>940.20259315173905</v>
      </c>
      <c r="M37" s="19">
        <v>645.73893284704275</v>
      </c>
      <c r="N37" s="19">
        <v>294.46366030469625</v>
      </c>
      <c r="O37" s="19">
        <v>8</v>
      </c>
      <c r="P37" s="19">
        <v>172745</v>
      </c>
      <c r="Q37" s="19">
        <v>6680</v>
      </c>
      <c r="R37" s="19">
        <v>43637</v>
      </c>
      <c r="S37" s="19">
        <v>10523</v>
      </c>
      <c r="T37" s="19">
        <v>20146</v>
      </c>
      <c r="U37" s="19">
        <v>3241</v>
      </c>
      <c r="V37" s="19">
        <v>181</v>
      </c>
      <c r="W37" s="19">
        <v>0</v>
      </c>
      <c r="X37" s="19">
        <v>9546</v>
      </c>
      <c r="Y37" s="19">
        <v>0</v>
      </c>
      <c r="Z37" s="19">
        <v>7967</v>
      </c>
      <c r="AA37" s="19">
        <v>231029</v>
      </c>
      <c r="AB37" s="21">
        <v>97.108588099329523</v>
      </c>
      <c r="AC37" s="19">
        <v>12392</v>
      </c>
      <c r="AD37" s="19">
        <v>3686</v>
      </c>
      <c r="AE37" s="19">
        <v>1945</v>
      </c>
      <c r="AF37" s="19">
        <v>36</v>
      </c>
      <c r="AG37" s="19">
        <v>0</v>
      </c>
      <c r="AH37" s="19">
        <v>5661</v>
      </c>
      <c r="AI37" s="19">
        <v>14922</v>
      </c>
      <c r="AJ37" s="19">
        <v>38642</v>
      </c>
      <c r="AK37" s="21">
        <v>20.29940663206434</v>
      </c>
      <c r="AL37" s="21">
        <v>17.566370342839612</v>
      </c>
      <c r="AM37" s="19">
        <v>6680</v>
      </c>
      <c r="AN37" s="19">
        <v>9894</v>
      </c>
      <c r="AO37" s="19">
        <v>3934</v>
      </c>
      <c r="AP37" s="19">
        <v>20508</v>
      </c>
    </row>
    <row r="38" spans="1:42" ht="13.5" customHeight="1">
      <c r="A38" s="17" t="s">
        <v>122</v>
      </c>
      <c r="B38" s="18" t="s">
        <v>123</v>
      </c>
      <c r="C38" s="17" t="s">
        <v>59</v>
      </c>
      <c r="D38" s="19">
        <v>1880411</v>
      </c>
      <c r="E38" s="19">
        <v>1880405</v>
      </c>
      <c r="F38" s="19">
        <v>6</v>
      </c>
      <c r="G38" s="19">
        <v>29735</v>
      </c>
      <c r="H38" s="19">
        <v>529494</v>
      </c>
      <c r="I38" s="19">
        <v>80302</v>
      </c>
      <c r="J38" s="19">
        <v>23770</v>
      </c>
      <c r="K38" s="19">
        <v>633566</v>
      </c>
      <c r="L38" s="20">
        <v>923.09461084516772</v>
      </c>
      <c r="M38" s="19">
        <v>601.86929550806519</v>
      </c>
      <c r="N38" s="19">
        <v>321.22531533710247</v>
      </c>
      <c r="O38" s="19">
        <v>6</v>
      </c>
      <c r="P38" s="19">
        <v>543238</v>
      </c>
      <c r="Q38" s="19">
        <v>3125</v>
      </c>
      <c r="R38" s="19">
        <v>47392</v>
      </c>
      <c r="S38" s="19">
        <v>21585</v>
      </c>
      <c r="T38" s="19">
        <v>22628</v>
      </c>
      <c r="U38" s="19">
        <v>567</v>
      </c>
      <c r="V38" s="19">
        <v>0</v>
      </c>
      <c r="W38" s="19">
        <v>389</v>
      </c>
      <c r="X38" s="19">
        <v>431</v>
      </c>
      <c r="Y38" s="19">
        <v>1792</v>
      </c>
      <c r="Z38" s="19">
        <v>16889</v>
      </c>
      <c r="AA38" s="19">
        <v>610644</v>
      </c>
      <c r="AB38" s="21">
        <v>99.488245196874118</v>
      </c>
      <c r="AC38" s="19">
        <v>85947</v>
      </c>
      <c r="AD38" s="19">
        <v>6287</v>
      </c>
      <c r="AE38" s="19">
        <v>39</v>
      </c>
      <c r="AF38" s="19">
        <v>0</v>
      </c>
      <c r="AG38" s="19">
        <v>389</v>
      </c>
      <c r="AH38" s="19">
        <v>431</v>
      </c>
      <c r="AI38" s="19">
        <v>19177</v>
      </c>
      <c r="AJ38" s="19">
        <v>112270</v>
      </c>
      <c r="AK38" s="21">
        <v>24.105552525637833</v>
      </c>
      <c r="AL38" s="21">
        <v>21.29949843477603</v>
      </c>
      <c r="AM38" s="19">
        <v>3125</v>
      </c>
      <c r="AN38" s="19">
        <v>16696</v>
      </c>
      <c r="AO38" s="19">
        <v>7632</v>
      </c>
      <c r="AP38" s="19">
        <v>27453</v>
      </c>
    </row>
    <row r="39" spans="1:42" ht="13.5" customHeight="1">
      <c r="A39" s="17" t="s">
        <v>124</v>
      </c>
      <c r="B39" s="18" t="s">
        <v>125</v>
      </c>
      <c r="C39" s="17" t="s">
        <v>59</v>
      </c>
      <c r="D39" s="19">
        <v>2794941</v>
      </c>
      <c r="E39" s="19">
        <v>2794913</v>
      </c>
      <c r="F39" s="19">
        <v>28</v>
      </c>
      <c r="G39" s="19">
        <v>51450</v>
      </c>
      <c r="H39" s="19">
        <v>804102</v>
      </c>
      <c r="I39" s="19">
        <v>77029</v>
      </c>
      <c r="J39" s="19">
        <v>13316</v>
      </c>
      <c r="K39" s="19">
        <v>894447</v>
      </c>
      <c r="L39" s="20">
        <v>876.77690728619939</v>
      </c>
      <c r="M39" s="19">
        <v>563.95142470059636</v>
      </c>
      <c r="N39" s="19">
        <v>312.82548258560291</v>
      </c>
      <c r="O39" s="19">
        <v>5</v>
      </c>
      <c r="P39" s="19">
        <v>605144</v>
      </c>
      <c r="Q39" s="19">
        <v>12659</v>
      </c>
      <c r="R39" s="19">
        <v>250564</v>
      </c>
      <c r="S39" s="19">
        <v>50132</v>
      </c>
      <c r="T39" s="19">
        <v>99501</v>
      </c>
      <c r="U39" s="19">
        <v>1462</v>
      </c>
      <c r="V39" s="19">
        <v>0</v>
      </c>
      <c r="W39" s="19">
        <v>0</v>
      </c>
      <c r="X39" s="19">
        <v>97991</v>
      </c>
      <c r="Y39" s="19">
        <v>1478</v>
      </c>
      <c r="Z39" s="19">
        <v>13039</v>
      </c>
      <c r="AA39" s="19">
        <v>881406</v>
      </c>
      <c r="AB39" s="21">
        <v>98.5637719734152</v>
      </c>
      <c r="AC39" s="19">
        <v>8713</v>
      </c>
      <c r="AD39" s="19">
        <v>13419</v>
      </c>
      <c r="AE39" s="19">
        <v>1328</v>
      </c>
      <c r="AF39" s="19">
        <v>0</v>
      </c>
      <c r="AG39" s="19">
        <v>0</v>
      </c>
      <c r="AH39" s="19">
        <v>57918</v>
      </c>
      <c r="AI39" s="19">
        <v>74578</v>
      </c>
      <c r="AJ39" s="19">
        <v>155956</v>
      </c>
      <c r="AK39" s="21">
        <v>20.376273300533573</v>
      </c>
      <c r="AL39" s="21">
        <v>13.413551918920067</v>
      </c>
      <c r="AM39" s="19">
        <v>12659</v>
      </c>
      <c r="AN39" s="19">
        <v>67195</v>
      </c>
      <c r="AO39" s="19">
        <v>15026</v>
      </c>
      <c r="AP39" s="19">
        <v>94880</v>
      </c>
    </row>
    <row r="40" spans="1:42" ht="13.5" customHeight="1">
      <c r="A40" s="17" t="s">
        <v>126</v>
      </c>
      <c r="B40" s="18" t="s">
        <v>127</v>
      </c>
      <c r="C40" s="17" t="s">
        <v>59</v>
      </c>
      <c r="D40" s="19">
        <v>1343183</v>
      </c>
      <c r="E40" s="19">
        <v>1343181</v>
      </c>
      <c r="F40" s="19">
        <v>2</v>
      </c>
      <c r="G40" s="19">
        <v>16090</v>
      </c>
      <c r="H40" s="19">
        <v>357570</v>
      </c>
      <c r="I40" s="19">
        <v>111812</v>
      </c>
      <c r="J40" s="19">
        <v>7664</v>
      </c>
      <c r="K40" s="19">
        <v>477046</v>
      </c>
      <c r="L40" s="20">
        <v>973.04339205138353</v>
      </c>
      <c r="M40" s="19">
        <v>653.99548418819791</v>
      </c>
      <c r="N40" s="19">
        <v>319.04790786318557</v>
      </c>
      <c r="O40" s="19">
        <v>1</v>
      </c>
      <c r="P40" s="19">
        <v>363629</v>
      </c>
      <c r="Q40" s="19">
        <v>7201</v>
      </c>
      <c r="R40" s="19">
        <v>75779</v>
      </c>
      <c r="S40" s="19">
        <v>21058</v>
      </c>
      <c r="T40" s="19">
        <v>42716</v>
      </c>
      <c r="U40" s="19">
        <v>0</v>
      </c>
      <c r="V40" s="19">
        <v>0</v>
      </c>
      <c r="W40" s="19">
        <v>5676</v>
      </c>
      <c r="X40" s="19">
        <v>6329</v>
      </c>
      <c r="Y40" s="19">
        <v>0</v>
      </c>
      <c r="Z40" s="19">
        <v>22219</v>
      </c>
      <c r="AA40" s="19">
        <v>468828</v>
      </c>
      <c r="AB40" s="21">
        <v>98.464042250036272</v>
      </c>
      <c r="AC40" s="19">
        <v>79740</v>
      </c>
      <c r="AD40" s="19">
        <v>3184</v>
      </c>
      <c r="AE40" s="19">
        <v>0</v>
      </c>
      <c r="AF40" s="19">
        <v>0</v>
      </c>
      <c r="AG40" s="19">
        <v>3162</v>
      </c>
      <c r="AH40" s="19">
        <v>6329</v>
      </c>
      <c r="AI40" s="19">
        <v>32760</v>
      </c>
      <c r="AJ40" s="19">
        <v>125175</v>
      </c>
      <c r="AK40" s="21">
        <v>32.541574674915843</v>
      </c>
      <c r="AL40" s="21">
        <v>23.999353609294594</v>
      </c>
      <c r="AM40" s="19">
        <v>7201</v>
      </c>
      <c r="AN40" s="19">
        <v>9574</v>
      </c>
      <c r="AO40" s="19">
        <v>7585</v>
      </c>
      <c r="AP40" s="19">
        <v>24360</v>
      </c>
    </row>
    <row r="41" spans="1:42" ht="13.5" customHeight="1">
      <c r="A41" s="17" t="s">
        <v>128</v>
      </c>
      <c r="B41" s="18" t="s">
        <v>129</v>
      </c>
      <c r="C41" s="17" t="s">
        <v>59</v>
      </c>
      <c r="D41" s="19">
        <v>728227</v>
      </c>
      <c r="E41" s="19">
        <v>728213</v>
      </c>
      <c r="F41" s="19">
        <v>14</v>
      </c>
      <c r="G41" s="19">
        <v>6259</v>
      </c>
      <c r="H41" s="19">
        <v>234708</v>
      </c>
      <c r="I41" s="19">
        <v>13075</v>
      </c>
      <c r="J41" s="19">
        <v>4773</v>
      </c>
      <c r="K41" s="19">
        <v>252556</v>
      </c>
      <c r="L41" s="20">
        <v>950.16285660287588</v>
      </c>
      <c r="M41" s="19">
        <v>720.71460631978528</v>
      </c>
      <c r="N41" s="19">
        <v>229.44825028309046</v>
      </c>
      <c r="O41" s="19">
        <v>524</v>
      </c>
      <c r="P41" s="19">
        <v>193758</v>
      </c>
      <c r="Q41" s="19">
        <v>570</v>
      </c>
      <c r="R41" s="19">
        <v>39063</v>
      </c>
      <c r="S41" s="19">
        <v>21085</v>
      </c>
      <c r="T41" s="19">
        <v>16925</v>
      </c>
      <c r="U41" s="19">
        <v>0</v>
      </c>
      <c r="V41" s="19">
        <v>0</v>
      </c>
      <c r="W41" s="19">
        <v>0</v>
      </c>
      <c r="X41" s="19">
        <v>952</v>
      </c>
      <c r="Y41" s="19">
        <v>101</v>
      </c>
      <c r="Z41" s="19">
        <v>14183</v>
      </c>
      <c r="AA41" s="19">
        <v>247574</v>
      </c>
      <c r="AB41" s="21">
        <v>99.769765807394961</v>
      </c>
      <c r="AC41" s="19">
        <v>4533</v>
      </c>
      <c r="AD41" s="19">
        <v>5676</v>
      </c>
      <c r="AE41" s="19">
        <v>0</v>
      </c>
      <c r="AF41" s="19">
        <v>0</v>
      </c>
      <c r="AG41" s="19">
        <v>0</v>
      </c>
      <c r="AH41" s="19">
        <v>942</v>
      </c>
      <c r="AI41" s="19">
        <v>11734</v>
      </c>
      <c r="AJ41" s="19">
        <v>22885</v>
      </c>
      <c r="AK41" s="21">
        <v>16.580740012760206</v>
      </c>
      <c r="AL41" s="21">
        <v>16.258564595576726</v>
      </c>
      <c r="AM41" s="19">
        <v>570</v>
      </c>
      <c r="AN41" s="19">
        <v>19891</v>
      </c>
      <c r="AO41" s="19">
        <v>8260</v>
      </c>
      <c r="AP41" s="19">
        <v>28721</v>
      </c>
    </row>
    <row r="42" spans="1:42" ht="13.5" customHeight="1">
      <c r="A42" s="17" t="s">
        <v>130</v>
      </c>
      <c r="B42" s="18" t="s">
        <v>131</v>
      </c>
      <c r="C42" s="17" t="s">
        <v>59</v>
      </c>
      <c r="D42" s="19">
        <v>966805</v>
      </c>
      <c r="E42" s="19">
        <v>966769</v>
      </c>
      <c r="F42" s="19">
        <v>36</v>
      </c>
      <c r="G42" s="19">
        <v>13323</v>
      </c>
      <c r="H42" s="19">
        <v>285293</v>
      </c>
      <c r="I42" s="19">
        <v>13289</v>
      </c>
      <c r="J42" s="19">
        <v>1608</v>
      </c>
      <c r="K42" s="19">
        <v>300190</v>
      </c>
      <c r="L42" s="20">
        <v>850.67656473061641</v>
      </c>
      <c r="M42" s="19">
        <v>583.38463090508617</v>
      </c>
      <c r="N42" s="19">
        <v>267.29193382553024</v>
      </c>
      <c r="O42" s="19">
        <v>4</v>
      </c>
      <c r="P42" s="19">
        <v>221364</v>
      </c>
      <c r="Q42" s="19">
        <v>2631</v>
      </c>
      <c r="R42" s="19">
        <v>63831</v>
      </c>
      <c r="S42" s="19">
        <v>10915</v>
      </c>
      <c r="T42" s="19">
        <v>39838</v>
      </c>
      <c r="U42" s="19">
        <v>602</v>
      </c>
      <c r="V42" s="19">
        <v>0</v>
      </c>
      <c r="W42" s="19">
        <v>0</v>
      </c>
      <c r="X42" s="19">
        <v>12460</v>
      </c>
      <c r="Y42" s="19">
        <v>16</v>
      </c>
      <c r="Z42" s="19">
        <v>9927</v>
      </c>
      <c r="AA42" s="19">
        <v>297753</v>
      </c>
      <c r="AB42" s="21">
        <v>99.116381698924954</v>
      </c>
      <c r="AC42" s="19">
        <v>8735</v>
      </c>
      <c r="AD42" s="19">
        <v>1255</v>
      </c>
      <c r="AE42" s="19">
        <v>602</v>
      </c>
      <c r="AF42" s="19">
        <v>0</v>
      </c>
      <c r="AG42" s="19">
        <v>0</v>
      </c>
      <c r="AH42" s="19">
        <v>7346</v>
      </c>
      <c r="AI42" s="19">
        <v>28597</v>
      </c>
      <c r="AJ42" s="19">
        <v>46535</v>
      </c>
      <c r="AK42" s="21">
        <v>19.39798437338197</v>
      </c>
      <c r="AL42" s="21">
        <v>16.152404621844529</v>
      </c>
      <c r="AM42" s="19">
        <v>2631</v>
      </c>
      <c r="AN42" s="19">
        <v>18950</v>
      </c>
      <c r="AO42" s="19">
        <v>4903</v>
      </c>
      <c r="AP42" s="19">
        <v>26484</v>
      </c>
    </row>
    <row r="43" spans="1:42" ht="13.5" customHeight="1">
      <c r="A43" s="17" t="s">
        <v>132</v>
      </c>
      <c r="B43" s="18" t="s">
        <v>133</v>
      </c>
      <c r="C43" s="17" t="s">
        <v>59</v>
      </c>
      <c r="D43" s="19">
        <v>1344532</v>
      </c>
      <c r="E43" s="19">
        <v>1344532</v>
      </c>
      <c r="F43" s="19">
        <v>0</v>
      </c>
      <c r="G43" s="19">
        <v>12013</v>
      </c>
      <c r="H43" s="19">
        <v>355387</v>
      </c>
      <c r="I43" s="19">
        <v>70094</v>
      </c>
      <c r="J43" s="19">
        <v>6681</v>
      </c>
      <c r="K43" s="19">
        <v>432162</v>
      </c>
      <c r="L43" s="20">
        <v>880.60788397156387</v>
      </c>
      <c r="M43" s="19">
        <v>646.38267574205895</v>
      </c>
      <c r="N43" s="19">
        <v>234.22520822950503</v>
      </c>
      <c r="O43" s="19">
        <v>0</v>
      </c>
      <c r="P43" s="19">
        <v>344674</v>
      </c>
      <c r="Q43" s="19">
        <v>6055</v>
      </c>
      <c r="R43" s="19">
        <v>62502</v>
      </c>
      <c r="S43" s="19">
        <v>22673</v>
      </c>
      <c r="T43" s="19">
        <v>37640</v>
      </c>
      <c r="U43" s="19">
        <v>1934</v>
      </c>
      <c r="V43" s="19">
        <v>0</v>
      </c>
      <c r="W43" s="19">
        <v>0</v>
      </c>
      <c r="X43" s="19">
        <v>31</v>
      </c>
      <c r="Y43" s="19">
        <v>224</v>
      </c>
      <c r="Z43" s="19">
        <v>11796</v>
      </c>
      <c r="AA43" s="19">
        <v>425027</v>
      </c>
      <c r="AB43" s="21">
        <v>98.575384622623972</v>
      </c>
      <c r="AC43" s="19">
        <v>10399</v>
      </c>
      <c r="AD43" s="19">
        <v>5672</v>
      </c>
      <c r="AE43" s="19">
        <v>1933</v>
      </c>
      <c r="AF43" s="19">
        <v>0</v>
      </c>
      <c r="AG43" s="19">
        <v>0</v>
      </c>
      <c r="AH43" s="19">
        <v>31</v>
      </c>
      <c r="AI43" s="19">
        <v>33013</v>
      </c>
      <c r="AJ43" s="19">
        <v>51048</v>
      </c>
      <c r="AK43" s="21">
        <v>16.104635540689539</v>
      </c>
      <c r="AL43" s="21">
        <v>14.845914368045069</v>
      </c>
      <c r="AM43" s="19">
        <v>6055</v>
      </c>
      <c r="AN43" s="19">
        <v>25211</v>
      </c>
      <c r="AO43" s="19">
        <v>5652</v>
      </c>
      <c r="AP43" s="19">
        <v>36918</v>
      </c>
    </row>
    <row r="44" spans="1:42" ht="13.5" customHeight="1">
      <c r="A44" s="17" t="s">
        <v>134</v>
      </c>
      <c r="B44" s="18" t="s">
        <v>135</v>
      </c>
      <c r="C44" s="17" t="s">
        <v>59</v>
      </c>
      <c r="D44" s="19">
        <v>694194</v>
      </c>
      <c r="E44" s="19">
        <v>694060</v>
      </c>
      <c r="F44" s="19">
        <v>134</v>
      </c>
      <c r="G44" s="19">
        <v>4480</v>
      </c>
      <c r="H44" s="19">
        <v>213674</v>
      </c>
      <c r="I44" s="19">
        <v>28216</v>
      </c>
      <c r="J44" s="19">
        <v>154</v>
      </c>
      <c r="K44" s="19">
        <v>242044</v>
      </c>
      <c r="L44" s="20">
        <v>955.25781924842681</v>
      </c>
      <c r="M44" s="19">
        <v>686.67789008962438</v>
      </c>
      <c r="N44" s="19">
        <v>268.57992915880254</v>
      </c>
      <c r="O44" s="19">
        <v>105</v>
      </c>
      <c r="P44" s="19">
        <v>199128</v>
      </c>
      <c r="Q44" s="19">
        <v>3592</v>
      </c>
      <c r="R44" s="19">
        <v>33458</v>
      </c>
      <c r="S44" s="19">
        <v>4007</v>
      </c>
      <c r="T44" s="19">
        <v>19612</v>
      </c>
      <c r="U44" s="19">
        <v>0</v>
      </c>
      <c r="V44" s="19">
        <v>0</v>
      </c>
      <c r="W44" s="19">
        <v>0</v>
      </c>
      <c r="X44" s="19">
        <v>9127</v>
      </c>
      <c r="Y44" s="19">
        <v>712</v>
      </c>
      <c r="Z44" s="19">
        <v>5819</v>
      </c>
      <c r="AA44" s="19">
        <v>241997</v>
      </c>
      <c r="AB44" s="21">
        <v>98.515684078728256</v>
      </c>
      <c r="AC44" s="19">
        <v>17755</v>
      </c>
      <c r="AD44" s="19">
        <v>2131</v>
      </c>
      <c r="AE44" s="19">
        <v>0</v>
      </c>
      <c r="AF44" s="19">
        <v>0</v>
      </c>
      <c r="AG44" s="19">
        <v>0</v>
      </c>
      <c r="AH44" s="19">
        <v>5869</v>
      </c>
      <c r="AI44" s="19">
        <v>17430</v>
      </c>
      <c r="AJ44" s="19">
        <v>43185</v>
      </c>
      <c r="AK44" s="21">
        <v>20.300556264479603</v>
      </c>
      <c r="AL44" s="21">
        <v>12.679278631928012</v>
      </c>
      <c r="AM44" s="19">
        <v>3592</v>
      </c>
      <c r="AN44" s="19">
        <v>4850</v>
      </c>
      <c r="AO44" s="19">
        <v>1664</v>
      </c>
      <c r="AP44" s="19">
        <v>10106</v>
      </c>
    </row>
    <row r="45" spans="1:42" ht="13.5" customHeight="1">
      <c r="A45" s="17" t="s">
        <v>136</v>
      </c>
      <c r="B45" s="18" t="s">
        <v>137</v>
      </c>
      <c r="C45" s="17" t="s">
        <v>59</v>
      </c>
      <c r="D45" s="19">
        <v>5109835</v>
      </c>
      <c r="E45" s="19">
        <v>5107373</v>
      </c>
      <c r="F45" s="19">
        <v>2462</v>
      </c>
      <c r="G45" s="19">
        <v>76481</v>
      </c>
      <c r="H45" s="19">
        <v>1334860</v>
      </c>
      <c r="I45" s="19">
        <v>331186</v>
      </c>
      <c r="J45" s="19">
        <v>60521</v>
      </c>
      <c r="K45" s="19">
        <v>1726567</v>
      </c>
      <c r="L45" s="20">
        <v>925.72862880018738</v>
      </c>
      <c r="M45" s="19">
        <v>615.75052064182807</v>
      </c>
      <c r="N45" s="19">
        <v>309.9781081583593</v>
      </c>
      <c r="O45" s="19">
        <v>685</v>
      </c>
      <c r="P45" s="19">
        <v>1285373.3393706209</v>
      </c>
      <c r="Q45" s="19">
        <v>11765.84</v>
      </c>
      <c r="R45" s="19">
        <v>274929.34999999998</v>
      </c>
      <c r="S45" s="19">
        <v>66359.42</v>
      </c>
      <c r="T45" s="19">
        <v>84716.93</v>
      </c>
      <c r="U45" s="19">
        <v>473</v>
      </c>
      <c r="V45" s="19">
        <v>0</v>
      </c>
      <c r="W45" s="19">
        <v>2830</v>
      </c>
      <c r="X45" s="19">
        <v>120520</v>
      </c>
      <c r="Y45" s="19">
        <v>30</v>
      </c>
      <c r="Z45" s="19">
        <v>90766.699850000005</v>
      </c>
      <c r="AA45" s="19">
        <v>1662835.2292206208</v>
      </c>
      <c r="AB45" s="21">
        <v>99.292422977740586</v>
      </c>
      <c r="AC45" s="19">
        <v>55779.933622840363</v>
      </c>
      <c r="AD45" s="19">
        <v>20406.999980081102</v>
      </c>
      <c r="AE45" s="19">
        <v>473</v>
      </c>
      <c r="AF45" s="19">
        <v>0</v>
      </c>
      <c r="AG45" s="19">
        <v>2663</v>
      </c>
      <c r="AH45" s="19">
        <v>75934</v>
      </c>
      <c r="AI45" s="19">
        <v>52555.702929855834</v>
      </c>
      <c r="AJ45" s="19">
        <v>207812.63653277728</v>
      </c>
      <c r="AK45" s="21">
        <v>20.837266857194038</v>
      </c>
      <c r="AL45" s="21">
        <v>15.412387287038051</v>
      </c>
      <c r="AM45" s="19">
        <v>11765.84</v>
      </c>
      <c r="AN45" s="19">
        <v>124864.7686873427</v>
      </c>
      <c r="AO45" s="19">
        <v>23543.9525551529</v>
      </c>
      <c r="AP45" s="19">
        <v>160174.56124249561</v>
      </c>
    </row>
    <row r="46" spans="1:42" ht="13.5" customHeight="1">
      <c r="A46" s="17" t="s">
        <v>138</v>
      </c>
      <c r="B46" s="18" t="s">
        <v>139</v>
      </c>
      <c r="C46" s="17" t="s">
        <v>59</v>
      </c>
      <c r="D46" s="19">
        <v>812917</v>
      </c>
      <c r="E46" s="19">
        <v>812917</v>
      </c>
      <c r="F46" s="19">
        <v>0</v>
      </c>
      <c r="G46" s="19">
        <v>6544</v>
      </c>
      <c r="H46" s="19">
        <v>226580</v>
      </c>
      <c r="I46" s="19">
        <v>30144</v>
      </c>
      <c r="J46" s="19">
        <v>3323</v>
      </c>
      <c r="K46" s="19">
        <v>260047</v>
      </c>
      <c r="L46" s="20">
        <v>876.42100515375535</v>
      </c>
      <c r="M46" s="19">
        <v>618.88068540452014</v>
      </c>
      <c r="N46" s="19">
        <v>257.54031974923521</v>
      </c>
      <c r="O46" s="19">
        <v>0</v>
      </c>
      <c r="P46" s="19">
        <v>211475</v>
      </c>
      <c r="Q46" s="19">
        <v>5</v>
      </c>
      <c r="R46" s="19">
        <v>37948</v>
      </c>
      <c r="S46" s="19">
        <v>11169</v>
      </c>
      <c r="T46" s="19">
        <v>23761</v>
      </c>
      <c r="U46" s="19">
        <v>2017</v>
      </c>
      <c r="V46" s="19">
        <v>0</v>
      </c>
      <c r="W46" s="19">
        <v>97</v>
      </c>
      <c r="X46" s="19">
        <v>664</v>
      </c>
      <c r="Y46" s="19">
        <v>240</v>
      </c>
      <c r="Z46" s="19">
        <v>7430</v>
      </c>
      <c r="AA46" s="19">
        <v>256858</v>
      </c>
      <c r="AB46" s="21">
        <v>99.998053399154401</v>
      </c>
      <c r="AC46" s="19">
        <v>19597</v>
      </c>
      <c r="AD46" s="19">
        <v>1449</v>
      </c>
      <c r="AE46" s="19">
        <v>1686</v>
      </c>
      <c r="AF46" s="19">
        <v>0</v>
      </c>
      <c r="AG46" s="19">
        <v>2</v>
      </c>
      <c r="AH46" s="19">
        <v>664</v>
      </c>
      <c r="AI46" s="19">
        <v>17384</v>
      </c>
      <c r="AJ46" s="19">
        <v>40782</v>
      </c>
      <c r="AK46" s="21">
        <v>19.807364872915393</v>
      </c>
      <c r="AL46" s="21">
        <v>16.86287622847172</v>
      </c>
      <c r="AM46" s="19">
        <v>5</v>
      </c>
      <c r="AN46" s="19">
        <v>8866</v>
      </c>
      <c r="AO46" s="19">
        <v>1605</v>
      </c>
      <c r="AP46" s="19">
        <v>10476</v>
      </c>
    </row>
    <row r="47" spans="1:42" ht="13.5" customHeight="1">
      <c r="A47" s="17" t="s">
        <v>140</v>
      </c>
      <c r="B47" s="18" t="s">
        <v>141</v>
      </c>
      <c r="C47" s="17" t="s">
        <v>59</v>
      </c>
      <c r="D47" s="19">
        <v>1321574</v>
      </c>
      <c r="E47" s="19">
        <v>1321494</v>
      </c>
      <c r="F47" s="19">
        <v>80</v>
      </c>
      <c r="G47" s="19">
        <v>9007</v>
      </c>
      <c r="H47" s="19">
        <v>377275</v>
      </c>
      <c r="I47" s="19">
        <v>71850</v>
      </c>
      <c r="J47" s="19">
        <v>12594</v>
      </c>
      <c r="K47" s="19">
        <v>461719</v>
      </c>
      <c r="L47" s="20">
        <v>957.1795159740094</v>
      </c>
      <c r="M47" s="19">
        <v>653.48602271707932</v>
      </c>
      <c r="N47" s="19">
        <v>303.69349325693014</v>
      </c>
      <c r="O47" s="19">
        <v>8</v>
      </c>
      <c r="P47" s="19">
        <v>385855</v>
      </c>
      <c r="Q47" s="19">
        <v>9101</v>
      </c>
      <c r="R47" s="19">
        <v>44344</v>
      </c>
      <c r="S47" s="19">
        <v>5315</v>
      </c>
      <c r="T47" s="19">
        <v>36970</v>
      </c>
      <c r="U47" s="19">
        <v>49</v>
      </c>
      <c r="V47" s="19">
        <v>0</v>
      </c>
      <c r="W47" s="19">
        <v>0</v>
      </c>
      <c r="X47" s="19">
        <v>351</v>
      </c>
      <c r="Y47" s="19">
        <v>1659</v>
      </c>
      <c r="Z47" s="19">
        <v>4497</v>
      </c>
      <c r="AA47" s="19">
        <v>443797</v>
      </c>
      <c r="AB47" s="21">
        <v>97.949287624747356</v>
      </c>
      <c r="AC47" s="19">
        <v>24314</v>
      </c>
      <c r="AD47" s="19">
        <v>2022</v>
      </c>
      <c r="AE47" s="19">
        <v>49</v>
      </c>
      <c r="AF47" s="19">
        <v>0</v>
      </c>
      <c r="AG47" s="19">
        <v>0</v>
      </c>
      <c r="AH47" s="19">
        <v>351</v>
      </c>
      <c r="AI47" s="19">
        <v>30556</v>
      </c>
      <c r="AJ47" s="19">
        <v>57292</v>
      </c>
      <c r="AK47" s="21">
        <v>16.298086509155528</v>
      </c>
      <c r="AL47" s="21">
        <v>13.355434265794022</v>
      </c>
      <c r="AM47" s="19">
        <v>9101</v>
      </c>
      <c r="AN47" s="19">
        <v>23079</v>
      </c>
      <c r="AO47" s="19">
        <v>3379</v>
      </c>
      <c r="AP47" s="19">
        <v>35559</v>
      </c>
    </row>
    <row r="48" spans="1:42" ht="13.5" customHeight="1">
      <c r="A48" s="17" t="s">
        <v>142</v>
      </c>
      <c r="B48" s="18" t="s">
        <v>143</v>
      </c>
      <c r="C48" s="17" t="s">
        <v>59</v>
      </c>
      <c r="D48" s="19">
        <v>1747473</v>
      </c>
      <c r="E48" s="19">
        <v>1747082</v>
      </c>
      <c r="F48" s="19">
        <v>391</v>
      </c>
      <c r="G48" s="19">
        <v>16734</v>
      </c>
      <c r="H48" s="19">
        <v>483116</v>
      </c>
      <c r="I48" s="19">
        <v>59890</v>
      </c>
      <c r="J48" s="19">
        <v>12599</v>
      </c>
      <c r="K48" s="19">
        <v>555605</v>
      </c>
      <c r="L48" s="20">
        <v>871.08955586269701</v>
      </c>
      <c r="M48" s="19">
        <v>601.16553900701501</v>
      </c>
      <c r="N48" s="19">
        <v>269.92401685568205</v>
      </c>
      <c r="O48" s="19">
        <v>1041</v>
      </c>
      <c r="P48" s="19">
        <v>421035</v>
      </c>
      <c r="Q48" s="19">
        <v>3143</v>
      </c>
      <c r="R48" s="19">
        <v>111743</v>
      </c>
      <c r="S48" s="19">
        <v>13874</v>
      </c>
      <c r="T48" s="19">
        <v>68585</v>
      </c>
      <c r="U48" s="19">
        <v>2352</v>
      </c>
      <c r="V48" s="19">
        <v>0</v>
      </c>
      <c r="W48" s="19">
        <v>0</v>
      </c>
      <c r="X48" s="19">
        <v>26867</v>
      </c>
      <c r="Y48" s="19">
        <v>65</v>
      </c>
      <c r="Z48" s="19">
        <v>8993</v>
      </c>
      <c r="AA48" s="19">
        <v>544914</v>
      </c>
      <c r="AB48" s="21">
        <v>99.423211736163879</v>
      </c>
      <c r="AC48" s="19">
        <v>9014</v>
      </c>
      <c r="AD48" s="19">
        <v>5534</v>
      </c>
      <c r="AE48" s="19">
        <v>2352</v>
      </c>
      <c r="AF48" s="19">
        <v>0</v>
      </c>
      <c r="AG48" s="19">
        <v>0</v>
      </c>
      <c r="AH48" s="19">
        <v>15503</v>
      </c>
      <c r="AI48" s="19">
        <v>58884</v>
      </c>
      <c r="AJ48" s="19">
        <v>91287</v>
      </c>
      <c r="AK48" s="21">
        <v>20.246882135483837</v>
      </c>
      <c r="AL48" s="21">
        <v>15.690934561167182</v>
      </c>
      <c r="AM48" s="19">
        <v>3143</v>
      </c>
      <c r="AN48" s="19">
        <v>37943</v>
      </c>
      <c r="AO48" s="19">
        <v>7340</v>
      </c>
      <c r="AP48" s="19">
        <v>48426</v>
      </c>
    </row>
    <row r="49" spans="1:42" ht="13.5" customHeight="1">
      <c r="A49" s="17" t="s">
        <v>144</v>
      </c>
      <c r="B49" s="18" t="s">
        <v>145</v>
      </c>
      <c r="C49" s="17" t="s">
        <v>59</v>
      </c>
      <c r="D49" s="19">
        <v>1131387</v>
      </c>
      <c r="E49" s="19">
        <v>1131387</v>
      </c>
      <c r="F49" s="19">
        <v>0</v>
      </c>
      <c r="G49" s="19">
        <v>11576</v>
      </c>
      <c r="H49" s="19">
        <v>340964</v>
      </c>
      <c r="I49" s="19">
        <v>46213</v>
      </c>
      <c r="J49" s="19">
        <v>3427</v>
      </c>
      <c r="K49" s="19">
        <v>390604</v>
      </c>
      <c r="L49" s="20">
        <v>945.87258401013935</v>
      </c>
      <c r="M49" s="19">
        <v>645.15065887547814</v>
      </c>
      <c r="N49" s="19">
        <v>300.72192513466103</v>
      </c>
      <c r="O49" s="19">
        <v>0</v>
      </c>
      <c r="P49" s="19">
        <v>318137</v>
      </c>
      <c r="Q49" s="19">
        <v>2837</v>
      </c>
      <c r="R49" s="19">
        <v>58287</v>
      </c>
      <c r="S49" s="19">
        <v>10645</v>
      </c>
      <c r="T49" s="19">
        <v>44422</v>
      </c>
      <c r="U49" s="19">
        <v>466</v>
      </c>
      <c r="V49" s="19">
        <v>0</v>
      </c>
      <c r="W49" s="19">
        <v>2747</v>
      </c>
      <c r="X49" s="19">
        <v>0</v>
      </c>
      <c r="Y49" s="19">
        <v>7</v>
      </c>
      <c r="Z49" s="19">
        <v>9257</v>
      </c>
      <c r="AA49" s="19">
        <v>388518</v>
      </c>
      <c r="AB49" s="21">
        <v>99.269789301911374</v>
      </c>
      <c r="AC49" s="19">
        <v>25456</v>
      </c>
      <c r="AD49" s="19">
        <v>2840</v>
      </c>
      <c r="AE49" s="19">
        <v>466</v>
      </c>
      <c r="AF49" s="19">
        <v>0</v>
      </c>
      <c r="AG49" s="19">
        <v>885</v>
      </c>
      <c r="AH49" s="19">
        <v>0</v>
      </c>
      <c r="AI49" s="19">
        <v>30858</v>
      </c>
      <c r="AJ49" s="19">
        <v>60505</v>
      </c>
      <c r="AK49" s="21">
        <v>18.673283241271097</v>
      </c>
      <c r="AL49" s="21">
        <v>14.884486343747211</v>
      </c>
      <c r="AM49" s="19">
        <v>2837</v>
      </c>
      <c r="AN49" s="19">
        <v>19747</v>
      </c>
      <c r="AO49" s="19">
        <v>4140</v>
      </c>
      <c r="AP49" s="19">
        <v>26724</v>
      </c>
    </row>
    <row r="50" spans="1:42" ht="13.5" customHeight="1">
      <c r="A50" s="17" t="s">
        <v>146</v>
      </c>
      <c r="B50" s="18" t="s">
        <v>147</v>
      </c>
      <c r="C50" s="17" t="s">
        <v>59</v>
      </c>
      <c r="D50" s="19">
        <v>1078200</v>
      </c>
      <c r="E50" s="19">
        <v>1078200</v>
      </c>
      <c r="F50" s="19">
        <v>0</v>
      </c>
      <c r="G50" s="19">
        <v>7189</v>
      </c>
      <c r="H50" s="19">
        <v>319643</v>
      </c>
      <c r="I50" s="19">
        <v>57024</v>
      </c>
      <c r="J50" s="19">
        <v>1528</v>
      </c>
      <c r="K50" s="19">
        <v>378195</v>
      </c>
      <c r="L50" s="20">
        <v>961.00044976025492</v>
      </c>
      <c r="M50" s="19">
        <v>673.23519920313663</v>
      </c>
      <c r="N50" s="19">
        <v>287.76525055711829</v>
      </c>
      <c r="O50" s="19">
        <v>0</v>
      </c>
      <c r="P50" s="19">
        <v>287110</v>
      </c>
      <c r="Q50" s="19">
        <v>3275</v>
      </c>
      <c r="R50" s="19">
        <v>56199</v>
      </c>
      <c r="S50" s="19">
        <v>3925</v>
      </c>
      <c r="T50" s="19">
        <v>43510</v>
      </c>
      <c r="U50" s="19">
        <v>3572</v>
      </c>
      <c r="V50" s="19">
        <v>171</v>
      </c>
      <c r="W50" s="19">
        <v>0</v>
      </c>
      <c r="X50" s="19">
        <v>204</v>
      </c>
      <c r="Y50" s="19">
        <v>4817</v>
      </c>
      <c r="Z50" s="19">
        <v>30316</v>
      </c>
      <c r="AA50" s="19">
        <v>376900</v>
      </c>
      <c r="AB50" s="21">
        <v>99.13106924913771</v>
      </c>
      <c r="AC50" s="19">
        <v>2140</v>
      </c>
      <c r="AD50" s="19">
        <v>969</v>
      </c>
      <c r="AE50" s="19">
        <v>2707</v>
      </c>
      <c r="AF50" s="19">
        <v>171</v>
      </c>
      <c r="AG50" s="19">
        <v>0</v>
      </c>
      <c r="AH50" s="19">
        <v>204</v>
      </c>
      <c r="AI50" s="19">
        <v>27223</v>
      </c>
      <c r="AJ50" s="19">
        <v>33414</v>
      </c>
      <c r="AK50" s="21">
        <v>17.244495650427556</v>
      </c>
      <c r="AL50" s="21">
        <v>17.046307355692498</v>
      </c>
      <c r="AM50" s="19">
        <v>3275</v>
      </c>
      <c r="AN50" s="19">
        <v>37177</v>
      </c>
      <c r="AO50" s="19">
        <v>6824</v>
      </c>
      <c r="AP50" s="19">
        <v>47276</v>
      </c>
    </row>
    <row r="51" spans="1:42" ht="13.5" customHeight="1">
      <c r="A51" s="17" t="s">
        <v>148</v>
      </c>
      <c r="B51" s="18" t="s">
        <v>149</v>
      </c>
      <c r="C51" s="17" t="s">
        <v>59</v>
      </c>
      <c r="D51" s="19">
        <v>1606057</v>
      </c>
      <c r="E51" s="19">
        <v>1605957</v>
      </c>
      <c r="F51" s="19">
        <v>100</v>
      </c>
      <c r="G51" s="19">
        <v>11623</v>
      </c>
      <c r="H51" s="19">
        <v>460939</v>
      </c>
      <c r="I51" s="19">
        <v>64391</v>
      </c>
      <c r="J51" s="19">
        <v>2313</v>
      </c>
      <c r="K51" s="19">
        <v>527643</v>
      </c>
      <c r="L51" s="20">
        <v>900.09088112935763</v>
      </c>
      <c r="M51" s="19">
        <v>628.28422277204527</v>
      </c>
      <c r="N51" s="19">
        <v>271.8066583573123</v>
      </c>
      <c r="O51" s="19">
        <v>25</v>
      </c>
      <c r="P51" s="19">
        <v>405547</v>
      </c>
      <c r="Q51" s="19">
        <v>9017</v>
      </c>
      <c r="R51" s="19">
        <v>84207</v>
      </c>
      <c r="S51" s="19">
        <v>25406</v>
      </c>
      <c r="T51" s="19">
        <v>38519</v>
      </c>
      <c r="U51" s="19">
        <v>11149</v>
      </c>
      <c r="V51" s="19">
        <v>0</v>
      </c>
      <c r="W51" s="19">
        <v>7094</v>
      </c>
      <c r="X51" s="19">
        <v>910</v>
      </c>
      <c r="Y51" s="19">
        <v>1129</v>
      </c>
      <c r="Z51" s="19">
        <v>26121</v>
      </c>
      <c r="AA51" s="19">
        <v>524892</v>
      </c>
      <c r="AB51" s="21">
        <v>98.282122798594756</v>
      </c>
      <c r="AC51" s="19">
        <v>9782</v>
      </c>
      <c r="AD51" s="19">
        <v>5460</v>
      </c>
      <c r="AE51" s="19">
        <v>11106</v>
      </c>
      <c r="AF51" s="19">
        <v>0</v>
      </c>
      <c r="AG51" s="19">
        <v>175</v>
      </c>
      <c r="AH51" s="19">
        <v>910</v>
      </c>
      <c r="AI51" s="19">
        <v>28394</v>
      </c>
      <c r="AJ51" s="19">
        <v>55827</v>
      </c>
      <c r="AK51" s="21">
        <v>15.982587418556349</v>
      </c>
      <c r="AL51" s="21">
        <v>14.848493470281959</v>
      </c>
      <c r="AM51" s="19">
        <v>9017</v>
      </c>
      <c r="AN51" s="19">
        <v>41253</v>
      </c>
      <c r="AO51" s="19">
        <v>11402</v>
      </c>
      <c r="AP51" s="19">
        <v>61672</v>
      </c>
    </row>
    <row r="52" spans="1:42" ht="13.5" customHeight="1">
      <c r="A52" s="17" t="s">
        <v>150</v>
      </c>
      <c r="B52" s="18" t="s">
        <v>151</v>
      </c>
      <c r="C52" s="17" t="s">
        <v>59</v>
      </c>
      <c r="D52" s="19">
        <v>1484154</v>
      </c>
      <c r="E52" s="19">
        <v>1484147</v>
      </c>
      <c r="F52" s="19">
        <v>7</v>
      </c>
      <c r="G52" s="19">
        <v>18082</v>
      </c>
      <c r="H52" s="19">
        <v>455085</v>
      </c>
      <c r="I52" s="19">
        <v>21867</v>
      </c>
      <c r="J52" s="19">
        <v>87</v>
      </c>
      <c r="K52" s="19">
        <v>477039</v>
      </c>
      <c r="L52" s="20">
        <v>880.60684024943612</v>
      </c>
      <c r="M52" s="19">
        <v>604.37549025900478</v>
      </c>
      <c r="N52" s="19">
        <v>276.23134999043134</v>
      </c>
      <c r="O52" s="19">
        <v>2</v>
      </c>
      <c r="P52" s="19">
        <v>395644</v>
      </c>
      <c r="Q52" s="19">
        <v>2664</v>
      </c>
      <c r="R52" s="19">
        <v>58438</v>
      </c>
      <c r="S52" s="19">
        <v>15634</v>
      </c>
      <c r="T52" s="19">
        <v>37766</v>
      </c>
      <c r="U52" s="19">
        <v>4702</v>
      </c>
      <c r="V52" s="19">
        <v>73</v>
      </c>
      <c r="W52" s="19">
        <v>0</v>
      </c>
      <c r="X52" s="19">
        <v>0</v>
      </c>
      <c r="Y52" s="19">
        <v>263</v>
      </c>
      <c r="Z52" s="19">
        <v>18664</v>
      </c>
      <c r="AA52" s="19">
        <v>475410</v>
      </c>
      <c r="AB52" s="21">
        <v>99.439641572537383</v>
      </c>
      <c r="AC52" s="19">
        <v>16122</v>
      </c>
      <c r="AD52" s="19">
        <v>4382</v>
      </c>
      <c r="AE52" s="19">
        <v>4630</v>
      </c>
      <c r="AF52" s="19">
        <v>73</v>
      </c>
      <c r="AG52" s="19">
        <v>0</v>
      </c>
      <c r="AH52" s="19">
        <v>0</v>
      </c>
      <c r="AI52" s="19">
        <v>30955</v>
      </c>
      <c r="AJ52" s="19">
        <v>56162</v>
      </c>
      <c r="AK52" s="21">
        <v>15.754673531063288</v>
      </c>
      <c r="AL52" s="21">
        <v>14.626590704042297</v>
      </c>
      <c r="AM52" s="19">
        <v>2664</v>
      </c>
      <c r="AN52" s="19">
        <v>23022</v>
      </c>
      <c r="AO52" s="19">
        <v>2122</v>
      </c>
      <c r="AP52" s="19">
        <v>27808</v>
      </c>
    </row>
    <row r="53" spans="1:42" ht="13.5" customHeight="1">
      <c r="A53" s="17" t="s">
        <v>152</v>
      </c>
      <c r="B53" s="18" t="s">
        <v>153</v>
      </c>
      <c r="C53" s="17" t="s">
        <v>59</v>
      </c>
      <c r="D53" s="19">
        <v>126068422</v>
      </c>
      <c r="E53" s="19">
        <v>126061891</v>
      </c>
      <c r="F53" s="19">
        <v>6531</v>
      </c>
      <c r="G53" s="19">
        <v>2707929</v>
      </c>
      <c r="H53" s="19">
        <v>35657599.090000004</v>
      </c>
      <c r="I53" s="19">
        <v>3702161</v>
      </c>
      <c r="J53" s="19">
        <v>1592824.6924000001</v>
      </c>
      <c r="K53" s="19">
        <v>40952584.782399997</v>
      </c>
      <c r="L53" s="20">
        <v>889.98387254767295</v>
      </c>
      <c r="M53" s="19">
        <v>635.58098877405803</v>
      </c>
      <c r="N53" s="19">
        <v>254.40288377361492</v>
      </c>
      <c r="O53" s="19">
        <v>6276</v>
      </c>
      <c r="P53" s="19">
        <v>31491040.33937062</v>
      </c>
      <c r="Q53" s="19">
        <v>339823.84</v>
      </c>
      <c r="R53" s="19">
        <v>5699585.3499999996</v>
      </c>
      <c r="S53" s="19">
        <v>1837408.42</v>
      </c>
      <c r="T53" s="19">
        <v>2995102.93</v>
      </c>
      <c r="U53" s="19">
        <v>184140</v>
      </c>
      <c r="V53" s="19">
        <v>9570</v>
      </c>
      <c r="W53" s="19">
        <v>103124</v>
      </c>
      <c r="X53" s="19">
        <v>516448</v>
      </c>
      <c r="Y53" s="19">
        <v>53792</v>
      </c>
      <c r="Z53" s="19">
        <v>1890891.5734883</v>
      </c>
      <c r="AA53" s="19">
        <v>39421341.102858923</v>
      </c>
      <c r="AB53" s="21">
        <v>99.137969864816796</v>
      </c>
      <c r="AC53" s="19">
        <v>1379735.9336228403</v>
      </c>
      <c r="AD53" s="19">
        <v>442820.99998008111</v>
      </c>
      <c r="AE53" s="19">
        <v>135209</v>
      </c>
      <c r="AF53" s="19">
        <v>5572</v>
      </c>
      <c r="AG53" s="19">
        <v>40619</v>
      </c>
      <c r="AH53" s="19">
        <v>302850</v>
      </c>
      <c r="AI53" s="19">
        <v>2366467.4929298558</v>
      </c>
      <c r="AJ53" s="19">
        <v>4673274.426532777</v>
      </c>
      <c r="AK53" s="21">
        <v>19.888227723905072</v>
      </c>
      <c r="AL53" s="21">
        <v>17.970853605105116</v>
      </c>
      <c r="AM53" s="19">
        <v>339823.84</v>
      </c>
      <c r="AN53" s="19">
        <v>2673366.7686873428</v>
      </c>
      <c r="AO53" s="19">
        <v>410697.95255515288</v>
      </c>
      <c r="AP53" s="19">
        <v>3423888.5612424957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75" orientation="landscape" r:id="rId1"/>
  <headerFooter alignWithMargins="0">
    <oddHeader>&amp;Lごみ処理の概要（令和2年度実績）</oddHeader>
  </headerFooter>
  <colBreaks count="2" manualBreakCount="2">
    <brk id="15" min="1" max="23" man="1"/>
    <brk id="28" min="1" max="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M54"/>
  <sheetViews>
    <sheetView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/>
  <cols>
    <col min="1" max="1" width="10.75" style="10" customWidth="1"/>
    <col min="2" max="2" width="8.75" style="13" customWidth="1"/>
    <col min="3" max="3" width="12.625" style="10" customWidth="1"/>
    <col min="4" max="117" width="11" style="14" customWidth="1"/>
    <col min="118" max="16384" width="9" style="10"/>
  </cols>
  <sheetData>
    <row r="1" spans="1:117" s="3" customFormat="1" ht="17.25">
      <c r="A1" s="1" t="s">
        <v>154</v>
      </c>
      <c r="B1" s="2"/>
      <c r="C1" s="2"/>
      <c r="D1" s="4"/>
      <c r="BE1" s="4"/>
      <c r="BF1" s="4"/>
      <c r="BG1" s="4"/>
      <c r="BH1" s="4"/>
      <c r="BI1" s="4"/>
      <c r="BJ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DB1" s="4"/>
      <c r="DC1" s="4"/>
      <c r="DD1" s="4"/>
      <c r="DE1" s="4"/>
      <c r="DF1" s="4"/>
      <c r="DG1" s="4"/>
    </row>
    <row r="2" spans="1:117" ht="22.5" customHeight="1">
      <c r="A2" s="7" t="s">
        <v>1</v>
      </c>
      <c r="B2" s="7" t="s">
        <v>2</v>
      </c>
      <c r="C2" s="8" t="s">
        <v>155</v>
      </c>
      <c r="D2" s="9" t="s">
        <v>156</v>
      </c>
      <c r="E2" s="9" t="s">
        <v>156</v>
      </c>
      <c r="F2" s="9" t="s">
        <v>156</v>
      </c>
      <c r="G2" s="9" t="s">
        <v>156</v>
      </c>
      <c r="H2" s="9" t="s">
        <v>156</v>
      </c>
      <c r="I2" s="9" t="s">
        <v>156</v>
      </c>
      <c r="J2" s="9" t="s">
        <v>156</v>
      </c>
      <c r="K2" s="9" t="s">
        <v>156</v>
      </c>
      <c r="L2" s="9" t="s">
        <v>156</v>
      </c>
      <c r="M2" s="9" t="s">
        <v>156</v>
      </c>
      <c r="N2" s="9" t="s">
        <v>156</v>
      </c>
      <c r="O2" s="9" t="s">
        <v>156</v>
      </c>
      <c r="P2" s="9" t="s">
        <v>156</v>
      </c>
      <c r="Q2" s="9" t="s">
        <v>156</v>
      </c>
      <c r="R2" s="9" t="s">
        <v>156</v>
      </c>
      <c r="S2" s="9" t="s">
        <v>156</v>
      </c>
      <c r="T2" s="9" t="s">
        <v>156</v>
      </c>
      <c r="U2" s="9" t="s">
        <v>156</v>
      </c>
      <c r="V2" s="9" t="s">
        <v>156</v>
      </c>
      <c r="W2" s="9" t="s">
        <v>156</v>
      </c>
      <c r="X2" s="9" t="s">
        <v>156</v>
      </c>
      <c r="Y2" s="9" t="s">
        <v>156</v>
      </c>
      <c r="Z2" s="9" t="s">
        <v>156</v>
      </c>
      <c r="AA2" s="9" t="s">
        <v>156</v>
      </c>
      <c r="AB2" s="9" t="s">
        <v>156</v>
      </c>
      <c r="AC2" s="9" t="s">
        <v>156</v>
      </c>
      <c r="AD2" s="9" t="s">
        <v>156</v>
      </c>
      <c r="AE2" s="9" t="s">
        <v>156</v>
      </c>
      <c r="AF2" s="9" t="s">
        <v>156</v>
      </c>
      <c r="AG2" s="9" t="s">
        <v>156</v>
      </c>
      <c r="AH2" s="9" t="s">
        <v>156</v>
      </c>
      <c r="AI2" s="9" t="s">
        <v>156</v>
      </c>
      <c r="AJ2" s="9" t="s">
        <v>156</v>
      </c>
      <c r="AK2" s="9" t="s">
        <v>156</v>
      </c>
      <c r="AL2" s="9" t="s">
        <v>156</v>
      </c>
      <c r="AM2" s="9" t="s">
        <v>156</v>
      </c>
      <c r="AN2" s="9" t="s">
        <v>156</v>
      </c>
      <c r="AO2" s="9" t="s">
        <v>156</v>
      </c>
      <c r="AP2" s="9" t="s">
        <v>156</v>
      </c>
      <c r="AQ2" s="9" t="s">
        <v>156</v>
      </c>
      <c r="AR2" s="9" t="s">
        <v>156</v>
      </c>
      <c r="AS2" s="9" t="s">
        <v>156</v>
      </c>
      <c r="AT2" s="9" t="s">
        <v>156</v>
      </c>
      <c r="AU2" s="9" t="s">
        <v>156</v>
      </c>
      <c r="AV2" s="9" t="s">
        <v>156</v>
      </c>
      <c r="AW2" s="9" t="s">
        <v>156</v>
      </c>
      <c r="AX2" s="9" t="s">
        <v>156</v>
      </c>
      <c r="AY2" s="9" t="s">
        <v>156</v>
      </c>
      <c r="AZ2" s="9" t="s">
        <v>156</v>
      </c>
      <c r="BA2" s="9" t="s">
        <v>156</v>
      </c>
      <c r="BB2" s="9" t="s">
        <v>156</v>
      </c>
      <c r="BC2" s="9" t="s">
        <v>156</v>
      </c>
      <c r="BD2" s="9" t="s">
        <v>156</v>
      </c>
      <c r="BE2" s="9" t="s">
        <v>156</v>
      </c>
      <c r="BF2" s="9" t="s">
        <v>156</v>
      </c>
      <c r="BG2" s="9" t="s">
        <v>156</v>
      </c>
      <c r="BH2" s="9" t="s">
        <v>156</v>
      </c>
      <c r="BI2" s="9" t="s">
        <v>156</v>
      </c>
      <c r="BJ2" s="9" t="s">
        <v>156</v>
      </c>
      <c r="BK2" s="9" t="s">
        <v>156</v>
      </c>
      <c r="BL2" s="9" t="s">
        <v>156</v>
      </c>
      <c r="BM2" s="9" t="s">
        <v>156</v>
      </c>
      <c r="BN2" s="9" t="s">
        <v>156</v>
      </c>
      <c r="BO2" s="9" t="s">
        <v>156</v>
      </c>
      <c r="BP2" s="9" t="s">
        <v>156</v>
      </c>
      <c r="BQ2" s="9" t="s">
        <v>156</v>
      </c>
      <c r="BR2" s="11" t="s">
        <v>157</v>
      </c>
      <c r="BS2" s="11" t="s">
        <v>157</v>
      </c>
      <c r="BT2" s="11" t="s">
        <v>157</v>
      </c>
      <c r="BU2" s="11" t="s">
        <v>157</v>
      </c>
      <c r="BV2" s="11" t="s">
        <v>157</v>
      </c>
      <c r="BW2" s="11" t="s">
        <v>157</v>
      </c>
      <c r="BX2" s="11" t="s">
        <v>157</v>
      </c>
      <c r="BY2" s="11" t="s">
        <v>157</v>
      </c>
      <c r="BZ2" s="11" t="s">
        <v>158</v>
      </c>
      <c r="CA2" s="11" t="s">
        <v>157</v>
      </c>
      <c r="CB2" s="11" t="s">
        <v>157</v>
      </c>
      <c r="CC2" s="11" t="s">
        <v>157</v>
      </c>
      <c r="CD2" s="11" t="s">
        <v>157</v>
      </c>
      <c r="CE2" s="11" t="s">
        <v>157</v>
      </c>
      <c r="CF2" s="11" t="s">
        <v>157</v>
      </c>
      <c r="CG2" s="11" t="s">
        <v>157</v>
      </c>
      <c r="CH2" s="11" t="s">
        <v>158</v>
      </c>
      <c r="CI2" s="11" t="s">
        <v>157</v>
      </c>
      <c r="CJ2" s="11" t="s">
        <v>157</v>
      </c>
      <c r="CK2" s="11" t="s">
        <v>157</v>
      </c>
      <c r="CL2" s="11" t="s">
        <v>157</v>
      </c>
      <c r="CM2" s="11" t="s">
        <v>159</v>
      </c>
      <c r="CN2" s="11" t="s">
        <v>159</v>
      </c>
      <c r="CO2" s="11" t="s">
        <v>159</v>
      </c>
      <c r="CP2" s="11" t="s">
        <v>159</v>
      </c>
      <c r="CQ2" s="11" t="s">
        <v>159</v>
      </c>
      <c r="CR2" s="11" t="s">
        <v>159</v>
      </c>
      <c r="CS2" s="11" t="s">
        <v>159</v>
      </c>
      <c r="CT2" s="11" t="s">
        <v>159</v>
      </c>
      <c r="CU2" s="11" t="s">
        <v>159</v>
      </c>
      <c r="CV2" s="11" t="s">
        <v>159</v>
      </c>
      <c r="CW2" s="11" t="s">
        <v>159</v>
      </c>
      <c r="CX2" s="11" t="s">
        <v>159</v>
      </c>
      <c r="CY2" s="11" t="s">
        <v>159</v>
      </c>
      <c r="CZ2" s="11" t="s">
        <v>159</v>
      </c>
      <c r="DA2" s="11" t="s">
        <v>160</v>
      </c>
      <c r="DB2" s="11" t="s">
        <v>159</v>
      </c>
      <c r="DC2" s="11" t="s">
        <v>159</v>
      </c>
      <c r="DD2" s="11" t="s">
        <v>159</v>
      </c>
      <c r="DE2" s="11" t="s">
        <v>159</v>
      </c>
      <c r="DF2" s="11" t="s">
        <v>159</v>
      </c>
      <c r="DG2" s="11" t="s">
        <v>159</v>
      </c>
      <c r="DH2" s="9" t="s">
        <v>9</v>
      </c>
      <c r="DI2" s="11" t="s">
        <v>161</v>
      </c>
      <c r="DJ2" s="11" t="s">
        <v>161</v>
      </c>
      <c r="DK2" s="11" t="s">
        <v>161</v>
      </c>
      <c r="DL2" s="11" t="s">
        <v>161</v>
      </c>
      <c r="DM2" s="11" t="s">
        <v>161</v>
      </c>
    </row>
    <row r="3" spans="1:117" ht="22.5" customHeight="1">
      <c r="A3" s="7"/>
      <c r="B3" s="7"/>
      <c r="C3" s="8"/>
      <c r="D3" s="7" t="s">
        <v>23</v>
      </c>
      <c r="E3" s="9" t="s">
        <v>162</v>
      </c>
      <c r="F3" s="9" t="s">
        <v>162</v>
      </c>
      <c r="G3" s="9" t="s">
        <v>162</v>
      </c>
      <c r="H3" s="9" t="s">
        <v>162</v>
      </c>
      <c r="I3" s="9" t="s">
        <v>162</v>
      </c>
      <c r="J3" s="9" t="s">
        <v>162</v>
      </c>
      <c r="K3" s="9" t="s">
        <v>162</v>
      </c>
      <c r="L3" s="9" t="s">
        <v>162</v>
      </c>
      <c r="M3" s="9" t="s">
        <v>162</v>
      </c>
      <c r="N3" s="9" t="s">
        <v>162</v>
      </c>
      <c r="O3" s="9" t="s">
        <v>162</v>
      </c>
      <c r="P3" s="9" t="s">
        <v>162</v>
      </c>
      <c r="Q3" s="9" t="s">
        <v>162</v>
      </c>
      <c r="R3" s="9" t="s">
        <v>162</v>
      </c>
      <c r="S3" s="9" t="s">
        <v>162</v>
      </c>
      <c r="T3" s="9" t="s">
        <v>162</v>
      </c>
      <c r="U3" s="9" t="s">
        <v>162</v>
      </c>
      <c r="V3" s="9" t="s">
        <v>162</v>
      </c>
      <c r="W3" s="9" t="s">
        <v>162</v>
      </c>
      <c r="X3" s="9" t="s">
        <v>162</v>
      </c>
      <c r="Y3" s="9" t="s">
        <v>162</v>
      </c>
      <c r="Z3" s="9" t="s">
        <v>162</v>
      </c>
      <c r="AA3" s="9" t="s">
        <v>162</v>
      </c>
      <c r="AB3" s="9" t="s">
        <v>162</v>
      </c>
      <c r="AC3" s="9" t="s">
        <v>162</v>
      </c>
      <c r="AD3" s="9" t="s">
        <v>163</v>
      </c>
      <c r="AE3" s="9" t="s">
        <v>163</v>
      </c>
      <c r="AF3" s="9" t="s">
        <v>163</v>
      </c>
      <c r="AG3" s="9" t="s">
        <v>163</v>
      </c>
      <c r="AH3" s="9" t="s">
        <v>163</v>
      </c>
      <c r="AI3" s="9" t="s">
        <v>163</v>
      </c>
      <c r="AJ3" s="9" t="s">
        <v>163</v>
      </c>
      <c r="AK3" s="9" t="s">
        <v>163</v>
      </c>
      <c r="AL3" s="9" t="s">
        <v>163</v>
      </c>
      <c r="AM3" s="9" t="s">
        <v>163</v>
      </c>
      <c r="AN3" s="9" t="s">
        <v>163</v>
      </c>
      <c r="AO3" s="9" t="s">
        <v>163</v>
      </c>
      <c r="AP3" s="9" t="s">
        <v>163</v>
      </c>
      <c r="AQ3" s="9" t="s">
        <v>163</v>
      </c>
      <c r="AR3" s="9" t="s">
        <v>163</v>
      </c>
      <c r="AS3" s="9" t="s">
        <v>163</v>
      </c>
      <c r="AT3" s="9" t="s">
        <v>163</v>
      </c>
      <c r="AU3" s="9" t="s">
        <v>163</v>
      </c>
      <c r="AV3" s="9" t="s">
        <v>163</v>
      </c>
      <c r="AW3" s="9" t="s">
        <v>163</v>
      </c>
      <c r="AX3" s="9" t="s">
        <v>163</v>
      </c>
      <c r="AY3" s="9" t="s">
        <v>163</v>
      </c>
      <c r="AZ3" s="9" t="s">
        <v>163</v>
      </c>
      <c r="BA3" s="9" t="s">
        <v>163</v>
      </c>
      <c r="BB3" s="9" t="s">
        <v>163</v>
      </c>
      <c r="BC3" s="8" t="s">
        <v>164</v>
      </c>
      <c r="BD3" s="8" t="s">
        <v>21</v>
      </c>
      <c r="BE3" s="8" t="s">
        <v>21</v>
      </c>
      <c r="BF3" s="8" t="s">
        <v>21</v>
      </c>
      <c r="BG3" s="8" t="s">
        <v>164</v>
      </c>
      <c r="BH3" s="8" t="s">
        <v>21</v>
      </c>
      <c r="BI3" s="8" t="s">
        <v>21</v>
      </c>
      <c r="BJ3" s="8" t="s">
        <v>21</v>
      </c>
      <c r="BK3" s="8" t="s">
        <v>164</v>
      </c>
      <c r="BL3" s="8" t="s">
        <v>21</v>
      </c>
      <c r="BM3" s="8" t="s">
        <v>21</v>
      </c>
      <c r="BN3" s="8" t="s">
        <v>164</v>
      </c>
      <c r="BO3" s="8" t="s">
        <v>21</v>
      </c>
      <c r="BP3" s="8" t="s">
        <v>21</v>
      </c>
      <c r="BQ3" s="8" t="s">
        <v>21</v>
      </c>
      <c r="BR3" s="7" t="s">
        <v>32</v>
      </c>
      <c r="BS3" s="11" t="s">
        <v>165</v>
      </c>
      <c r="BT3" s="11" t="s">
        <v>165</v>
      </c>
      <c r="BU3" s="11" t="s">
        <v>165</v>
      </c>
      <c r="BV3" s="11" t="s">
        <v>166</v>
      </c>
      <c r="BW3" s="11" t="s">
        <v>165</v>
      </c>
      <c r="BX3" s="11" t="s">
        <v>165</v>
      </c>
      <c r="BY3" s="11" t="s">
        <v>165</v>
      </c>
      <c r="BZ3" s="11" t="s">
        <v>165</v>
      </c>
      <c r="CA3" s="11" t="s">
        <v>165</v>
      </c>
      <c r="CB3" s="11" t="s">
        <v>165</v>
      </c>
      <c r="CC3" s="11" t="s">
        <v>166</v>
      </c>
      <c r="CD3" s="11" t="s">
        <v>165</v>
      </c>
      <c r="CE3" s="11" t="s">
        <v>165</v>
      </c>
      <c r="CF3" s="11" t="s">
        <v>165</v>
      </c>
      <c r="CG3" s="11" t="s">
        <v>166</v>
      </c>
      <c r="CH3" s="11" t="s">
        <v>165</v>
      </c>
      <c r="CI3" s="11" t="s">
        <v>165</v>
      </c>
      <c r="CJ3" s="11" t="s">
        <v>165</v>
      </c>
      <c r="CK3" s="11" t="s">
        <v>166</v>
      </c>
      <c r="CL3" s="11" t="s">
        <v>165</v>
      </c>
      <c r="CM3" s="7" t="s">
        <v>23</v>
      </c>
      <c r="CN3" s="11" t="s">
        <v>167</v>
      </c>
      <c r="CO3" s="11" t="s">
        <v>168</v>
      </c>
      <c r="CP3" s="11" t="s">
        <v>168</v>
      </c>
      <c r="CQ3" s="11" t="s">
        <v>168</v>
      </c>
      <c r="CR3" s="11" t="s">
        <v>168</v>
      </c>
      <c r="CS3" s="11" t="s">
        <v>168</v>
      </c>
      <c r="CT3" s="11" t="s">
        <v>168</v>
      </c>
      <c r="CU3" s="11" t="s">
        <v>168</v>
      </c>
      <c r="CV3" s="11" t="s">
        <v>167</v>
      </c>
      <c r="CW3" s="11" t="s">
        <v>168</v>
      </c>
      <c r="CX3" s="11" t="s">
        <v>168</v>
      </c>
      <c r="CY3" s="11" t="s">
        <v>168</v>
      </c>
      <c r="CZ3" s="11" t="s">
        <v>168</v>
      </c>
      <c r="DA3" s="11" t="s">
        <v>167</v>
      </c>
      <c r="DB3" s="11" t="s">
        <v>168</v>
      </c>
      <c r="DC3" s="11" t="s">
        <v>168</v>
      </c>
      <c r="DD3" s="11" t="s">
        <v>168</v>
      </c>
      <c r="DE3" s="11" t="s">
        <v>168</v>
      </c>
      <c r="DF3" s="11" t="s">
        <v>168</v>
      </c>
      <c r="DG3" s="11" t="s">
        <v>168</v>
      </c>
      <c r="DH3" s="9"/>
      <c r="DI3" s="11" t="s">
        <v>32</v>
      </c>
      <c r="DJ3" s="11" t="s">
        <v>169</v>
      </c>
      <c r="DK3" s="11" t="s">
        <v>170</v>
      </c>
      <c r="DL3" s="11" t="s">
        <v>171</v>
      </c>
      <c r="DM3" s="11" t="s">
        <v>172</v>
      </c>
    </row>
    <row r="4" spans="1:117" ht="22.5" customHeight="1">
      <c r="A4" s="7"/>
      <c r="B4" s="7"/>
      <c r="C4" s="8"/>
      <c r="D4" s="7"/>
      <c r="E4" s="11" t="s">
        <v>23</v>
      </c>
      <c r="F4" s="8" t="s">
        <v>173</v>
      </c>
      <c r="G4" s="8" t="s">
        <v>173</v>
      </c>
      <c r="H4" s="8" t="s">
        <v>173</v>
      </c>
      <c r="I4" s="8" t="s">
        <v>173</v>
      </c>
      <c r="J4" s="8" t="s">
        <v>174</v>
      </c>
      <c r="K4" s="8" t="s">
        <v>175</v>
      </c>
      <c r="L4" s="8" t="s">
        <v>175</v>
      </c>
      <c r="M4" s="8" t="s">
        <v>175</v>
      </c>
      <c r="N4" s="8" t="s">
        <v>176</v>
      </c>
      <c r="O4" s="8" t="s">
        <v>176</v>
      </c>
      <c r="P4" s="8" t="s">
        <v>176</v>
      </c>
      <c r="Q4" s="8" t="s">
        <v>176</v>
      </c>
      <c r="R4" s="8" t="s">
        <v>177</v>
      </c>
      <c r="S4" s="8" t="s">
        <v>177</v>
      </c>
      <c r="T4" s="8" t="s">
        <v>177</v>
      </c>
      <c r="U4" s="8" t="s">
        <v>177</v>
      </c>
      <c r="V4" s="8" t="s">
        <v>178</v>
      </c>
      <c r="W4" s="8" t="s">
        <v>178</v>
      </c>
      <c r="X4" s="8" t="s">
        <v>178</v>
      </c>
      <c r="Y4" s="8" t="s">
        <v>178</v>
      </c>
      <c r="Z4" s="8" t="s">
        <v>179</v>
      </c>
      <c r="AA4" s="8" t="s">
        <v>179</v>
      </c>
      <c r="AB4" s="8" t="s">
        <v>179</v>
      </c>
      <c r="AC4" s="8" t="s">
        <v>179</v>
      </c>
      <c r="AD4" s="11" t="s">
        <v>32</v>
      </c>
      <c r="AE4" s="8" t="s">
        <v>173</v>
      </c>
      <c r="AF4" s="8" t="s">
        <v>173</v>
      </c>
      <c r="AG4" s="8" t="s">
        <v>173</v>
      </c>
      <c r="AH4" s="8" t="s">
        <v>173</v>
      </c>
      <c r="AI4" s="8" t="s">
        <v>175</v>
      </c>
      <c r="AJ4" s="8" t="s">
        <v>175</v>
      </c>
      <c r="AK4" s="8" t="s">
        <v>175</v>
      </c>
      <c r="AL4" s="8" t="s">
        <v>175</v>
      </c>
      <c r="AM4" s="8" t="s">
        <v>176</v>
      </c>
      <c r="AN4" s="8" t="s">
        <v>176</v>
      </c>
      <c r="AO4" s="8" t="s">
        <v>176</v>
      </c>
      <c r="AP4" s="8" t="s">
        <v>176</v>
      </c>
      <c r="AQ4" s="8" t="s">
        <v>177</v>
      </c>
      <c r="AR4" s="8" t="s">
        <v>177</v>
      </c>
      <c r="AS4" s="8" t="s">
        <v>177</v>
      </c>
      <c r="AT4" s="8" t="s">
        <v>177</v>
      </c>
      <c r="AU4" s="8" t="s">
        <v>178</v>
      </c>
      <c r="AV4" s="8" t="s">
        <v>178</v>
      </c>
      <c r="AW4" s="8" t="s">
        <v>178</v>
      </c>
      <c r="AX4" s="8" t="s">
        <v>178</v>
      </c>
      <c r="AY4" s="8" t="s">
        <v>179</v>
      </c>
      <c r="AZ4" s="8" t="s">
        <v>179</v>
      </c>
      <c r="BA4" s="8" t="s">
        <v>179</v>
      </c>
      <c r="BB4" s="8" t="s">
        <v>179</v>
      </c>
      <c r="BC4" s="7" t="s">
        <v>23</v>
      </c>
      <c r="BD4" s="9" t="s">
        <v>180</v>
      </c>
      <c r="BE4" s="9" t="s">
        <v>180</v>
      </c>
      <c r="BF4" s="9" t="s">
        <v>180</v>
      </c>
      <c r="BG4" s="9" t="s">
        <v>180</v>
      </c>
      <c r="BH4" s="9" t="s">
        <v>180</v>
      </c>
      <c r="BI4" s="9" t="s">
        <v>180</v>
      </c>
      <c r="BJ4" s="9" t="s">
        <v>180</v>
      </c>
      <c r="BK4" s="9" t="s">
        <v>181</v>
      </c>
      <c r="BL4" s="9" t="s">
        <v>181</v>
      </c>
      <c r="BM4" s="9" t="s">
        <v>181</v>
      </c>
      <c r="BN4" s="9" t="s">
        <v>181</v>
      </c>
      <c r="BO4" s="9" t="s">
        <v>181</v>
      </c>
      <c r="BP4" s="9" t="s">
        <v>181</v>
      </c>
      <c r="BQ4" s="9" t="s">
        <v>181</v>
      </c>
      <c r="BR4" s="7"/>
      <c r="BS4" s="7" t="s">
        <v>182</v>
      </c>
      <c r="BT4" s="7" t="s">
        <v>183</v>
      </c>
      <c r="BU4" s="7" t="s">
        <v>184</v>
      </c>
      <c r="BV4" s="7" t="s">
        <v>185</v>
      </c>
      <c r="BW4" s="7" t="s">
        <v>186</v>
      </c>
      <c r="BX4" s="7" t="s">
        <v>187</v>
      </c>
      <c r="BY4" s="9" t="s">
        <v>162</v>
      </c>
      <c r="BZ4" s="9" t="s">
        <v>162</v>
      </c>
      <c r="CA4" s="9" t="s">
        <v>162</v>
      </c>
      <c r="CB4" s="9" t="s">
        <v>162</v>
      </c>
      <c r="CC4" s="9" t="s">
        <v>162</v>
      </c>
      <c r="CD4" s="9" t="s">
        <v>162</v>
      </c>
      <c r="CE4" s="9" t="s">
        <v>162</v>
      </c>
      <c r="CF4" s="9" t="s">
        <v>188</v>
      </c>
      <c r="CG4" s="9" t="s">
        <v>188</v>
      </c>
      <c r="CH4" s="9" t="s">
        <v>188</v>
      </c>
      <c r="CI4" s="9" t="s">
        <v>188</v>
      </c>
      <c r="CJ4" s="9" t="s">
        <v>188</v>
      </c>
      <c r="CK4" s="9" t="s">
        <v>189</v>
      </c>
      <c r="CL4" s="9" t="s">
        <v>188</v>
      </c>
      <c r="CM4" s="7"/>
      <c r="CN4" s="7" t="s">
        <v>182</v>
      </c>
      <c r="CO4" s="7" t="s">
        <v>183</v>
      </c>
      <c r="CP4" s="7" t="s">
        <v>190</v>
      </c>
      <c r="CQ4" s="7" t="s">
        <v>185</v>
      </c>
      <c r="CR4" s="7" t="s">
        <v>186</v>
      </c>
      <c r="CS4" s="7" t="s">
        <v>191</v>
      </c>
      <c r="CT4" s="9" t="s">
        <v>163</v>
      </c>
      <c r="CU4" s="9" t="s">
        <v>163</v>
      </c>
      <c r="CV4" s="9" t="s">
        <v>163</v>
      </c>
      <c r="CW4" s="9" t="s">
        <v>163</v>
      </c>
      <c r="CX4" s="9" t="s">
        <v>163</v>
      </c>
      <c r="CY4" s="9" t="s">
        <v>163</v>
      </c>
      <c r="CZ4" s="9" t="s">
        <v>163</v>
      </c>
      <c r="DA4" s="9" t="s">
        <v>189</v>
      </c>
      <c r="DB4" s="9" t="s">
        <v>189</v>
      </c>
      <c r="DC4" s="9" t="s">
        <v>189</v>
      </c>
      <c r="DD4" s="9" t="s">
        <v>188</v>
      </c>
      <c r="DE4" s="9" t="s">
        <v>188</v>
      </c>
      <c r="DF4" s="9" t="s">
        <v>189</v>
      </c>
      <c r="DG4" s="9" t="s">
        <v>188</v>
      </c>
      <c r="DH4" s="9"/>
      <c r="DI4" s="11"/>
      <c r="DJ4" s="11"/>
      <c r="DK4" s="11"/>
      <c r="DL4" s="11"/>
      <c r="DM4" s="11"/>
    </row>
    <row r="5" spans="1:117" ht="22.5" customHeight="1">
      <c r="A5" s="7"/>
      <c r="B5" s="7"/>
      <c r="C5" s="8"/>
      <c r="D5" s="7"/>
      <c r="E5" s="11"/>
      <c r="F5" s="11" t="s">
        <v>23</v>
      </c>
      <c r="G5" s="8" t="s">
        <v>169</v>
      </c>
      <c r="H5" s="8" t="s">
        <v>192</v>
      </c>
      <c r="I5" s="8" t="s">
        <v>171</v>
      </c>
      <c r="J5" s="11" t="s">
        <v>23</v>
      </c>
      <c r="K5" s="8" t="s">
        <v>169</v>
      </c>
      <c r="L5" s="8" t="s">
        <v>192</v>
      </c>
      <c r="M5" s="8" t="s">
        <v>171</v>
      </c>
      <c r="N5" s="11" t="s">
        <v>23</v>
      </c>
      <c r="O5" s="8" t="s">
        <v>193</v>
      </c>
      <c r="P5" s="8" t="s">
        <v>170</v>
      </c>
      <c r="Q5" s="8" t="s">
        <v>171</v>
      </c>
      <c r="R5" s="11" t="s">
        <v>23</v>
      </c>
      <c r="S5" s="8" t="s">
        <v>193</v>
      </c>
      <c r="T5" s="8" t="s">
        <v>170</v>
      </c>
      <c r="U5" s="8" t="s">
        <v>171</v>
      </c>
      <c r="V5" s="11" t="s">
        <v>23</v>
      </c>
      <c r="W5" s="8" t="s">
        <v>169</v>
      </c>
      <c r="X5" s="8" t="s">
        <v>170</v>
      </c>
      <c r="Y5" s="8" t="s">
        <v>171</v>
      </c>
      <c r="Z5" s="11" t="s">
        <v>23</v>
      </c>
      <c r="AA5" s="8" t="s">
        <v>193</v>
      </c>
      <c r="AB5" s="8" t="s">
        <v>170</v>
      </c>
      <c r="AC5" s="8" t="s">
        <v>171</v>
      </c>
      <c r="AD5" s="11"/>
      <c r="AE5" s="11" t="s">
        <v>23</v>
      </c>
      <c r="AF5" s="8" t="s">
        <v>169</v>
      </c>
      <c r="AG5" s="8" t="s">
        <v>170</v>
      </c>
      <c r="AH5" s="8" t="s">
        <v>171</v>
      </c>
      <c r="AI5" s="11" t="s">
        <v>23</v>
      </c>
      <c r="AJ5" s="8" t="s">
        <v>169</v>
      </c>
      <c r="AK5" s="8" t="s">
        <v>192</v>
      </c>
      <c r="AL5" s="8" t="s">
        <v>171</v>
      </c>
      <c r="AM5" s="11" t="s">
        <v>23</v>
      </c>
      <c r="AN5" s="8" t="s">
        <v>169</v>
      </c>
      <c r="AO5" s="8" t="s">
        <v>170</v>
      </c>
      <c r="AP5" s="8" t="s">
        <v>171</v>
      </c>
      <c r="AQ5" s="11" t="s">
        <v>23</v>
      </c>
      <c r="AR5" s="8" t="s">
        <v>169</v>
      </c>
      <c r="AS5" s="8" t="s">
        <v>170</v>
      </c>
      <c r="AT5" s="8" t="s">
        <v>171</v>
      </c>
      <c r="AU5" s="11" t="s">
        <v>32</v>
      </c>
      <c r="AV5" s="8" t="s">
        <v>169</v>
      </c>
      <c r="AW5" s="8" t="s">
        <v>170</v>
      </c>
      <c r="AX5" s="8" t="s">
        <v>171</v>
      </c>
      <c r="AY5" s="11" t="s">
        <v>23</v>
      </c>
      <c r="AZ5" s="8" t="s">
        <v>169</v>
      </c>
      <c r="BA5" s="8" t="s">
        <v>170</v>
      </c>
      <c r="BB5" s="8" t="s">
        <v>171</v>
      </c>
      <c r="BC5" s="7"/>
      <c r="BD5" s="7" t="s">
        <v>32</v>
      </c>
      <c r="BE5" s="7" t="s">
        <v>182</v>
      </c>
      <c r="BF5" s="7" t="s">
        <v>183</v>
      </c>
      <c r="BG5" s="7" t="s">
        <v>184</v>
      </c>
      <c r="BH5" s="7" t="s">
        <v>185</v>
      </c>
      <c r="BI5" s="7" t="s">
        <v>186</v>
      </c>
      <c r="BJ5" s="7" t="s">
        <v>187</v>
      </c>
      <c r="BK5" s="7" t="s">
        <v>23</v>
      </c>
      <c r="BL5" s="7" t="s">
        <v>182</v>
      </c>
      <c r="BM5" s="7" t="s">
        <v>183</v>
      </c>
      <c r="BN5" s="7" t="s">
        <v>184</v>
      </c>
      <c r="BO5" s="7" t="s">
        <v>185</v>
      </c>
      <c r="BP5" s="7" t="s">
        <v>186</v>
      </c>
      <c r="BQ5" s="7" t="s">
        <v>191</v>
      </c>
      <c r="BR5" s="7"/>
      <c r="BS5" s="7"/>
      <c r="BT5" s="7"/>
      <c r="BU5" s="7"/>
      <c r="BV5" s="7"/>
      <c r="BW5" s="7"/>
      <c r="BX5" s="7"/>
      <c r="BY5" s="7" t="s">
        <v>23</v>
      </c>
      <c r="BZ5" s="7" t="s">
        <v>182</v>
      </c>
      <c r="CA5" s="7" t="s">
        <v>183</v>
      </c>
      <c r="CB5" s="7" t="s">
        <v>184</v>
      </c>
      <c r="CC5" s="7" t="s">
        <v>185</v>
      </c>
      <c r="CD5" s="7" t="s">
        <v>186</v>
      </c>
      <c r="CE5" s="7" t="s">
        <v>191</v>
      </c>
      <c r="CF5" s="7" t="s">
        <v>23</v>
      </c>
      <c r="CG5" s="7" t="s">
        <v>182</v>
      </c>
      <c r="CH5" s="7" t="s">
        <v>183</v>
      </c>
      <c r="CI5" s="7" t="s">
        <v>184</v>
      </c>
      <c r="CJ5" s="7" t="s">
        <v>185</v>
      </c>
      <c r="CK5" s="7" t="s">
        <v>186</v>
      </c>
      <c r="CL5" s="7" t="s">
        <v>187</v>
      </c>
      <c r="CM5" s="7"/>
      <c r="CN5" s="7"/>
      <c r="CO5" s="7"/>
      <c r="CP5" s="7"/>
      <c r="CQ5" s="7"/>
      <c r="CR5" s="7"/>
      <c r="CS5" s="7"/>
      <c r="CT5" s="7" t="s">
        <v>23</v>
      </c>
      <c r="CU5" s="7" t="s">
        <v>182</v>
      </c>
      <c r="CV5" s="7" t="s">
        <v>183</v>
      </c>
      <c r="CW5" s="7" t="s">
        <v>190</v>
      </c>
      <c r="CX5" s="7" t="s">
        <v>185</v>
      </c>
      <c r="CY5" s="7" t="s">
        <v>186</v>
      </c>
      <c r="CZ5" s="7" t="s">
        <v>187</v>
      </c>
      <c r="DA5" s="7" t="s">
        <v>23</v>
      </c>
      <c r="DB5" s="7" t="s">
        <v>182</v>
      </c>
      <c r="DC5" s="7" t="s">
        <v>183</v>
      </c>
      <c r="DD5" s="7" t="s">
        <v>184</v>
      </c>
      <c r="DE5" s="7" t="s">
        <v>185</v>
      </c>
      <c r="DF5" s="7" t="s">
        <v>194</v>
      </c>
      <c r="DG5" s="7" t="s">
        <v>187</v>
      </c>
      <c r="DH5" s="9"/>
      <c r="DI5" s="11"/>
      <c r="DJ5" s="11"/>
      <c r="DK5" s="11"/>
      <c r="DL5" s="11"/>
      <c r="DM5" s="11"/>
    </row>
    <row r="6" spans="1:117" s="12" customFormat="1" ht="13.5" customHeight="1">
      <c r="A6" s="7"/>
      <c r="B6" s="7"/>
      <c r="C6" s="8"/>
      <c r="D6" s="7" t="s">
        <v>51</v>
      </c>
      <c r="E6" s="7" t="s">
        <v>54</v>
      </c>
      <c r="F6" s="7" t="s">
        <v>54</v>
      </c>
      <c r="G6" s="7" t="s">
        <v>51</v>
      </c>
      <c r="H6" s="7" t="s">
        <v>51</v>
      </c>
      <c r="I6" s="7" t="s">
        <v>54</v>
      </c>
      <c r="J6" s="7" t="s">
        <v>51</v>
      </c>
      <c r="K6" s="7" t="s">
        <v>54</v>
      </c>
      <c r="L6" s="7" t="s">
        <v>51</v>
      </c>
      <c r="M6" s="7" t="s">
        <v>54</v>
      </c>
      <c r="N6" s="7" t="s">
        <v>51</v>
      </c>
      <c r="O6" s="7" t="s">
        <v>54</v>
      </c>
      <c r="P6" s="7" t="s">
        <v>54</v>
      </c>
      <c r="Q6" s="7" t="s">
        <v>54</v>
      </c>
      <c r="R6" s="7" t="s">
        <v>54</v>
      </c>
      <c r="S6" s="7" t="s">
        <v>51</v>
      </c>
      <c r="T6" s="7" t="s">
        <v>51</v>
      </c>
      <c r="U6" s="7" t="s">
        <v>51</v>
      </c>
      <c r="V6" s="7" t="s">
        <v>54</v>
      </c>
      <c r="W6" s="7" t="s">
        <v>54</v>
      </c>
      <c r="X6" s="7" t="s">
        <v>54</v>
      </c>
      <c r="Y6" s="7" t="s">
        <v>54</v>
      </c>
      <c r="Z6" s="7" t="s">
        <v>54</v>
      </c>
      <c r="AA6" s="7" t="s">
        <v>54</v>
      </c>
      <c r="AB6" s="7" t="s">
        <v>54</v>
      </c>
      <c r="AC6" s="7" t="s">
        <v>54</v>
      </c>
      <c r="AD6" s="7" t="s">
        <v>54</v>
      </c>
      <c r="AE6" s="7" t="s">
        <v>54</v>
      </c>
      <c r="AF6" s="7" t="s">
        <v>54</v>
      </c>
      <c r="AG6" s="7" t="s">
        <v>54</v>
      </c>
      <c r="AH6" s="7" t="s">
        <v>54</v>
      </c>
      <c r="AI6" s="7" t="s">
        <v>51</v>
      </c>
      <c r="AJ6" s="7" t="s">
        <v>54</v>
      </c>
      <c r="AK6" s="7" t="s">
        <v>54</v>
      </c>
      <c r="AL6" s="7" t="s">
        <v>54</v>
      </c>
      <c r="AM6" s="7" t="s">
        <v>54</v>
      </c>
      <c r="AN6" s="7" t="s">
        <v>54</v>
      </c>
      <c r="AO6" s="7" t="s">
        <v>54</v>
      </c>
      <c r="AP6" s="7" t="s">
        <v>54</v>
      </c>
      <c r="AQ6" s="7" t="s">
        <v>54</v>
      </c>
      <c r="AR6" s="7" t="s">
        <v>54</v>
      </c>
      <c r="AS6" s="7" t="s">
        <v>54</v>
      </c>
      <c r="AT6" s="7" t="s">
        <v>54</v>
      </c>
      <c r="AU6" s="7" t="s">
        <v>54</v>
      </c>
      <c r="AV6" s="7" t="s">
        <v>54</v>
      </c>
      <c r="AW6" s="7" t="s">
        <v>54</v>
      </c>
      <c r="AX6" s="7" t="s">
        <v>54</v>
      </c>
      <c r="AY6" s="7" t="s">
        <v>54</v>
      </c>
      <c r="AZ6" s="7" t="s">
        <v>51</v>
      </c>
      <c r="BA6" s="7" t="s">
        <v>54</v>
      </c>
      <c r="BB6" s="7" t="s">
        <v>54</v>
      </c>
      <c r="BC6" s="7" t="s">
        <v>54</v>
      </c>
      <c r="BD6" s="7" t="s">
        <v>54</v>
      </c>
      <c r="BE6" s="7" t="s">
        <v>54</v>
      </c>
      <c r="BF6" s="7" t="s">
        <v>54</v>
      </c>
      <c r="BG6" s="7" t="s">
        <v>51</v>
      </c>
      <c r="BH6" s="7" t="s">
        <v>54</v>
      </c>
      <c r="BI6" s="7" t="s">
        <v>54</v>
      </c>
      <c r="BJ6" s="7" t="s">
        <v>54</v>
      </c>
      <c r="BK6" s="7" t="s">
        <v>51</v>
      </c>
      <c r="BL6" s="7" t="s">
        <v>54</v>
      </c>
      <c r="BM6" s="7" t="s">
        <v>54</v>
      </c>
      <c r="BN6" s="7" t="s">
        <v>54</v>
      </c>
      <c r="BO6" s="7" t="s">
        <v>54</v>
      </c>
      <c r="BP6" s="7" t="s">
        <v>54</v>
      </c>
      <c r="BQ6" s="7" t="s">
        <v>54</v>
      </c>
      <c r="BR6" s="7" t="s">
        <v>54</v>
      </c>
      <c r="BS6" s="7" t="s">
        <v>54</v>
      </c>
      <c r="BT6" s="7" t="s">
        <v>54</v>
      </c>
      <c r="BU6" s="7" t="s">
        <v>54</v>
      </c>
      <c r="BV6" s="7" t="s">
        <v>54</v>
      </c>
      <c r="BW6" s="7" t="s">
        <v>54</v>
      </c>
      <c r="BX6" s="7" t="s">
        <v>54</v>
      </c>
      <c r="BY6" s="7" t="s">
        <v>54</v>
      </c>
      <c r="BZ6" s="7" t="s">
        <v>54</v>
      </c>
      <c r="CA6" s="7" t="s">
        <v>54</v>
      </c>
      <c r="CB6" s="7" t="s">
        <v>54</v>
      </c>
      <c r="CC6" s="7" t="s">
        <v>54</v>
      </c>
      <c r="CD6" s="7" t="s">
        <v>54</v>
      </c>
      <c r="CE6" s="7" t="s">
        <v>54</v>
      </c>
      <c r="CF6" s="7" t="s">
        <v>54</v>
      </c>
      <c r="CG6" s="7" t="s">
        <v>51</v>
      </c>
      <c r="CH6" s="7" t="s">
        <v>54</v>
      </c>
      <c r="CI6" s="7" t="s">
        <v>51</v>
      </c>
      <c r="CJ6" s="7" t="s">
        <v>54</v>
      </c>
      <c r="CK6" s="7" t="s">
        <v>54</v>
      </c>
      <c r="CL6" s="7" t="s">
        <v>54</v>
      </c>
      <c r="CM6" s="7" t="s">
        <v>54</v>
      </c>
      <c r="CN6" s="7" t="s">
        <v>54</v>
      </c>
      <c r="CO6" s="7" t="s">
        <v>54</v>
      </c>
      <c r="CP6" s="7" t="s">
        <v>54</v>
      </c>
      <c r="CQ6" s="7" t="s">
        <v>54</v>
      </c>
      <c r="CR6" s="7" t="s">
        <v>54</v>
      </c>
      <c r="CS6" s="7" t="s">
        <v>54</v>
      </c>
      <c r="CT6" s="7" t="s">
        <v>54</v>
      </c>
      <c r="CU6" s="7" t="s">
        <v>54</v>
      </c>
      <c r="CV6" s="7" t="s">
        <v>54</v>
      </c>
      <c r="CW6" s="7" t="s">
        <v>51</v>
      </c>
      <c r="CX6" s="7" t="s">
        <v>54</v>
      </c>
      <c r="CY6" s="7" t="s">
        <v>54</v>
      </c>
      <c r="CZ6" s="7" t="s">
        <v>54</v>
      </c>
      <c r="DA6" s="7" t="s">
        <v>54</v>
      </c>
      <c r="DB6" s="7" t="s">
        <v>54</v>
      </c>
      <c r="DC6" s="7" t="s">
        <v>54</v>
      </c>
      <c r="DD6" s="7" t="s">
        <v>54</v>
      </c>
      <c r="DE6" s="7" t="s">
        <v>54</v>
      </c>
      <c r="DF6" s="7" t="s">
        <v>54</v>
      </c>
      <c r="DG6" s="7" t="s">
        <v>54</v>
      </c>
      <c r="DH6" s="7" t="s">
        <v>54</v>
      </c>
      <c r="DI6" s="7" t="s">
        <v>54</v>
      </c>
      <c r="DJ6" s="7" t="s">
        <v>54</v>
      </c>
      <c r="DK6" s="7" t="s">
        <v>54</v>
      </c>
      <c r="DL6" s="7" t="s">
        <v>54</v>
      </c>
      <c r="DM6" s="7" t="s">
        <v>54</v>
      </c>
    </row>
    <row r="7" spans="1:117" ht="13.5" customHeight="1">
      <c r="A7" s="17" t="s">
        <v>57</v>
      </c>
      <c r="B7" s="18" t="s">
        <v>58</v>
      </c>
      <c r="C7" s="17" t="s">
        <v>59</v>
      </c>
      <c r="D7" s="19">
        <v>1672679</v>
      </c>
      <c r="E7" s="19">
        <v>1068039</v>
      </c>
      <c r="F7" s="19">
        <v>25181</v>
      </c>
      <c r="G7" s="19">
        <v>2731</v>
      </c>
      <c r="H7" s="19">
        <v>22140</v>
      </c>
      <c r="I7" s="19">
        <v>310</v>
      </c>
      <c r="J7" s="19">
        <v>671683</v>
      </c>
      <c r="K7" s="19">
        <v>109471</v>
      </c>
      <c r="L7" s="19">
        <v>560758</v>
      </c>
      <c r="M7" s="19">
        <v>1454</v>
      </c>
      <c r="N7" s="19">
        <v>69742</v>
      </c>
      <c r="O7" s="19">
        <v>1825</v>
      </c>
      <c r="P7" s="19">
        <v>66805</v>
      </c>
      <c r="Q7" s="19">
        <v>1112</v>
      </c>
      <c r="R7" s="19">
        <v>267259</v>
      </c>
      <c r="S7" s="19">
        <v>18907</v>
      </c>
      <c r="T7" s="19">
        <v>248132</v>
      </c>
      <c r="U7" s="19">
        <v>220</v>
      </c>
      <c r="V7" s="19">
        <v>7682</v>
      </c>
      <c r="W7" s="19">
        <v>1754</v>
      </c>
      <c r="X7" s="19">
        <v>5928</v>
      </c>
      <c r="Y7" s="19">
        <v>0</v>
      </c>
      <c r="Z7" s="19">
        <v>26492</v>
      </c>
      <c r="AA7" s="19">
        <v>2807</v>
      </c>
      <c r="AB7" s="19">
        <v>20678</v>
      </c>
      <c r="AC7" s="19">
        <v>3007</v>
      </c>
      <c r="AD7" s="19">
        <v>393822</v>
      </c>
      <c r="AE7" s="19">
        <v>9281</v>
      </c>
      <c r="AF7" s="19">
        <v>31</v>
      </c>
      <c r="AG7" s="19">
        <v>0</v>
      </c>
      <c r="AH7" s="19">
        <v>9250</v>
      </c>
      <c r="AI7" s="19">
        <v>329468</v>
      </c>
      <c r="AJ7" s="19">
        <v>652</v>
      </c>
      <c r="AK7" s="19">
        <v>4211</v>
      </c>
      <c r="AL7" s="19">
        <v>324605</v>
      </c>
      <c r="AM7" s="19">
        <v>17224</v>
      </c>
      <c r="AN7" s="19">
        <v>40</v>
      </c>
      <c r="AO7" s="19">
        <v>336</v>
      </c>
      <c r="AP7" s="19">
        <v>16848</v>
      </c>
      <c r="AQ7" s="19">
        <v>21255</v>
      </c>
      <c r="AR7" s="19">
        <v>107</v>
      </c>
      <c r="AS7" s="19">
        <v>2360</v>
      </c>
      <c r="AT7" s="19">
        <v>18788</v>
      </c>
      <c r="AU7" s="19">
        <v>10317</v>
      </c>
      <c r="AV7" s="19">
        <v>2118</v>
      </c>
      <c r="AW7" s="19">
        <v>6677</v>
      </c>
      <c r="AX7" s="19">
        <v>1522</v>
      </c>
      <c r="AY7" s="19">
        <v>6277</v>
      </c>
      <c r="AZ7" s="19">
        <v>47</v>
      </c>
      <c r="BA7" s="19">
        <v>82</v>
      </c>
      <c r="BB7" s="19">
        <v>6148</v>
      </c>
      <c r="BC7" s="19">
        <v>210818</v>
      </c>
      <c r="BD7" s="19">
        <v>87034</v>
      </c>
      <c r="BE7" s="19">
        <v>7799</v>
      </c>
      <c r="BF7" s="19">
        <v>29473</v>
      </c>
      <c r="BG7" s="19">
        <v>29592</v>
      </c>
      <c r="BH7" s="19">
        <v>4995</v>
      </c>
      <c r="BI7" s="19">
        <v>495</v>
      </c>
      <c r="BJ7" s="19">
        <v>14680</v>
      </c>
      <c r="BK7" s="19">
        <v>123784</v>
      </c>
      <c r="BL7" s="19">
        <v>9362</v>
      </c>
      <c r="BM7" s="19">
        <v>54174</v>
      </c>
      <c r="BN7" s="19">
        <v>14768</v>
      </c>
      <c r="BO7" s="19">
        <v>20368</v>
      </c>
      <c r="BP7" s="19">
        <v>3649</v>
      </c>
      <c r="BQ7" s="19">
        <v>21463</v>
      </c>
      <c r="BR7" s="19">
        <v>1155073</v>
      </c>
      <c r="BS7" s="19">
        <v>32980</v>
      </c>
      <c r="BT7" s="19">
        <v>701156</v>
      </c>
      <c r="BU7" s="19">
        <v>99334</v>
      </c>
      <c r="BV7" s="19">
        <v>272254</v>
      </c>
      <c r="BW7" s="19">
        <v>8177</v>
      </c>
      <c r="BX7" s="19">
        <v>41172</v>
      </c>
      <c r="BY7" s="19">
        <v>1068039</v>
      </c>
      <c r="BZ7" s="19">
        <v>25181</v>
      </c>
      <c r="CA7" s="19">
        <v>671683</v>
      </c>
      <c r="CB7" s="19">
        <v>69742</v>
      </c>
      <c r="CC7" s="19">
        <v>267259</v>
      </c>
      <c r="CD7" s="19">
        <v>7682</v>
      </c>
      <c r="CE7" s="19">
        <v>26492</v>
      </c>
      <c r="CF7" s="19">
        <v>87034</v>
      </c>
      <c r="CG7" s="19">
        <v>7799</v>
      </c>
      <c r="CH7" s="19">
        <v>29473</v>
      </c>
      <c r="CI7" s="19">
        <v>29592</v>
      </c>
      <c r="CJ7" s="19">
        <v>4995</v>
      </c>
      <c r="CK7" s="19">
        <v>495</v>
      </c>
      <c r="CL7" s="19">
        <v>14680</v>
      </c>
      <c r="CM7" s="19">
        <v>517606</v>
      </c>
      <c r="CN7" s="19">
        <v>18643</v>
      </c>
      <c r="CO7" s="19">
        <v>383642</v>
      </c>
      <c r="CP7" s="19">
        <v>31992</v>
      </c>
      <c r="CQ7" s="19">
        <v>41623</v>
      </c>
      <c r="CR7" s="19">
        <v>13966</v>
      </c>
      <c r="CS7" s="19">
        <v>27740</v>
      </c>
      <c r="CT7" s="19">
        <v>393822</v>
      </c>
      <c r="CU7" s="19">
        <v>9281</v>
      </c>
      <c r="CV7" s="19">
        <v>329468</v>
      </c>
      <c r="CW7" s="19">
        <v>17224</v>
      </c>
      <c r="CX7" s="19">
        <v>21255</v>
      </c>
      <c r="CY7" s="19">
        <v>10317</v>
      </c>
      <c r="CZ7" s="19">
        <v>6277</v>
      </c>
      <c r="DA7" s="19">
        <v>123784</v>
      </c>
      <c r="DB7" s="19">
        <v>9362</v>
      </c>
      <c r="DC7" s="19">
        <v>54174</v>
      </c>
      <c r="DD7" s="19">
        <v>14768</v>
      </c>
      <c r="DE7" s="19">
        <v>20368</v>
      </c>
      <c r="DF7" s="19">
        <v>3649</v>
      </c>
      <c r="DG7" s="19">
        <v>21463</v>
      </c>
      <c r="DH7" s="19">
        <v>266</v>
      </c>
      <c r="DI7" s="19">
        <v>331.44900000000001</v>
      </c>
      <c r="DJ7" s="19">
        <v>52.448999999999998</v>
      </c>
      <c r="DK7" s="19">
        <v>9</v>
      </c>
      <c r="DL7" s="19">
        <v>0</v>
      </c>
      <c r="DM7" s="19">
        <v>270</v>
      </c>
    </row>
    <row r="8" spans="1:117" ht="13.5" customHeight="1">
      <c r="A8" s="17" t="s">
        <v>60</v>
      </c>
      <c r="B8" s="18" t="s">
        <v>61</v>
      </c>
      <c r="C8" s="17" t="s">
        <v>59</v>
      </c>
      <c r="D8" s="19">
        <v>446995</v>
      </c>
      <c r="E8" s="19">
        <v>286300</v>
      </c>
      <c r="F8" s="19">
        <v>0</v>
      </c>
      <c r="G8" s="19">
        <v>0</v>
      </c>
      <c r="H8" s="19">
        <v>0</v>
      </c>
      <c r="I8" s="19">
        <v>0</v>
      </c>
      <c r="J8" s="19">
        <v>234674</v>
      </c>
      <c r="K8" s="19">
        <v>2688</v>
      </c>
      <c r="L8" s="19">
        <v>231869</v>
      </c>
      <c r="M8" s="19">
        <v>117</v>
      </c>
      <c r="N8" s="19">
        <v>13999</v>
      </c>
      <c r="O8" s="19">
        <v>20</v>
      </c>
      <c r="P8" s="19">
        <v>13957</v>
      </c>
      <c r="Q8" s="19">
        <v>22</v>
      </c>
      <c r="R8" s="19">
        <v>32275</v>
      </c>
      <c r="S8" s="19">
        <v>643</v>
      </c>
      <c r="T8" s="19">
        <v>31632</v>
      </c>
      <c r="U8" s="19">
        <v>0</v>
      </c>
      <c r="V8" s="19">
        <v>85</v>
      </c>
      <c r="W8" s="19">
        <v>61</v>
      </c>
      <c r="X8" s="19">
        <v>24</v>
      </c>
      <c r="Y8" s="19">
        <v>0</v>
      </c>
      <c r="Z8" s="19">
        <v>5267</v>
      </c>
      <c r="AA8" s="19">
        <v>62</v>
      </c>
      <c r="AB8" s="19">
        <v>5177</v>
      </c>
      <c r="AC8" s="19">
        <v>28</v>
      </c>
      <c r="AD8" s="19">
        <v>123177</v>
      </c>
      <c r="AE8" s="19">
        <v>0</v>
      </c>
      <c r="AF8" s="19">
        <v>0</v>
      </c>
      <c r="AG8" s="19">
        <v>0</v>
      </c>
      <c r="AH8" s="19">
        <v>0</v>
      </c>
      <c r="AI8" s="19">
        <v>112746</v>
      </c>
      <c r="AJ8" s="19">
        <v>359</v>
      </c>
      <c r="AK8" s="19">
        <v>3100</v>
      </c>
      <c r="AL8" s="19">
        <v>109287</v>
      </c>
      <c r="AM8" s="19">
        <v>4694</v>
      </c>
      <c r="AN8" s="19">
        <v>100</v>
      </c>
      <c r="AO8" s="19">
        <v>8</v>
      </c>
      <c r="AP8" s="19">
        <v>4586</v>
      </c>
      <c r="AQ8" s="19">
        <v>4116</v>
      </c>
      <c r="AR8" s="19">
        <v>44</v>
      </c>
      <c r="AS8" s="19">
        <v>633</v>
      </c>
      <c r="AT8" s="19">
        <v>3439</v>
      </c>
      <c r="AU8" s="19">
        <v>0</v>
      </c>
      <c r="AV8" s="19">
        <v>0</v>
      </c>
      <c r="AW8" s="19">
        <v>0</v>
      </c>
      <c r="AX8" s="19">
        <v>0</v>
      </c>
      <c r="AY8" s="19">
        <v>1621</v>
      </c>
      <c r="AZ8" s="19">
        <v>0</v>
      </c>
      <c r="BA8" s="19">
        <v>0</v>
      </c>
      <c r="BB8" s="19">
        <v>1621</v>
      </c>
      <c r="BC8" s="19">
        <v>37518</v>
      </c>
      <c r="BD8" s="19">
        <v>18911</v>
      </c>
      <c r="BE8" s="19">
        <v>0</v>
      </c>
      <c r="BF8" s="19">
        <v>8841</v>
      </c>
      <c r="BG8" s="19">
        <v>4692</v>
      </c>
      <c r="BH8" s="19">
        <v>423</v>
      </c>
      <c r="BI8" s="19">
        <v>4</v>
      </c>
      <c r="BJ8" s="19">
        <v>4951</v>
      </c>
      <c r="BK8" s="19">
        <v>18607</v>
      </c>
      <c r="BL8" s="19">
        <v>0</v>
      </c>
      <c r="BM8" s="19">
        <v>12540</v>
      </c>
      <c r="BN8" s="19">
        <v>4364</v>
      </c>
      <c r="BO8" s="19">
        <v>850</v>
      </c>
      <c r="BP8" s="19">
        <v>31</v>
      </c>
      <c r="BQ8" s="19">
        <v>822</v>
      </c>
      <c r="BR8" s="19">
        <v>305211</v>
      </c>
      <c r="BS8" s="19">
        <v>0</v>
      </c>
      <c r="BT8" s="19">
        <v>243515</v>
      </c>
      <c r="BU8" s="19">
        <v>18691</v>
      </c>
      <c r="BV8" s="19">
        <v>32698</v>
      </c>
      <c r="BW8" s="19">
        <v>89</v>
      </c>
      <c r="BX8" s="19">
        <v>10218</v>
      </c>
      <c r="BY8" s="19">
        <v>286300</v>
      </c>
      <c r="BZ8" s="19">
        <v>0</v>
      </c>
      <c r="CA8" s="19">
        <v>234674</v>
      </c>
      <c r="CB8" s="19">
        <v>13999</v>
      </c>
      <c r="CC8" s="19">
        <v>32275</v>
      </c>
      <c r="CD8" s="19">
        <v>85</v>
      </c>
      <c r="CE8" s="19">
        <v>5267</v>
      </c>
      <c r="CF8" s="19">
        <v>18911</v>
      </c>
      <c r="CG8" s="19">
        <v>0</v>
      </c>
      <c r="CH8" s="19">
        <v>8841</v>
      </c>
      <c r="CI8" s="19">
        <v>4692</v>
      </c>
      <c r="CJ8" s="19">
        <v>423</v>
      </c>
      <c r="CK8" s="19">
        <v>4</v>
      </c>
      <c r="CL8" s="19">
        <v>4951</v>
      </c>
      <c r="CM8" s="19">
        <v>141784</v>
      </c>
      <c r="CN8" s="19">
        <v>0</v>
      </c>
      <c r="CO8" s="19">
        <v>125286</v>
      </c>
      <c r="CP8" s="19">
        <v>9058</v>
      </c>
      <c r="CQ8" s="19">
        <v>4966</v>
      </c>
      <c r="CR8" s="19">
        <v>31</v>
      </c>
      <c r="CS8" s="19">
        <v>2443</v>
      </c>
      <c r="CT8" s="19">
        <v>123177</v>
      </c>
      <c r="CU8" s="19">
        <v>0</v>
      </c>
      <c r="CV8" s="19">
        <v>112746</v>
      </c>
      <c r="CW8" s="19">
        <v>4694</v>
      </c>
      <c r="CX8" s="19">
        <v>4116</v>
      </c>
      <c r="CY8" s="19">
        <v>0</v>
      </c>
      <c r="CZ8" s="19">
        <v>1621</v>
      </c>
      <c r="DA8" s="19">
        <v>18607</v>
      </c>
      <c r="DB8" s="19">
        <v>0</v>
      </c>
      <c r="DC8" s="19">
        <v>12540</v>
      </c>
      <c r="DD8" s="19">
        <v>4364</v>
      </c>
      <c r="DE8" s="19">
        <v>850</v>
      </c>
      <c r="DF8" s="19">
        <v>31</v>
      </c>
      <c r="DG8" s="19">
        <v>822</v>
      </c>
      <c r="DH8" s="19">
        <v>0</v>
      </c>
      <c r="DI8" s="19">
        <v>20</v>
      </c>
      <c r="DJ8" s="19">
        <v>4</v>
      </c>
      <c r="DK8" s="19">
        <v>2</v>
      </c>
      <c r="DL8" s="19">
        <v>0</v>
      </c>
      <c r="DM8" s="19">
        <v>14</v>
      </c>
    </row>
    <row r="9" spans="1:117" ht="13.5" customHeight="1">
      <c r="A9" s="17" t="s">
        <v>62</v>
      </c>
      <c r="B9" s="18" t="s">
        <v>63</v>
      </c>
      <c r="C9" s="17" t="s">
        <v>59</v>
      </c>
      <c r="D9" s="19">
        <v>387452</v>
      </c>
      <c r="E9" s="19">
        <v>247100</v>
      </c>
      <c r="F9" s="19">
        <v>5730</v>
      </c>
      <c r="G9" s="19">
        <v>0</v>
      </c>
      <c r="H9" s="19">
        <v>5730</v>
      </c>
      <c r="I9" s="19">
        <v>0</v>
      </c>
      <c r="J9" s="19">
        <v>190940</v>
      </c>
      <c r="K9" s="19">
        <v>3169</v>
      </c>
      <c r="L9" s="19">
        <v>187309</v>
      </c>
      <c r="M9" s="19">
        <v>462</v>
      </c>
      <c r="N9" s="19">
        <v>9801</v>
      </c>
      <c r="O9" s="19">
        <v>99</v>
      </c>
      <c r="P9" s="19">
        <v>9665</v>
      </c>
      <c r="Q9" s="19">
        <v>37</v>
      </c>
      <c r="R9" s="19">
        <v>37169</v>
      </c>
      <c r="S9" s="19">
        <v>748</v>
      </c>
      <c r="T9" s="19">
        <v>36388</v>
      </c>
      <c r="U9" s="19">
        <v>33</v>
      </c>
      <c r="V9" s="19">
        <v>24</v>
      </c>
      <c r="W9" s="19">
        <v>0</v>
      </c>
      <c r="X9" s="19">
        <v>16</v>
      </c>
      <c r="Y9" s="19">
        <v>8</v>
      </c>
      <c r="Z9" s="19">
        <v>3436</v>
      </c>
      <c r="AA9" s="19">
        <v>322</v>
      </c>
      <c r="AB9" s="19">
        <v>2677</v>
      </c>
      <c r="AC9" s="19">
        <v>437</v>
      </c>
      <c r="AD9" s="19">
        <v>103713</v>
      </c>
      <c r="AE9" s="19">
        <v>3948</v>
      </c>
      <c r="AF9" s="19">
        <v>81</v>
      </c>
      <c r="AG9" s="19">
        <v>0</v>
      </c>
      <c r="AH9" s="19">
        <v>3867</v>
      </c>
      <c r="AI9" s="19">
        <v>95626</v>
      </c>
      <c r="AJ9" s="19">
        <v>52</v>
      </c>
      <c r="AK9" s="19">
        <v>48</v>
      </c>
      <c r="AL9" s="19">
        <v>95526</v>
      </c>
      <c r="AM9" s="19">
        <v>2184</v>
      </c>
      <c r="AN9" s="19">
        <v>0</v>
      </c>
      <c r="AO9" s="19">
        <v>1</v>
      </c>
      <c r="AP9" s="19">
        <v>2183</v>
      </c>
      <c r="AQ9" s="19">
        <v>1323</v>
      </c>
      <c r="AR9" s="19">
        <v>112</v>
      </c>
      <c r="AS9" s="19">
        <v>11</v>
      </c>
      <c r="AT9" s="19">
        <v>1200</v>
      </c>
      <c r="AU9" s="19">
        <v>0</v>
      </c>
      <c r="AV9" s="19">
        <v>0</v>
      </c>
      <c r="AW9" s="19">
        <v>0</v>
      </c>
      <c r="AX9" s="19">
        <v>0</v>
      </c>
      <c r="AY9" s="19">
        <v>632</v>
      </c>
      <c r="AZ9" s="19">
        <v>0</v>
      </c>
      <c r="BA9" s="19">
        <v>0</v>
      </c>
      <c r="BB9" s="19">
        <v>632</v>
      </c>
      <c r="BC9" s="19">
        <v>36639</v>
      </c>
      <c r="BD9" s="19">
        <v>20478</v>
      </c>
      <c r="BE9" s="19">
        <v>0</v>
      </c>
      <c r="BF9" s="19">
        <v>12251</v>
      </c>
      <c r="BG9" s="19">
        <v>2855</v>
      </c>
      <c r="BH9" s="19">
        <v>1610</v>
      </c>
      <c r="BI9" s="19">
        <v>101</v>
      </c>
      <c r="BJ9" s="19">
        <v>3661</v>
      </c>
      <c r="BK9" s="19">
        <v>16161</v>
      </c>
      <c r="BL9" s="19">
        <v>0</v>
      </c>
      <c r="BM9" s="19">
        <v>12604</v>
      </c>
      <c r="BN9" s="19">
        <v>2041</v>
      </c>
      <c r="BO9" s="19">
        <v>669</v>
      </c>
      <c r="BP9" s="19">
        <v>8</v>
      </c>
      <c r="BQ9" s="19">
        <v>839</v>
      </c>
      <c r="BR9" s="19">
        <v>267578</v>
      </c>
      <c r="BS9" s="19">
        <v>5730</v>
      </c>
      <c r="BT9" s="19">
        <v>203191</v>
      </c>
      <c r="BU9" s="19">
        <v>12656</v>
      </c>
      <c r="BV9" s="19">
        <v>38779</v>
      </c>
      <c r="BW9" s="19">
        <v>125</v>
      </c>
      <c r="BX9" s="19">
        <v>7097</v>
      </c>
      <c r="BY9" s="19">
        <v>247100</v>
      </c>
      <c r="BZ9" s="19">
        <v>5730</v>
      </c>
      <c r="CA9" s="19">
        <v>190940</v>
      </c>
      <c r="CB9" s="19">
        <v>9801</v>
      </c>
      <c r="CC9" s="19">
        <v>37169</v>
      </c>
      <c r="CD9" s="19">
        <v>24</v>
      </c>
      <c r="CE9" s="19">
        <v>3436</v>
      </c>
      <c r="CF9" s="19">
        <v>20478</v>
      </c>
      <c r="CG9" s="19">
        <v>0</v>
      </c>
      <c r="CH9" s="19">
        <v>12251</v>
      </c>
      <c r="CI9" s="19">
        <v>2855</v>
      </c>
      <c r="CJ9" s="19">
        <v>1610</v>
      </c>
      <c r="CK9" s="19">
        <v>101</v>
      </c>
      <c r="CL9" s="19">
        <v>3661</v>
      </c>
      <c r="CM9" s="19">
        <v>119874</v>
      </c>
      <c r="CN9" s="19">
        <v>3948</v>
      </c>
      <c r="CO9" s="19">
        <v>108230</v>
      </c>
      <c r="CP9" s="19">
        <v>4225</v>
      </c>
      <c r="CQ9" s="19">
        <v>1992</v>
      </c>
      <c r="CR9" s="19">
        <v>8</v>
      </c>
      <c r="CS9" s="19">
        <v>1471</v>
      </c>
      <c r="CT9" s="19">
        <v>103713</v>
      </c>
      <c r="CU9" s="19">
        <v>3948</v>
      </c>
      <c r="CV9" s="19">
        <v>95626</v>
      </c>
      <c r="CW9" s="19">
        <v>2184</v>
      </c>
      <c r="CX9" s="19">
        <v>1323</v>
      </c>
      <c r="CY9" s="19">
        <v>0</v>
      </c>
      <c r="CZ9" s="19">
        <v>632</v>
      </c>
      <c r="DA9" s="19">
        <v>16161</v>
      </c>
      <c r="DB9" s="19">
        <v>0</v>
      </c>
      <c r="DC9" s="19">
        <v>12604</v>
      </c>
      <c r="DD9" s="19">
        <v>2041</v>
      </c>
      <c r="DE9" s="19">
        <v>669</v>
      </c>
      <c r="DF9" s="19">
        <v>8</v>
      </c>
      <c r="DG9" s="19">
        <v>839</v>
      </c>
      <c r="DH9" s="19">
        <v>0</v>
      </c>
      <c r="DI9" s="19">
        <v>9</v>
      </c>
      <c r="DJ9" s="19">
        <v>5</v>
      </c>
      <c r="DK9" s="19">
        <v>0</v>
      </c>
      <c r="DL9" s="19">
        <v>4</v>
      </c>
      <c r="DM9" s="19">
        <v>0</v>
      </c>
    </row>
    <row r="10" spans="1:117" ht="13.5" customHeight="1">
      <c r="A10" s="17" t="s">
        <v>64</v>
      </c>
      <c r="B10" s="18" t="s">
        <v>65</v>
      </c>
      <c r="C10" s="17" t="s">
        <v>59</v>
      </c>
      <c r="D10" s="19">
        <v>780243</v>
      </c>
      <c r="E10" s="19">
        <v>528616</v>
      </c>
      <c r="F10" s="19">
        <v>0</v>
      </c>
      <c r="G10" s="19">
        <v>0</v>
      </c>
      <c r="H10" s="19">
        <v>0</v>
      </c>
      <c r="I10" s="19">
        <v>0</v>
      </c>
      <c r="J10" s="19">
        <v>424158</v>
      </c>
      <c r="K10" s="19">
        <v>725</v>
      </c>
      <c r="L10" s="19">
        <v>423433</v>
      </c>
      <c r="M10" s="19">
        <v>0</v>
      </c>
      <c r="N10" s="19">
        <v>7622</v>
      </c>
      <c r="O10" s="19">
        <v>120</v>
      </c>
      <c r="P10" s="19">
        <v>7502</v>
      </c>
      <c r="Q10" s="19">
        <v>0</v>
      </c>
      <c r="R10" s="19">
        <v>89014</v>
      </c>
      <c r="S10" s="19">
        <v>344</v>
      </c>
      <c r="T10" s="19">
        <v>88628</v>
      </c>
      <c r="U10" s="19">
        <v>42</v>
      </c>
      <c r="V10" s="19">
        <v>381</v>
      </c>
      <c r="W10" s="19">
        <v>0</v>
      </c>
      <c r="X10" s="19">
        <v>381</v>
      </c>
      <c r="Y10" s="19">
        <v>0</v>
      </c>
      <c r="Z10" s="19">
        <v>7441</v>
      </c>
      <c r="AA10" s="19">
        <v>952</v>
      </c>
      <c r="AB10" s="19">
        <v>6474</v>
      </c>
      <c r="AC10" s="19">
        <v>15</v>
      </c>
      <c r="AD10" s="19">
        <v>183267</v>
      </c>
      <c r="AE10" s="19">
        <v>0</v>
      </c>
      <c r="AF10" s="19">
        <v>0</v>
      </c>
      <c r="AG10" s="19">
        <v>0</v>
      </c>
      <c r="AH10" s="19">
        <v>0</v>
      </c>
      <c r="AI10" s="19">
        <v>172422</v>
      </c>
      <c r="AJ10" s="19">
        <v>0</v>
      </c>
      <c r="AK10" s="19">
        <v>184</v>
      </c>
      <c r="AL10" s="19">
        <v>172238</v>
      </c>
      <c r="AM10" s="19">
        <v>3248</v>
      </c>
      <c r="AN10" s="19">
        <v>0</v>
      </c>
      <c r="AO10" s="19">
        <v>3</v>
      </c>
      <c r="AP10" s="19">
        <v>3245</v>
      </c>
      <c r="AQ10" s="19">
        <v>3886</v>
      </c>
      <c r="AR10" s="19">
        <v>0</v>
      </c>
      <c r="AS10" s="19">
        <v>44</v>
      </c>
      <c r="AT10" s="19">
        <v>3842</v>
      </c>
      <c r="AU10" s="19">
        <v>58</v>
      </c>
      <c r="AV10" s="19">
        <v>0</v>
      </c>
      <c r="AW10" s="19">
        <v>0</v>
      </c>
      <c r="AX10" s="19">
        <v>58</v>
      </c>
      <c r="AY10" s="19">
        <v>3653</v>
      </c>
      <c r="AZ10" s="19">
        <v>0</v>
      </c>
      <c r="BA10" s="19">
        <v>0</v>
      </c>
      <c r="BB10" s="19">
        <v>3653</v>
      </c>
      <c r="BC10" s="19">
        <v>68360</v>
      </c>
      <c r="BD10" s="19">
        <v>15235</v>
      </c>
      <c r="BE10" s="19">
        <v>0</v>
      </c>
      <c r="BF10" s="19">
        <v>5744</v>
      </c>
      <c r="BG10" s="19">
        <v>1166</v>
      </c>
      <c r="BH10" s="19">
        <v>1751</v>
      </c>
      <c r="BI10" s="19">
        <v>69</v>
      </c>
      <c r="BJ10" s="19">
        <v>6505</v>
      </c>
      <c r="BK10" s="19">
        <v>53125</v>
      </c>
      <c r="BL10" s="19">
        <v>0</v>
      </c>
      <c r="BM10" s="19">
        <v>25313</v>
      </c>
      <c r="BN10" s="19">
        <v>1955</v>
      </c>
      <c r="BO10" s="19">
        <v>797</v>
      </c>
      <c r="BP10" s="19">
        <v>29</v>
      </c>
      <c r="BQ10" s="19">
        <v>25031</v>
      </c>
      <c r="BR10" s="19">
        <v>543851</v>
      </c>
      <c r="BS10" s="19">
        <v>0</v>
      </c>
      <c r="BT10" s="19">
        <v>429902</v>
      </c>
      <c r="BU10" s="19">
        <v>8788</v>
      </c>
      <c r="BV10" s="19">
        <v>90765</v>
      </c>
      <c r="BW10" s="19">
        <v>450</v>
      </c>
      <c r="BX10" s="19">
        <v>13946</v>
      </c>
      <c r="BY10" s="19">
        <v>528616</v>
      </c>
      <c r="BZ10" s="19">
        <v>0</v>
      </c>
      <c r="CA10" s="19">
        <v>424158</v>
      </c>
      <c r="CB10" s="19">
        <v>7622</v>
      </c>
      <c r="CC10" s="19">
        <v>89014</v>
      </c>
      <c r="CD10" s="19">
        <v>381</v>
      </c>
      <c r="CE10" s="19">
        <v>7441</v>
      </c>
      <c r="CF10" s="19">
        <v>15235</v>
      </c>
      <c r="CG10" s="19">
        <v>0</v>
      </c>
      <c r="CH10" s="19">
        <v>5744</v>
      </c>
      <c r="CI10" s="19">
        <v>1166</v>
      </c>
      <c r="CJ10" s="19">
        <v>1751</v>
      </c>
      <c r="CK10" s="19">
        <v>69</v>
      </c>
      <c r="CL10" s="19">
        <v>6505</v>
      </c>
      <c r="CM10" s="19">
        <v>236392</v>
      </c>
      <c r="CN10" s="19">
        <v>0</v>
      </c>
      <c r="CO10" s="19">
        <v>197735</v>
      </c>
      <c r="CP10" s="19">
        <v>5203</v>
      </c>
      <c r="CQ10" s="19">
        <v>4683</v>
      </c>
      <c r="CR10" s="19">
        <v>87</v>
      </c>
      <c r="CS10" s="19">
        <v>28684</v>
      </c>
      <c r="CT10" s="19">
        <v>183267</v>
      </c>
      <c r="CU10" s="19">
        <v>0</v>
      </c>
      <c r="CV10" s="19">
        <v>172422</v>
      </c>
      <c r="CW10" s="19">
        <v>3248</v>
      </c>
      <c r="CX10" s="19">
        <v>3886</v>
      </c>
      <c r="CY10" s="19">
        <v>58</v>
      </c>
      <c r="CZ10" s="19">
        <v>3653</v>
      </c>
      <c r="DA10" s="19">
        <v>53125</v>
      </c>
      <c r="DB10" s="19">
        <v>0</v>
      </c>
      <c r="DC10" s="19">
        <v>25313</v>
      </c>
      <c r="DD10" s="19">
        <v>1955</v>
      </c>
      <c r="DE10" s="19">
        <v>797</v>
      </c>
      <c r="DF10" s="19">
        <v>29</v>
      </c>
      <c r="DG10" s="19">
        <v>25031</v>
      </c>
      <c r="DH10" s="19">
        <v>5</v>
      </c>
      <c r="DI10" s="19">
        <v>258</v>
      </c>
      <c r="DJ10" s="19">
        <v>6</v>
      </c>
      <c r="DK10" s="19">
        <v>18</v>
      </c>
      <c r="DL10" s="19">
        <v>202</v>
      </c>
      <c r="DM10" s="19">
        <v>32</v>
      </c>
    </row>
    <row r="11" spans="1:117" ht="13.5" customHeight="1">
      <c r="A11" s="17" t="s">
        <v>66</v>
      </c>
      <c r="B11" s="18" t="s">
        <v>67</v>
      </c>
      <c r="C11" s="17" t="s">
        <v>59</v>
      </c>
      <c r="D11" s="19">
        <v>342601.08999999997</v>
      </c>
      <c r="E11" s="19">
        <v>220415</v>
      </c>
      <c r="F11" s="19">
        <v>56441</v>
      </c>
      <c r="G11" s="19">
        <v>0</v>
      </c>
      <c r="H11" s="19">
        <v>56441</v>
      </c>
      <c r="I11" s="19">
        <v>0</v>
      </c>
      <c r="J11" s="19">
        <v>126416</v>
      </c>
      <c r="K11" s="19">
        <v>41</v>
      </c>
      <c r="L11" s="19">
        <v>126375</v>
      </c>
      <c r="M11" s="19">
        <v>0</v>
      </c>
      <c r="N11" s="19">
        <v>4393</v>
      </c>
      <c r="O11" s="19">
        <v>29</v>
      </c>
      <c r="P11" s="19">
        <v>4364</v>
      </c>
      <c r="Q11" s="19">
        <v>0</v>
      </c>
      <c r="R11" s="19">
        <v>31360</v>
      </c>
      <c r="S11" s="19">
        <v>30</v>
      </c>
      <c r="T11" s="19">
        <v>30885</v>
      </c>
      <c r="U11" s="19">
        <v>445</v>
      </c>
      <c r="V11" s="19">
        <v>45</v>
      </c>
      <c r="W11" s="19">
        <v>0</v>
      </c>
      <c r="X11" s="19">
        <v>45</v>
      </c>
      <c r="Y11" s="19">
        <v>0</v>
      </c>
      <c r="Z11" s="19">
        <v>1760</v>
      </c>
      <c r="AA11" s="19">
        <v>13</v>
      </c>
      <c r="AB11" s="19">
        <v>1458</v>
      </c>
      <c r="AC11" s="19">
        <v>289</v>
      </c>
      <c r="AD11" s="19">
        <v>91587.09</v>
      </c>
      <c r="AE11" s="19">
        <v>29964</v>
      </c>
      <c r="AF11" s="19">
        <v>0</v>
      </c>
      <c r="AG11" s="19">
        <v>0</v>
      </c>
      <c r="AH11" s="19">
        <v>29964</v>
      </c>
      <c r="AI11" s="19">
        <v>55159.09</v>
      </c>
      <c r="AJ11" s="19">
        <v>425.09000000000003</v>
      </c>
      <c r="AK11" s="19">
        <v>291</v>
      </c>
      <c r="AL11" s="19">
        <v>54443</v>
      </c>
      <c r="AM11" s="19">
        <v>2647</v>
      </c>
      <c r="AN11" s="19">
        <v>32</v>
      </c>
      <c r="AO11" s="19">
        <v>2</v>
      </c>
      <c r="AP11" s="19">
        <v>2613</v>
      </c>
      <c r="AQ11" s="19">
        <v>1879</v>
      </c>
      <c r="AR11" s="19">
        <v>0</v>
      </c>
      <c r="AS11" s="19">
        <v>2</v>
      </c>
      <c r="AT11" s="19">
        <v>1877</v>
      </c>
      <c r="AU11" s="19">
        <v>376</v>
      </c>
      <c r="AV11" s="19">
        <v>0</v>
      </c>
      <c r="AW11" s="19">
        <v>0</v>
      </c>
      <c r="AX11" s="19">
        <v>376</v>
      </c>
      <c r="AY11" s="19">
        <v>1562</v>
      </c>
      <c r="AZ11" s="19">
        <v>183</v>
      </c>
      <c r="BA11" s="19">
        <v>0</v>
      </c>
      <c r="BB11" s="19">
        <v>1379</v>
      </c>
      <c r="BC11" s="19">
        <v>30599</v>
      </c>
      <c r="BD11" s="19">
        <v>13064</v>
      </c>
      <c r="BE11" s="19">
        <v>0</v>
      </c>
      <c r="BF11" s="19">
        <v>6991</v>
      </c>
      <c r="BG11" s="19">
        <v>1218</v>
      </c>
      <c r="BH11" s="19">
        <v>139</v>
      </c>
      <c r="BI11" s="19">
        <v>0</v>
      </c>
      <c r="BJ11" s="19">
        <v>4716</v>
      </c>
      <c r="BK11" s="19">
        <v>17535</v>
      </c>
      <c r="BL11" s="19">
        <v>4319</v>
      </c>
      <c r="BM11" s="19">
        <v>7678</v>
      </c>
      <c r="BN11" s="19">
        <v>1162</v>
      </c>
      <c r="BO11" s="19">
        <v>516</v>
      </c>
      <c r="BP11" s="19">
        <v>332</v>
      </c>
      <c r="BQ11" s="19">
        <v>3528</v>
      </c>
      <c r="BR11" s="19">
        <v>233479</v>
      </c>
      <c r="BS11" s="19">
        <v>56441</v>
      </c>
      <c r="BT11" s="19">
        <v>133407</v>
      </c>
      <c r="BU11" s="19">
        <v>5611</v>
      </c>
      <c r="BV11" s="19">
        <v>31499</v>
      </c>
      <c r="BW11" s="19">
        <v>45</v>
      </c>
      <c r="BX11" s="19">
        <v>6476</v>
      </c>
      <c r="BY11" s="19">
        <v>220415</v>
      </c>
      <c r="BZ11" s="19">
        <v>56441</v>
      </c>
      <c r="CA11" s="19">
        <v>126416</v>
      </c>
      <c r="CB11" s="19">
        <v>4393</v>
      </c>
      <c r="CC11" s="19">
        <v>31360</v>
      </c>
      <c r="CD11" s="19">
        <v>45</v>
      </c>
      <c r="CE11" s="19">
        <v>1760</v>
      </c>
      <c r="CF11" s="19">
        <v>13064</v>
      </c>
      <c r="CG11" s="19">
        <v>0</v>
      </c>
      <c r="CH11" s="19">
        <v>6991</v>
      </c>
      <c r="CI11" s="19">
        <v>1218</v>
      </c>
      <c r="CJ11" s="19">
        <v>139</v>
      </c>
      <c r="CK11" s="19">
        <v>0</v>
      </c>
      <c r="CL11" s="19">
        <v>4716</v>
      </c>
      <c r="CM11" s="19">
        <v>109122.09</v>
      </c>
      <c r="CN11" s="19">
        <v>34283</v>
      </c>
      <c r="CO11" s="19">
        <v>62837.09</v>
      </c>
      <c r="CP11" s="19">
        <v>3809</v>
      </c>
      <c r="CQ11" s="19">
        <v>2395</v>
      </c>
      <c r="CR11" s="19">
        <v>708</v>
      </c>
      <c r="CS11" s="19">
        <v>5090</v>
      </c>
      <c r="CT11" s="19">
        <v>91587.09</v>
      </c>
      <c r="CU11" s="19">
        <v>29964</v>
      </c>
      <c r="CV11" s="19">
        <v>55159.09</v>
      </c>
      <c r="CW11" s="19">
        <v>2647</v>
      </c>
      <c r="CX11" s="19">
        <v>1879</v>
      </c>
      <c r="CY11" s="19">
        <v>376</v>
      </c>
      <c r="CZ11" s="19">
        <v>1562</v>
      </c>
      <c r="DA11" s="19">
        <v>17535</v>
      </c>
      <c r="DB11" s="19">
        <v>4319</v>
      </c>
      <c r="DC11" s="19">
        <v>7678</v>
      </c>
      <c r="DD11" s="19">
        <v>1162</v>
      </c>
      <c r="DE11" s="19">
        <v>516</v>
      </c>
      <c r="DF11" s="19">
        <v>332</v>
      </c>
      <c r="DG11" s="19">
        <v>3528</v>
      </c>
      <c r="DH11" s="19">
        <v>42</v>
      </c>
      <c r="DI11" s="19">
        <v>2</v>
      </c>
      <c r="DJ11" s="19">
        <v>1</v>
      </c>
      <c r="DK11" s="19">
        <v>0</v>
      </c>
      <c r="DL11" s="19">
        <v>0</v>
      </c>
      <c r="DM11" s="19">
        <v>1</v>
      </c>
    </row>
    <row r="12" spans="1:117" ht="13.5" customHeight="1">
      <c r="A12" s="17" t="s">
        <v>68</v>
      </c>
      <c r="B12" s="18" t="s">
        <v>69</v>
      </c>
      <c r="C12" s="17" t="s">
        <v>59</v>
      </c>
      <c r="D12" s="19">
        <v>334166</v>
      </c>
      <c r="E12" s="19">
        <v>218813</v>
      </c>
      <c r="F12" s="19">
        <v>0</v>
      </c>
      <c r="G12" s="19">
        <v>0</v>
      </c>
      <c r="H12" s="19">
        <v>0</v>
      </c>
      <c r="I12" s="19">
        <v>0</v>
      </c>
      <c r="J12" s="19">
        <v>183018</v>
      </c>
      <c r="K12" s="19">
        <v>3</v>
      </c>
      <c r="L12" s="19">
        <v>183015</v>
      </c>
      <c r="M12" s="19">
        <v>0</v>
      </c>
      <c r="N12" s="19">
        <v>9927</v>
      </c>
      <c r="O12" s="19">
        <v>43</v>
      </c>
      <c r="P12" s="19">
        <v>9884</v>
      </c>
      <c r="Q12" s="19">
        <v>0</v>
      </c>
      <c r="R12" s="19">
        <v>24028</v>
      </c>
      <c r="S12" s="19">
        <v>698</v>
      </c>
      <c r="T12" s="19">
        <v>23330</v>
      </c>
      <c r="U12" s="19">
        <v>0</v>
      </c>
      <c r="V12" s="19">
        <v>340</v>
      </c>
      <c r="W12" s="19">
        <v>121</v>
      </c>
      <c r="X12" s="19">
        <v>219</v>
      </c>
      <c r="Y12" s="19">
        <v>0</v>
      </c>
      <c r="Z12" s="19">
        <v>1500</v>
      </c>
      <c r="AA12" s="19">
        <v>3</v>
      </c>
      <c r="AB12" s="19">
        <v>1462</v>
      </c>
      <c r="AC12" s="19">
        <v>35</v>
      </c>
      <c r="AD12" s="19">
        <v>81260</v>
      </c>
      <c r="AE12" s="19">
        <v>0</v>
      </c>
      <c r="AF12" s="19">
        <v>0</v>
      </c>
      <c r="AG12" s="19">
        <v>0</v>
      </c>
      <c r="AH12" s="19">
        <v>0</v>
      </c>
      <c r="AI12" s="19">
        <v>79282</v>
      </c>
      <c r="AJ12" s="19">
        <v>463</v>
      </c>
      <c r="AK12" s="19">
        <v>478</v>
      </c>
      <c r="AL12" s="19">
        <v>78341</v>
      </c>
      <c r="AM12" s="19">
        <v>773</v>
      </c>
      <c r="AN12" s="19">
        <v>0</v>
      </c>
      <c r="AO12" s="19">
        <v>0</v>
      </c>
      <c r="AP12" s="19">
        <v>773</v>
      </c>
      <c r="AQ12" s="19">
        <v>800</v>
      </c>
      <c r="AR12" s="19">
        <v>0</v>
      </c>
      <c r="AS12" s="19">
        <v>13</v>
      </c>
      <c r="AT12" s="19">
        <v>787</v>
      </c>
      <c r="AU12" s="19">
        <v>18</v>
      </c>
      <c r="AV12" s="19">
        <v>0</v>
      </c>
      <c r="AW12" s="19">
        <v>0</v>
      </c>
      <c r="AX12" s="19">
        <v>18</v>
      </c>
      <c r="AY12" s="19">
        <v>387</v>
      </c>
      <c r="AZ12" s="19">
        <v>0</v>
      </c>
      <c r="BA12" s="19">
        <v>0</v>
      </c>
      <c r="BB12" s="19">
        <v>387</v>
      </c>
      <c r="BC12" s="19">
        <v>34093</v>
      </c>
      <c r="BD12" s="19">
        <v>14714</v>
      </c>
      <c r="BE12" s="19">
        <v>0</v>
      </c>
      <c r="BF12" s="19">
        <v>7345</v>
      </c>
      <c r="BG12" s="19">
        <v>2836</v>
      </c>
      <c r="BH12" s="19">
        <v>1186</v>
      </c>
      <c r="BI12" s="19">
        <v>8</v>
      </c>
      <c r="BJ12" s="19">
        <v>3339</v>
      </c>
      <c r="BK12" s="19">
        <v>19379</v>
      </c>
      <c r="BL12" s="19">
        <v>0</v>
      </c>
      <c r="BM12" s="19">
        <v>15219</v>
      </c>
      <c r="BN12" s="19">
        <v>1531</v>
      </c>
      <c r="BO12" s="19">
        <v>471</v>
      </c>
      <c r="BP12" s="19">
        <v>460</v>
      </c>
      <c r="BQ12" s="19">
        <v>1698</v>
      </c>
      <c r="BR12" s="19">
        <v>233527</v>
      </c>
      <c r="BS12" s="19">
        <v>0</v>
      </c>
      <c r="BT12" s="19">
        <v>190363</v>
      </c>
      <c r="BU12" s="19">
        <v>12763</v>
      </c>
      <c r="BV12" s="19">
        <v>25214</v>
      </c>
      <c r="BW12" s="19">
        <v>348</v>
      </c>
      <c r="BX12" s="19">
        <v>4839</v>
      </c>
      <c r="BY12" s="19">
        <v>218813</v>
      </c>
      <c r="BZ12" s="19">
        <v>0</v>
      </c>
      <c r="CA12" s="19">
        <v>183018</v>
      </c>
      <c r="CB12" s="19">
        <v>9927</v>
      </c>
      <c r="CC12" s="19">
        <v>24028</v>
      </c>
      <c r="CD12" s="19">
        <v>340</v>
      </c>
      <c r="CE12" s="19">
        <v>1500</v>
      </c>
      <c r="CF12" s="19">
        <v>14714</v>
      </c>
      <c r="CG12" s="19">
        <v>0</v>
      </c>
      <c r="CH12" s="19">
        <v>7345</v>
      </c>
      <c r="CI12" s="19">
        <v>2836</v>
      </c>
      <c r="CJ12" s="19">
        <v>1186</v>
      </c>
      <c r="CK12" s="19">
        <v>8</v>
      </c>
      <c r="CL12" s="19">
        <v>3339</v>
      </c>
      <c r="CM12" s="19">
        <v>100639</v>
      </c>
      <c r="CN12" s="19">
        <v>0</v>
      </c>
      <c r="CO12" s="19">
        <v>94501</v>
      </c>
      <c r="CP12" s="19">
        <v>2304</v>
      </c>
      <c r="CQ12" s="19">
        <v>1271</v>
      </c>
      <c r="CR12" s="19">
        <v>478</v>
      </c>
      <c r="CS12" s="19">
        <v>2085</v>
      </c>
      <c r="CT12" s="19">
        <v>81260</v>
      </c>
      <c r="CU12" s="19">
        <v>0</v>
      </c>
      <c r="CV12" s="19">
        <v>79282</v>
      </c>
      <c r="CW12" s="19">
        <v>773</v>
      </c>
      <c r="CX12" s="19">
        <v>800</v>
      </c>
      <c r="CY12" s="19">
        <v>18</v>
      </c>
      <c r="CZ12" s="19">
        <v>387</v>
      </c>
      <c r="DA12" s="19">
        <v>19379</v>
      </c>
      <c r="DB12" s="19">
        <v>0</v>
      </c>
      <c r="DC12" s="19">
        <v>15219</v>
      </c>
      <c r="DD12" s="19">
        <v>1531</v>
      </c>
      <c r="DE12" s="19">
        <v>471</v>
      </c>
      <c r="DF12" s="19">
        <v>460</v>
      </c>
      <c r="DG12" s="19">
        <v>1698</v>
      </c>
      <c r="DH12" s="19">
        <v>212</v>
      </c>
      <c r="DI12" s="19">
        <v>5</v>
      </c>
      <c r="DJ12" s="19">
        <v>0</v>
      </c>
      <c r="DK12" s="19">
        <v>0</v>
      </c>
      <c r="DL12" s="19">
        <v>4</v>
      </c>
      <c r="DM12" s="19">
        <v>1</v>
      </c>
    </row>
    <row r="13" spans="1:117" ht="13.5" customHeight="1">
      <c r="A13" s="17" t="s">
        <v>70</v>
      </c>
      <c r="B13" s="18" t="s">
        <v>71</v>
      </c>
      <c r="C13" s="17" t="s">
        <v>59</v>
      </c>
      <c r="D13" s="19">
        <v>677590</v>
      </c>
      <c r="E13" s="19">
        <v>444859</v>
      </c>
      <c r="F13" s="19">
        <v>0</v>
      </c>
      <c r="G13" s="19">
        <v>0</v>
      </c>
      <c r="H13" s="19">
        <v>0</v>
      </c>
      <c r="I13" s="19">
        <v>0</v>
      </c>
      <c r="J13" s="19">
        <v>363342</v>
      </c>
      <c r="K13" s="19">
        <v>2585</v>
      </c>
      <c r="L13" s="19">
        <v>360757</v>
      </c>
      <c r="M13" s="19">
        <v>0</v>
      </c>
      <c r="N13" s="19">
        <v>18530</v>
      </c>
      <c r="O13" s="19">
        <v>1491</v>
      </c>
      <c r="P13" s="19">
        <v>17025</v>
      </c>
      <c r="Q13" s="19">
        <v>14</v>
      </c>
      <c r="R13" s="19">
        <v>56817</v>
      </c>
      <c r="S13" s="19">
        <v>438</v>
      </c>
      <c r="T13" s="19">
        <v>56378</v>
      </c>
      <c r="U13" s="19">
        <v>1</v>
      </c>
      <c r="V13" s="19">
        <v>92</v>
      </c>
      <c r="W13" s="19">
        <v>22</v>
      </c>
      <c r="X13" s="19">
        <v>70</v>
      </c>
      <c r="Y13" s="19">
        <v>0</v>
      </c>
      <c r="Z13" s="19">
        <v>6078</v>
      </c>
      <c r="AA13" s="19">
        <v>419</v>
      </c>
      <c r="AB13" s="19">
        <v>5659</v>
      </c>
      <c r="AC13" s="19">
        <v>0</v>
      </c>
      <c r="AD13" s="19">
        <v>156270</v>
      </c>
      <c r="AE13" s="19">
        <v>0</v>
      </c>
      <c r="AF13" s="19">
        <v>0</v>
      </c>
      <c r="AG13" s="19">
        <v>0</v>
      </c>
      <c r="AH13" s="19">
        <v>0</v>
      </c>
      <c r="AI13" s="19">
        <v>154256</v>
      </c>
      <c r="AJ13" s="19">
        <v>4</v>
      </c>
      <c r="AK13" s="19">
        <v>0</v>
      </c>
      <c r="AL13" s="19">
        <v>154252</v>
      </c>
      <c r="AM13" s="19">
        <v>821</v>
      </c>
      <c r="AN13" s="19">
        <v>0</v>
      </c>
      <c r="AO13" s="19">
        <v>0</v>
      </c>
      <c r="AP13" s="19">
        <v>821</v>
      </c>
      <c r="AQ13" s="19">
        <v>487</v>
      </c>
      <c r="AR13" s="19">
        <v>0</v>
      </c>
      <c r="AS13" s="19">
        <v>0</v>
      </c>
      <c r="AT13" s="19">
        <v>487</v>
      </c>
      <c r="AU13" s="19">
        <v>2</v>
      </c>
      <c r="AV13" s="19">
        <v>0</v>
      </c>
      <c r="AW13" s="19">
        <v>0</v>
      </c>
      <c r="AX13" s="19">
        <v>2</v>
      </c>
      <c r="AY13" s="19">
        <v>704</v>
      </c>
      <c r="AZ13" s="19">
        <v>0</v>
      </c>
      <c r="BA13" s="19">
        <v>0</v>
      </c>
      <c r="BB13" s="19">
        <v>704</v>
      </c>
      <c r="BC13" s="19">
        <v>76461</v>
      </c>
      <c r="BD13" s="19">
        <v>34487</v>
      </c>
      <c r="BE13" s="19">
        <v>0</v>
      </c>
      <c r="BF13" s="19">
        <v>23949</v>
      </c>
      <c r="BG13" s="19">
        <v>5024</v>
      </c>
      <c r="BH13" s="19">
        <v>1549</v>
      </c>
      <c r="BI13" s="19">
        <v>8</v>
      </c>
      <c r="BJ13" s="19">
        <v>3957</v>
      </c>
      <c r="BK13" s="19">
        <v>41974</v>
      </c>
      <c r="BL13" s="19">
        <v>0</v>
      </c>
      <c r="BM13" s="19">
        <v>37035</v>
      </c>
      <c r="BN13" s="19">
        <v>921</v>
      </c>
      <c r="BO13" s="19">
        <v>392</v>
      </c>
      <c r="BP13" s="19">
        <v>14</v>
      </c>
      <c r="BQ13" s="19">
        <v>3612</v>
      </c>
      <c r="BR13" s="19">
        <v>479346</v>
      </c>
      <c r="BS13" s="19">
        <v>0</v>
      </c>
      <c r="BT13" s="19">
        <v>387291</v>
      </c>
      <c r="BU13" s="19">
        <v>23554</v>
      </c>
      <c r="BV13" s="19">
        <v>58366</v>
      </c>
      <c r="BW13" s="19">
        <v>100</v>
      </c>
      <c r="BX13" s="19">
        <v>10035</v>
      </c>
      <c r="BY13" s="19">
        <v>444859</v>
      </c>
      <c r="BZ13" s="19">
        <v>0</v>
      </c>
      <c r="CA13" s="19">
        <v>363342</v>
      </c>
      <c r="CB13" s="19">
        <v>18530</v>
      </c>
      <c r="CC13" s="19">
        <v>56817</v>
      </c>
      <c r="CD13" s="19">
        <v>92</v>
      </c>
      <c r="CE13" s="19">
        <v>6078</v>
      </c>
      <c r="CF13" s="19">
        <v>34487</v>
      </c>
      <c r="CG13" s="19">
        <v>0</v>
      </c>
      <c r="CH13" s="19">
        <v>23949</v>
      </c>
      <c r="CI13" s="19">
        <v>5024</v>
      </c>
      <c r="CJ13" s="19">
        <v>1549</v>
      </c>
      <c r="CK13" s="19">
        <v>8</v>
      </c>
      <c r="CL13" s="19">
        <v>3957</v>
      </c>
      <c r="CM13" s="19">
        <v>198244</v>
      </c>
      <c r="CN13" s="19">
        <v>0</v>
      </c>
      <c r="CO13" s="19">
        <v>191291</v>
      </c>
      <c r="CP13" s="19">
        <v>1742</v>
      </c>
      <c r="CQ13" s="19">
        <v>879</v>
      </c>
      <c r="CR13" s="19">
        <v>16</v>
      </c>
      <c r="CS13" s="19">
        <v>4316</v>
      </c>
      <c r="CT13" s="19">
        <v>156270</v>
      </c>
      <c r="CU13" s="19">
        <v>0</v>
      </c>
      <c r="CV13" s="19">
        <v>154256</v>
      </c>
      <c r="CW13" s="19">
        <v>821</v>
      </c>
      <c r="CX13" s="19">
        <v>487</v>
      </c>
      <c r="CY13" s="19">
        <v>2</v>
      </c>
      <c r="CZ13" s="19">
        <v>704</v>
      </c>
      <c r="DA13" s="19">
        <v>41974</v>
      </c>
      <c r="DB13" s="19">
        <v>0</v>
      </c>
      <c r="DC13" s="19">
        <v>37035</v>
      </c>
      <c r="DD13" s="19">
        <v>921</v>
      </c>
      <c r="DE13" s="19">
        <v>392</v>
      </c>
      <c r="DF13" s="19">
        <v>14</v>
      </c>
      <c r="DG13" s="19">
        <v>3612</v>
      </c>
      <c r="DH13" s="19">
        <v>0</v>
      </c>
      <c r="DI13" s="19">
        <v>105</v>
      </c>
      <c r="DJ13" s="19">
        <v>10</v>
      </c>
      <c r="DK13" s="19">
        <v>16</v>
      </c>
      <c r="DL13" s="19">
        <v>0</v>
      </c>
      <c r="DM13" s="19">
        <v>79</v>
      </c>
    </row>
    <row r="14" spans="1:117" ht="13.5" customHeight="1">
      <c r="A14" s="17" t="s">
        <v>72</v>
      </c>
      <c r="B14" s="18" t="s">
        <v>73</v>
      </c>
      <c r="C14" s="17" t="s">
        <v>59</v>
      </c>
      <c r="D14" s="19">
        <v>989732</v>
      </c>
      <c r="E14" s="19">
        <v>662515</v>
      </c>
      <c r="F14" s="19">
        <v>503</v>
      </c>
      <c r="G14" s="19">
        <v>30</v>
      </c>
      <c r="H14" s="19">
        <v>3</v>
      </c>
      <c r="I14" s="19">
        <v>470</v>
      </c>
      <c r="J14" s="19">
        <v>548089</v>
      </c>
      <c r="K14" s="19">
        <v>46221</v>
      </c>
      <c r="L14" s="19">
        <v>501868</v>
      </c>
      <c r="M14" s="19">
        <v>0</v>
      </c>
      <c r="N14" s="19">
        <v>32706</v>
      </c>
      <c r="O14" s="19">
        <v>2013</v>
      </c>
      <c r="P14" s="19">
        <v>30693</v>
      </c>
      <c r="Q14" s="19">
        <v>0</v>
      </c>
      <c r="R14" s="19">
        <v>73107</v>
      </c>
      <c r="S14" s="19">
        <v>3366</v>
      </c>
      <c r="T14" s="19">
        <v>69741</v>
      </c>
      <c r="U14" s="19">
        <v>0</v>
      </c>
      <c r="V14" s="19">
        <v>475</v>
      </c>
      <c r="W14" s="19">
        <v>99</v>
      </c>
      <c r="X14" s="19">
        <v>376</v>
      </c>
      <c r="Y14" s="19">
        <v>0</v>
      </c>
      <c r="Z14" s="19">
        <v>7635</v>
      </c>
      <c r="AA14" s="19">
        <v>984</v>
      </c>
      <c r="AB14" s="19">
        <v>6651</v>
      </c>
      <c r="AC14" s="19">
        <v>0</v>
      </c>
      <c r="AD14" s="19">
        <v>227061</v>
      </c>
      <c r="AE14" s="19">
        <v>11985</v>
      </c>
      <c r="AF14" s="19">
        <v>0</v>
      </c>
      <c r="AG14" s="19">
        <v>560</v>
      </c>
      <c r="AH14" s="19">
        <v>11425</v>
      </c>
      <c r="AI14" s="19">
        <v>180775</v>
      </c>
      <c r="AJ14" s="19">
        <v>901</v>
      </c>
      <c r="AK14" s="19">
        <v>1262</v>
      </c>
      <c r="AL14" s="19">
        <v>178612</v>
      </c>
      <c r="AM14" s="19">
        <v>3532</v>
      </c>
      <c r="AN14" s="19">
        <v>27</v>
      </c>
      <c r="AO14" s="19">
        <v>13</v>
      </c>
      <c r="AP14" s="19">
        <v>3492</v>
      </c>
      <c r="AQ14" s="19">
        <v>29834</v>
      </c>
      <c r="AR14" s="19">
        <v>158</v>
      </c>
      <c r="AS14" s="19">
        <v>54</v>
      </c>
      <c r="AT14" s="19">
        <v>29622</v>
      </c>
      <c r="AU14" s="19">
        <v>11</v>
      </c>
      <c r="AV14" s="19">
        <v>0</v>
      </c>
      <c r="AW14" s="19">
        <v>0</v>
      </c>
      <c r="AX14" s="19">
        <v>11</v>
      </c>
      <c r="AY14" s="19">
        <v>924</v>
      </c>
      <c r="AZ14" s="19">
        <v>1</v>
      </c>
      <c r="BA14" s="19">
        <v>4</v>
      </c>
      <c r="BB14" s="19">
        <v>919</v>
      </c>
      <c r="BC14" s="19">
        <v>100156</v>
      </c>
      <c r="BD14" s="19">
        <v>65206</v>
      </c>
      <c r="BE14" s="19">
        <v>6658</v>
      </c>
      <c r="BF14" s="19">
        <v>29399</v>
      </c>
      <c r="BG14" s="19">
        <v>5169</v>
      </c>
      <c r="BH14" s="19">
        <v>10317</v>
      </c>
      <c r="BI14" s="19">
        <v>115</v>
      </c>
      <c r="BJ14" s="19">
        <v>13548</v>
      </c>
      <c r="BK14" s="19">
        <v>34950</v>
      </c>
      <c r="BL14" s="19">
        <v>3154</v>
      </c>
      <c r="BM14" s="19">
        <v>24646</v>
      </c>
      <c r="BN14" s="19">
        <v>1725</v>
      </c>
      <c r="BO14" s="19">
        <v>3627</v>
      </c>
      <c r="BP14" s="19">
        <v>339</v>
      </c>
      <c r="BQ14" s="19">
        <v>1459</v>
      </c>
      <c r="BR14" s="19">
        <v>727721</v>
      </c>
      <c r="BS14" s="19">
        <v>7161</v>
      </c>
      <c r="BT14" s="19">
        <v>577488</v>
      </c>
      <c r="BU14" s="19">
        <v>37875</v>
      </c>
      <c r="BV14" s="19">
        <v>83424</v>
      </c>
      <c r="BW14" s="19">
        <v>590</v>
      </c>
      <c r="BX14" s="19">
        <v>21183</v>
      </c>
      <c r="BY14" s="19">
        <v>662515</v>
      </c>
      <c r="BZ14" s="19">
        <v>503</v>
      </c>
      <c r="CA14" s="19">
        <v>548089</v>
      </c>
      <c r="CB14" s="19">
        <v>32706</v>
      </c>
      <c r="CC14" s="19">
        <v>73107</v>
      </c>
      <c r="CD14" s="19">
        <v>475</v>
      </c>
      <c r="CE14" s="19">
        <v>7635</v>
      </c>
      <c r="CF14" s="19">
        <v>65206</v>
      </c>
      <c r="CG14" s="19">
        <v>6658</v>
      </c>
      <c r="CH14" s="19">
        <v>29399</v>
      </c>
      <c r="CI14" s="19">
        <v>5169</v>
      </c>
      <c r="CJ14" s="19">
        <v>10317</v>
      </c>
      <c r="CK14" s="19">
        <v>115</v>
      </c>
      <c r="CL14" s="19">
        <v>13548</v>
      </c>
      <c r="CM14" s="19">
        <v>262011</v>
      </c>
      <c r="CN14" s="19">
        <v>15139</v>
      </c>
      <c r="CO14" s="19">
        <v>205421</v>
      </c>
      <c r="CP14" s="19">
        <v>5257</v>
      </c>
      <c r="CQ14" s="19">
        <v>33461</v>
      </c>
      <c r="CR14" s="19">
        <v>350</v>
      </c>
      <c r="CS14" s="19">
        <v>2383</v>
      </c>
      <c r="CT14" s="19">
        <v>227061</v>
      </c>
      <c r="CU14" s="19">
        <v>11985</v>
      </c>
      <c r="CV14" s="19">
        <v>180775</v>
      </c>
      <c r="CW14" s="19">
        <v>3532</v>
      </c>
      <c r="CX14" s="19">
        <v>29834</v>
      </c>
      <c r="CY14" s="19">
        <v>11</v>
      </c>
      <c r="CZ14" s="19">
        <v>924</v>
      </c>
      <c r="DA14" s="19">
        <v>34950</v>
      </c>
      <c r="DB14" s="19">
        <v>3154</v>
      </c>
      <c r="DC14" s="19">
        <v>24646</v>
      </c>
      <c r="DD14" s="19">
        <v>1725</v>
      </c>
      <c r="DE14" s="19">
        <v>3627</v>
      </c>
      <c r="DF14" s="19">
        <v>339</v>
      </c>
      <c r="DG14" s="19">
        <v>1459</v>
      </c>
      <c r="DH14" s="19">
        <v>0</v>
      </c>
      <c r="DI14" s="19">
        <v>85</v>
      </c>
      <c r="DJ14" s="19">
        <v>19</v>
      </c>
      <c r="DK14" s="19">
        <v>23</v>
      </c>
      <c r="DL14" s="19">
        <v>5</v>
      </c>
      <c r="DM14" s="19">
        <v>38</v>
      </c>
    </row>
    <row r="15" spans="1:117" ht="13.5" customHeight="1">
      <c r="A15" s="17" t="s">
        <v>74</v>
      </c>
      <c r="B15" s="18" t="s">
        <v>75</v>
      </c>
      <c r="C15" s="17" t="s">
        <v>59</v>
      </c>
      <c r="D15" s="19">
        <v>632335</v>
      </c>
      <c r="E15" s="19">
        <v>427254</v>
      </c>
      <c r="F15" s="19">
        <v>0</v>
      </c>
      <c r="G15" s="19">
        <v>0</v>
      </c>
      <c r="H15" s="19">
        <v>0</v>
      </c>
      <c r="I15" s="19">
        <v>0</v>
      </c>
      <c r="J15" s="19">
        <v>347203</v>
      </c>
      <c r="K15" s="19">
        <v>3320</v>
      </c>
      <c r="L15" s="19">
        <v>343883</v>
      </c>
      <c r="M15" s="19">
        <v>0</v>
      </c>
      <c r="N15" s="19">
        <v>15947</v>
      </c>
      <c r="O15" s="19">
        <v>662</v>
      </c>
      <c r="P15" s="19">
        <v>15285</v>
      </c>
      <c r="Q15" s="19">
        <v>0</v>
      </c>
      <c r="R15" s="19">
        <v>62458</v>
      </c>
      <c r="S15" s="19">
        <v>957</v>
      </c>
      <c r="T15" s="19">
        <v>61501</v>
      </c>
      <c r="U15" s="19">
        <v>0</v>
      </c>
      <c r="V15" s="19">
        <v>204</v>
      </c>
      <c r="W15" s="19">
        <v>16</v>
      </c>
      <c r="X15" s="19">
        <v>188</v>
      </c>
      <c r="Y15" s="19">
        <v>0</v>
      </c>
      <c r="Z15" s="19">
        <v>1442</v>
      </c>
      <c r="AA15" s="19">
        <v>305</v>
      </c>
      <c r="AB15" s="19">
        <v>1137</v>
      </c>
      <c r="AC15" s="19">
        <v>0</v>
      </c>
      <c r="AD15" s="19">
        <v>137034</v>
      </c>
      <c r="AE15" s="19">
        <v>0</v>
      </c>
      <c r="AF15" s="19">
        <v>0</v>
      </c>
      <c r="AG15" s="19">
        <v>0</v>
      </c>
      <c r="AH15" s="19">
        <v>0</v>
      </c>
      <c r="AI15" s="19">
        <v>130409</v>
      </c>
      <c r="AJ15" s="19">
        <v>801</v>
      </c>
      <c r="AK15" s="19">
        <v>0</v>
      </c>
      <c r="AL15" s="19">
        <v>129608</v>
      </c>
      <c r="AM15" s="19">
        <v>1616</v>
      </c>
      <c r="AN15" s="19">
        <v>72</v>
      </c>
      <c r="AO15" s="19">
        <v>0</v>
      </c>
      <c r="AP15" s="19">
        <v>1544</v>
      </c>
      <c r="AQ15" s="19">
        <v>4404</v>
      </c>
      <c r="AR15" s="19">
        <v>170</v>
      </c>
      <c r="AS15" s="19">
        <v>152</v>
      </c>
      <c r="AT15" s="19">
        <v>4082</v>
      </c>
      <c r="AU15" s="19">
        <v>0</v>
      </c>
      <c r="AV15" s="19">
        <v>0</v>
      </c>
      <c r="AW15" s="19">
        <v>0</v>
      </c>
      <c r="AX15" s="19">
        <v>0</v>
      </c>
      <c r="AY15" s="19">
        <v>605</v>
      </c>
      <c r="AZ15" s="19">
        <v>0</v>
      </c>
      <c r="BA15" s="19">
        <v>0</v>
      </c>
      <c r="BB15" s="19">
        <v>605</v>
      </c>
      <c r="BC15" s="19">
        <v>68047</v>
      </c>
      <c r="BD15" s="19">
        <v>41511</v>
      </c>
      <c r="BE15" s="19">
        <v>0</v>
      </c>
      <c r="BF15" s="19">
        <v>23424</v>
      </c>
      <c r="BG15" s="19">
        <v>3211</v>
      </c>
      <c r="BH15" s="19">
        <v>4811</v>
      </c>
      <c r="BI15" s="19">
        <v>190</v>
      </c>
      <c r="BJ15" s="19">
        <v>9875</v>
      </c>
      <c r="BK15" s="19">
        <v>26536</v>
      </c>
      <c r="BL15" s="19">
        <v>0</v>
      </c>
      <c r="BM15" s="19">
        <v>22686</v>
      </c>
      <c r="BN15" s="19">
        <v>938</v>
      </c>
      <c r="BO15" s="19">
        <v>1559</v>
      </c>
      <c r="BP15" s="19">
        <v>6</v>
      </c>
      <c r="BQ15" s="19">
        <v>1347</v>
      </c>
      <c r="BR15" s="19">
        <v>468765</v>
      </c>
      <c r="BS15" s="19">
        <v>0</v>
      </c>
      <c r="BT15" s="19">
        <v>370627</v>
      </c>
      <c r="BU15" s="19">
        <v>19158</v>
      </c>
      <c r="BV15" s="19">
        <v>67269</v>
      </c>
      <c r="BW15" s="19">
        <v>394</v>
      </c>
      <c r="BX15" s="19">
        <v>11317</v>
      </c>
      <c r="BY15" s="19">
        <v>427254</v>
      </c>
      <c r="BZ15" s="19">
        <v>0</v>
      </c>
      <c r="CA15" s="19">
        <v>347203</v>
      </c>
      <c r="CB15" s="19">
        <v>15947</v>
      </c>
      <c r="CC15" s="19">
        <v>62458</v>
      </c>
      <c r="CD15" s="19">
        <v>204</v>
      </c>
      <c r="CE15" s="19">
        <v>1442</v>
      </c>
      <c r="CF15" s="19">
        <v>41511</v>
      </c>
      <c r="CG15" s="19">
        <v>0</v>
      </c>
      <c r="CH15" s="19">
        <v>23424</v>
      </c>
      <c r="CI15" s="19">
        <v>3211</v>
      </c>
      <c r="CJ15" s="19">
        <v>4811</v>
      </c>
      <c r="CK15" s="19">
        <v>190</v>
      </c>
      <c r="CL15" s="19">
        <v>9875</v>
      </c>
      <c r="CM15" s="19">
        <v>163570</v>
      </c>
      <c r="CN15" s="19">
        <v>0</v>
      </c>
      <c r="CO15" s="19">
        <v>153095</v>
      </c>
      <c r="CP15" s="19">
        <v>2554</v>
      </c>
      <c r="CQ15" s="19">
        <v>5963</v>
      </c>
      <c r="CR15" s="19">
        <v>6</v>
      </c>
      <c r="CS15" s="19">
        <v>1952</v>
      </c>
      <c r="CT15" s="19">
        <v>137034</v>
      </c>
      <c r="CU15" s="19">
        <v>0</v>
      </c>
      <c r="CV15" s="19">
        <v>130409</v>
      </c>
      <c r="CW15" s="19">
        <v>1616</v>
      </c>
      <c r="CX15" s="19">
        <v>4404</v>
      </c>
      <c r="CY15" s="19">
        <v>0</v>
      </c>
      <c r="CZ15" s="19">
        <v>605</v>
      </c>
      <c r="DA15" s="19">
        <v>26536</v>
      </c>
      <c r="DB15" s="19">
        <v>0</v>
      </c>
      <c r="DC15" s="19">
        <v>22686</v>
      </c>
      <c r="DD15" s="19">
        <v>938</v>
      </c>
      <c r="DE15" s="19">
        <v>1559</v>
      </c>
      <c r="DF15" s="19">
        <v>6</v>
      </c>
      <c r="DG15" s="19">
        <v>1347</v>
      </c>
      <c r="DH15" s="19">
        <v>0</v>
      </c>
      <c r="DI15" s="19">
        <v>113</v>
      </c>
      <c r="DJ15" s="19">
        <v>21</v>
      </c>
      <c r="DK15" s="19">
        <v>4</v>
      </c>
      <c r="DL15" s="19">
        <v>0</v>
      </c>
      <c r="DM15" s="19">
        <v>88</v>
      </c>
    </row>
    <row r="16" spans="1:117" ht="13.5" customHeight="1">
      <c r="A16" s="17" t="s">
        <v>76</v>
      </c>
      <c r="B16" s="18" t="s">
        <v>77</v>
      </c>
      <c r="C16" s="17" t="s">
        <v>59</v>
      </c>
      <c r="D16" s="19">
        <v>666802</v>
      </c>
      <c r="E16" s="19">
        <v>470821</v>
      </c>
      <c r="F16" s="19">
        <v>0</v>
      </c>
      <c r="G16" s="19">
        <v>0</v>
      </c>
      <c r="H16" s="19">
        <v>0</v>
      </c>
      <c r="I16" s="19">
        <v>0</v>
      </c>
      <c r="J16" s="19">
        <v>404939</v>
      </c>
      <c r="K16" s="19">
        <v>17042</v>
      </c>
      <c r="L16" s="19">
        <v>387809</v>
      </c>
      <c r="M16" s="19">
        <v>88</v>
      </c>
      <c r="N16" s="19">
        <v>16734</v>
      </c>
      <c r="O16" s="19">
        <v>672</v>
      </c>
      <c r="P16" s="19">
        <v>16060</v>
      </c>
      <c r="Q16" s="19">
        <v>2</v>
      </c>
      <c r="R16" s="19">
        <v>40059</v>
      </c>
      <c r="S16" s="19">
        <v>2693</v>
      </c>
      <c r="T16" s="19">
        <v>37360</v>
      </c>
      <c r="U16" s="19">
        <v>6</v>
      </c>
      <c r="V16" s="19">
        <v>1218</v>
      </c>
      <c r="W16" s="19">
        <v>38</v>
      </c>
      <c r="X16" s="19">
        <v>1180</v>
      </c>
      <c r="Y16" s="19">
        <v>0</v>
      </c>
      <c r="Z16" s="19">
        <v>7871</v>
      </c>
      <c r="AA16" s="19">
        <v>804</v>
      </c>
      <c r="AB16" s="19">
        <v>7058</v>
      </c>
      <c r="AC16" s="19">
        <v>9</v>
      </c>
      <c r="AD16" s="19">
        <v>118109</v>
      </c>
      <c r="AE16" s="19">
        <v>0</v>
      </c>
      <c r="AF16" s="19">
        <v>0</v>
      </c>
      <c r="AG16" s="19">
        <v>0</v>
      </c>
      <c r="AH16" s="19">
        <v>0</v>
      </c>
      <c r="AI16" s="19">
        <v>113950</v>
      </c>
      <c r="AJ16" s="19">
        <v>0</v>
      </c>
      <c r="AK16" s="19">
        <v>402</v>
      </c>
      <c r="AL16" s="19">
        <v>113548</v>
      </c>
      <c r="AM16" s="19">
        <v>1524</v>
      </c>
      <c r="AN16" s="19">
        <v>0</v>
      </c>
      <c r="AO16" s="19">
        <v>5</v>
      </c>
      <c r="AP16" s="19">
        <v>1519</v>
      </c>
      <c r="AQ16" s="19">
        <v>2379</v>
      </c>
      <c r="AR16" s="19">
        <v>5</v>
      </c>
      <c r="AS16" s="19">
        <v>55</v>
      </c>
      <c r="AT16" s="19">
        <v>2319</v>
      </c>
      <c r="AU16" s="19">
        <v>26</v>
      </c>
      <c r="AV16" s="19">
        <v>26</v>
      </c>
      <c r="AW16" s="19">
        <v>0</v>
      </c>
      <c r="AX16" s="19">
        <v>0</v>
      </c>
      <c r="AY16" s="19">
        <v>230</v>
      </c>
      <c r="AZ16" s="19">
        <v>0</v>
      </c>
      <c r="BA16" s="19">
        <v>0</v>
      </c>
      <c r="BB16" s="19">
        <v>230</v>
      </c>
      <c r="BC16" s="19">
        <v>77872</v>
      </c>
      <c r="BD16" s="19">
        <v>36966</v>
      </c>
      <c r="BE16" s="19">
        <v>0</v>
      </c>
      <c r="BF16" s="19">
        <v>18009</v>
      </c>
      <c r="BG16" s="19">
        <v>3054</v>
      </c>
      <c r="BH16" s="19">
        <v>8165</v>
      </c>
      <c r="BI16" s="19">
        <v>568</v>
      </c>
      <c r="BJ16" s="19">
        <v>7170</v>
      </c>
      <c r="BK16" s="19">
        <v>40906</v>
      </c>
      <c r="BL16" s="19">
        <v>0</v>
      </c>
      <c r="BM16" s="19">
        <v>33542</v>
      </c>
      <c r="BN16" s="19">
        <v>2797</v>
      </c>
      <c r="BO16" s="19">
        <v>3253</v>
      </c>
      <c r="BP16" s="19">
        <v>0</v>
      </c>
      <c r="BQ16" s="19">
        <v>1314</v>
      </c>
      <c r="BR16" s="19">
        <v>507787</v>
      </c>
      <c r="BS16" s="19">
        <v>0</v>
      </c>
      <c r="BT16" s="19">
        <v>422948</v>
      </c>
      <c r="BU16" s="19">
        <v>19788</v>
      </c>
      <c r="BV16" s="19">
        <v>48224</v>
      </c>
      <c r="BW16" s="19">
        <v>1786</v>
      </c>
      <c r="BX16" s="19">
        <v>15041</v>
      </c>
      <c r="BY16" s="19">
        <v>470821</v>
      </c>
      <c r="BZ16" s="19">
        <v>0</v>
      </c>
      <c r="CA16" s="19">
        <v>404939</v>
      </c>
      <c r="CB16" s="19">
        <v>16734</v>
      </c>
      <c r="CC16" s="19">
        <v>40059</v>
      </c>
      <c r="CD16" s="19">
        <v>1218</v>
      </c>
      <c r="CE16" s="19">
        <v>7871</v>
      </c>
      <c r="CF16" s="19">
        <v>36966</v>
      </c>
      <c r="CG16" s="19">
        <v>0</v>
      </c>
      <c r="CH16" s="19">
        <v>18009</v>
      </c>
      <c r="CI16" s="19">
        <v>3054</v>
      </c>
      <c r="CJ16" s="19">
        <v>8165</v>
      </c>
      <c r="CK16" s="19">
        <v>568</v>
      </c>
      <c r="CL16" s="19">
        <v>7170</v>
      </c>
      <c r="CM16" s="19">
        <v>159015</v>
      </c>
      <c r="CN16" s="19">
        <v>0</v>
      </c>
      <c r="CO16" s="19">
        <v>147492</v>
      </c>
      <c r="CP16" s="19">
        <v>4321</v>
      </c>
      <c r="CQ16" s="19">
        <v>5632</v>
      </c>
      <c r="CR16" s="19">
        <v>26</v>
      </c>
      <c r="CS16" s="19">
        <v>1544</v>
      </c>
      <c r="CT16" s="19">
        <v>118109</v>
      </c>
      <c r="CU16" s="19">
        <v>0</v>
      </c>
      <c r="CV16" s="19">
        <v>113950</v>
      </c>
      <c r="CW16" s="19">
        <v>1524</v>
      </c>
      <c r="CX16" s="19">
        <v>2379</v>
      </c>
      <c r="CY16" s="19">
        <v>26</v>
      </c>
      <c r="CZ16" s="19">
        <v>230</v>
      </c>
      <c r="DA16" s="19">
        <v>40906</v>
      </c>
      <c r="DB16" s="19">
        <v>0</v>
      </c>
      <c r="DC16" s="19">
        <v>33542</v>
      </c>
      <c r="DD16" s="19">
        <v>2797</v>
      </c>
      <c r="DE16" s="19">
        <v>3253</v>
      </c>
      <c r="DF16" s="19">
        <v>0</v>
      </c>
      <c r="DG16" s="19">
        <v>1314</v>
      </c>
      <c r="DH16" s="19">
        <v>299</v>
      </c>
      <c r="DI16" s="19">
        <v>106</v>
      </c>
      <c r="DJ16" s="19">
        <v>17</v>
      </c>
      <c r="DK16" s="19">
        <v>14</v>
      </c>
      <c r="DL16" s="19">
        <v>20</v>
      </c>
      <c r="DM16" s="19">
        <v>55</v>
      </c>
    </row>
    <row r="17" spans="1:117" ht="13.5" customHeight="1">
      <c r="A17" s="17" t="s">
        <v>78</v>
      </c>
      <c r="B17" s="18" t="s">
        <v>79</v>
      </c>
      <c r="C17" s="17" t="s">
        <v>59</v>
      </c>
      <c r="D17" s="19">
        <v>2190553</v>
      </c>
      <c r="E17" s="19">
        <v>1612535</v>
      </c>
      <c r="F17" s="19">
        <v>107993</v>
      </c>
      <c r="G17" s="19">
        <v>35438</v>
      </c>
      <c r="H17" s="19">
        <v>72555</v>
      </c>
      <c r="I17" s="19">
        <v>0</v>
      </c>
      <c r="J17" s="19">
        <v>1137069</v>
      </c>
      <c r="K17" s="19">
        <v>88280</v>
      </c>
      <c r="L17" s="19">
        <v>1048789</v>
      </c>
      <c r="M17" s="19">
        <v>0</v>
      </c>
      <c r="N17" s="19">
        <v>70481</v>
      </c>
      <c r="O17" s="19">
        <v>3564</v>
      </c>
      <c r="P17" s="19">
        <v>66917</v>
      </c>
      <c r="Q17" s="19">
        <v>0</v>
      </c>
      <c r="R17" s="19">
        <v>273441</v>
      </c>
      <c r="S17" s="19">
        <v>12992</v>
      </c>
      <c r="T17" s="19">
        <v>260449</v>
      </c>
      <c r="U17" s="19">
        <v>0</v>
      </c>
      <c r="V17" s="19">
        <v>1916</v>
      </c>
      <c r="W17" s="19">
        <v>312</v>
      </c>
      <c r="X17" s="19">
        <v>1604</v>
      </c>
      <c r="Y17" s="19">
        <v>0</v>
      </c>
      <c r="Z17" s="19">
        <v>21635</v>
      </c>
      <c r="AA17" s="19">
        <v>4020</v>
      </c>
      <c r="AB17" s="19">
        <v>17429</v>
      </c>
      <c r="AC17" s="19">
        <v>186</v>
      </c>
      <c r="AD17" s="19">
        <v>435369</v>
      </c>
      <c r="AE17" s="19">
        <v>37405</v>
      </c>
      <c r="AF17" s="19">
        <v>0</v>
      </c>
      <c r="AG17" s="19">
        <v>0</v>
      </c>
      <c r="AH17" s="19">
        <v>37405</v>
      </c>
      <c r="AI17" s="19">
        <v>391934</v>
      </c>
      <c r="AJ17" s="19">
        <v>1676</v>
      </c>
      <c r="AK17" s="19">
        <v>1797</v>
      </c>
      <c r="AL17" s="19">
        <v>388461</v>
      </c>
      <c r="AM17" s="19">
        <v>2340</v>
      </c>
      <c r="AN17" s="19">
        <v>169</v>
      </c>
      <c r="AO17" s="19">
        <v>63</v>
      </c>
      <c r="AP17" s="19">
        <v>2108</v>
      </c>
      <c r="AQ17" s="19">
        <v>3182</v>
      </c>
      <c r="AR17" s="19">
        <v>111</v>
      </c>
      <c r="AS17" s="19">
        <v>91</v>
      </c>
      <c r="AT17" s="19">
        <v>2980</v>
      </c>
      <c r="AU17" s="19">
        <v>12</v>
      </c>
      <c r="AV17" s="19">
        <v>8</v>
      </c>
      <c r="AW17" s="19">
        <v>0</v>
      </c>
      <c r="AX17" s="19">
        <v>4</v>
      </c>
      <c r="AY17" s="19">
        <v>496</v>
      </c>
      <c r="AZ17" s="19">
        <v>15</v>
      </c>
      <c r="BA17" s="19">
        <v>24</v>
      </c>
      <c r="BB17" s="19">
        <v>457</v>
      </c>
      <c r="BC17" s="19">
        <v>142649</v>
      </c>
      <c r="BD17" s="19">
        <v>85981</v>
      </c>
      <c r="BE17" s="19">
        <v>2573</v>
      </c>
      <c r="BF17" s="19">
        <v>40817</v>
      </c>
      <c r="BG17" s="19">
        <v>14335</v>
      </c>
      <c r="BH17" s="19">
        <v>5446</v>
      </c>
      <c r="BI17" s="19">
        <v>306</v>
      </c>
      <c r="BJ17" s="19">
        <v>22504</v>
      </c>
      <c r="BK17" s="19">
        <v>56668</v>
      </c>
      <c r="BL17" s="19">
        <v>4003</v>
      </c>
      <c r="BM17" s="19">
        <v>46636</v>
      </c>
      <c r="BN17" s="19">
        <v>1021</v>
      </c>
      <c r="BO17" s="19">
        <v>4390</v>
      </c>
      <c r="BP17" s="19">
        <v>75</v>
      </c>
      <c r="BQ17" s="19">
        <v>543</v>
      </c>
      <c r="BR17" s="19">
        <v>1698516</v>
      </c>
      <c r="BS17" s="19">
        <v>110566</v>
      </c>
      <c r="BT17" s="19">
        <v>1177886</v>
      </c>
      <c r="BU17" s="19">
        <v>84816</v>
      </c>
      <c r="BV17" s="19">
        <v>278887</v>
      </c>
      <c r="BW17" s="19">
        <v>2222</v>
      </c>
      <c r="BX17" s="19">
        <v>44139</v>
      </c>
      <c r="BY17" s="19">
        <v>1612535</v>
      </c>
      <c r="BZ17" s="19">
        <v>107993</v>
      </c>
      <c r="CA17" s="19">
        <v>1137069</v>
      </c>
      <c r="CB17" s="19">
        <v>70481</v>
      </c>
      <c r="CC17" s="19">
        <v>273441</v>
      </c>
      <c r="CD17" s="19">
        <v>1916</v>
      </c>
      <c r="CE17" s="19">
        <v>21635</v>
      </c>
      <c r="CF17" s="19">
        <v>85981</v>
      </c>
      <c r="CG17" s="19">
        <v>2573</v>
      </c>
      <c r="CH17" s="19">
        <v>40817</v>
      </c>
      <c r="CI17" s="19">
        <v>14335</v>
      </c>
      <c r="CJ17" s="19">
        <v>5446</v>
      </c>
      <c r="CK17" s="19">
        <v>306</v>
      </c>
      <c r="CL17" s="19">
        <v>22504</v>
      </c>
      <c r="CM17" s="19">
        <v>492037</v>
      </c>
      <c r="CN17" s="19">
        <v>41408</v>
      </c>
      <c r="CO17" s="19">
        <v>438570</v>
      </c>
      <c r="CP17" s="19">
        <v>3361</v>
      </c>
      <c r="CQ17" s="19">
        <v>7572</v>
      </c>
      <c r="CR17" s="19">
        <v>87</v>
      </c>
      <c r="CS17" s="19">
        <v>1039</v>
      </c>
      <c r="CT17" s="19">
        <v>435369</v>
      </c>
      <c r="CU17" s="19">
        <v>37405</v>
      </c>
      <c r="CV17" s="19">
        <v>391934</v>
      </c>
      <c r="CW17" s="19">
        <v>2340</v>
      </c>
      <c r="CX17" s="19">
        <v>3182</v>
      </c>
      <c r="CY17" s="19">
        <v>12</v>
      </c>
      <c r="CZ17" s="19">
        <v>496</v>
      </c>
      <c r="DA17" s="19">
        <v>56668</v>
      </c>
      <c r="DB17" s="19">
        <v>4003</v>
      </c>
      <c r="DC17" s="19">
        <v>46636</v>
      </c>
      <c r="DD17" s="19">
        <v>1021</v>
      </c>
      <c r="DE17" s="19">
        <v>4390</v>
      </c>
      <c r="DF17" s="19">
        <v>75</v>
      </c>
      <c r="DG17" s="19">
        <v>543</v>
      </c>
      <c r="DH17" s="19">
        <v>0</v>
      </c>
      <c r="DI17" s="19">
        <v>80</v>
      </c>
      <c r="DJ17" s="19">
        <v>14</v>
      </c>
      <c r="DK17" s="19">
        <v>19</v>
      </c>
      <c r="DL17" s="19">
        <v>4</v>
      </c>
      <c r="DM17" s="19">
        <v>43</v>
      </c>
    </row>
    <row r="18" spans="1:117" ht="13.5" customHeight="1">
      <c r="A18" s="17" t="s">
        <v>80</v>
      </c>
      <c r="B18" s="18" t="s">
        <v>81</v>
      </c>
      <c r="C18" s="17" t="s">
        <v>59</v>
      </c>
      <c r="D18" s="19">
        <v>1947532</v>
      </c>
      <c r="E18" s="19">
        <v>1330697</v>
      </c>
      <c r="F18" s="19">
        <v>0</v>
      </c>
      <c r="G18" s="19">
        <v>0</v>
      </c>
      <c r="H18" s="19">
        <v>0</v>
      </c>
      <c r="I18" s="19">
        <v>0</v>
      </c>
      <c r="J18" s="19">
        <v>1032863</v>
      </c>
      <c r="K18" s="19">
        <v>93906</v>
      </c>
      <c r="L18" s="19">
        <v>938695</v>
      </c>
      <c r="M18" s="19">
        <v>262</v>
      </c>
      <c r="N18" s="19">
        <v>57218</v>
      </c>
      <c r="O18" s="19">
        <v>8339</v>
      </c>
      <c r="P18" s="19">
        <v>48879</v>
      </c>
      <c r="Q18" s="19">
        <v>0</v>
      </c>
      <c r="R18" s="19">
        <v>212928</v>
      </c>
      <c r="S18" s="19">
        <v>4802</v>
      </c>
      <c r="T18" s="19">
        <v>208126</v>
      </c>
      <c r="U18" s="19">
        <v>0</v>
      </c>
      <c r="V18" s="19">
        <v>4381</v>
      </c>
      <c r="W18" s="19">
        <v>288</v>
      </c>
      <c r="X18" s="19">
        <v>4093</v>
      </c>
      <c r="Y18" s="19">
        <v>0</v>
      </c>
      <c r="Z18" s="19">
        <v>23307</v>
      </c>
      <c r="AA18" s="19">
        <v>2077</v>
      </c>
      <c r="AB18" s="19">
        <v>20733</v>
      </c>
      <c r="AC18" s="19">
        <v>497</v>
      </c>
      <c r="AD18" s="19">
        <v>483423</v>
      </c>
      <c r="AE18" s="19">
        <v>0</v>
      </c>
      <c r="AF18" s="19">
        <v>0</v>
      </c>
      <c r="AG18" s="19">
        <v>0</v>
      </c>
      <c r="AH18" s="19">
        <v>0</v>
      </c>
      <c r="AI18" s="19">
        <v>421694</v>
      </c>
      <c r="AJ18" s="19">
        <v>1898</v>
      </c>
      <c r="AK18" s="19">
        <v>1362</v>
      </c>
      <c r="AL18" s="19">
        <v>418434</v>
      </c>
      <c r="AM18" s="19">
        <v>2739</v>
      </c>
      <c r="AN18" s="19">
        <v>3</v>
      </c>
      <c r="AO18" s="19">
        <v>49</v>
      </c>
      <c r="AP18" s="19">
        <v>2687</v>
      </c>
      <c r="AQ18" s="19">
        <v>56256</v>
      </c>
      <c r="AR18" s="19">
        <v>10</v>
      </c>
      <c r="AS18" s="19">
        <v>234</v>
      </c>
      <c r="AT18" s="19">
        <v>56012</v>
      </c>
      <c r="AU18" s="19">
        <v>425</v>
      </c>
      <c r="AV18" s="19">
        <v>373</v>
      </c>
      <c r="AW18" s="19">
        <v>0</v>
      </c>
      <c r="AX18" s="19">
        <v>52</v>
      </c>
      <c r="AY18" s="19">
        <v>2309</v>
      </c>
      <c r="AZ18" s="19">
        <v>55</v>
      </c>
      <c r="BA18" s="19">
        <v>0</v>
      </c>
      <c r="BB18" s="19">
        <v>2254</v>
      </c>
      <c r="BC18" s="19">
        <v>133412</v>
      </c>
      <c r="BD18" s="19">
        <v>72052</v>
      </c>
      <c r="BE18" s="19">
        <v>0</v>
      </c>
      <c r="BF18" s="19">
        <v>24547</v>
      </c>
      <c r="BG18" s="19">
        <v>8082</v>
      </c>
      <c r="BH18" s="19">
        <v>6346</v>
      </c>
      <c r="BI18" s="19">
        <v>4581</v>
      </c>
      <c r="BJ18" s="19">
        <v>28496</v>
      </c>
      <c r="BK18" s="19">
        <v>61360</v>
      </c>
      <c r="BL18" s="19">
        <v>0</v>
      </c>
      <c r="BM18" s="19">
        <v>44772</v>
      </c>
      <c r="BN18" s="19">
        <v>1044</v>
      </c>
      <c r="BO18" s="19">
        <v>668</v>
      </c>
      <c r="BP18" s="19">
        <v>9864</v>
      </c>
      <c r="BQ18" s="19">
        <v>5012</v>
      </c>
      <c r="BR18" s="19">
        <v>1402749</v>
      </c>
      <c r="BS18" s="19">
        <v>0</v>
      </c>
      <c r="BT18" s="19">
        <v>1057410</v>
      </c>
      <c r="BU18" s="19">
        <v>65300</v>
      </c>
      <c r="BV18" s="19">
        <v>219274</v>
      </c>
      <c r="BW18" s="19">
        <v>8962</v>
      </c>
      <c r="BX18" s="19">
        <v>51803</v>
      </c>
      <c r="BY18" s="19">
        <v>1330697</v>
      </c>
      <c r="BZ18" s="19">
        <v>0</v>
      </c>
      <c r="CA18" s="19">
        <v>1032863</v>
      </c>
      <c r="CB18" s="19">
        <v>57218</v>
      </c>
      <c r="CC18" s="19">
        <v>212928</v>
      </c>
      <c r="CD18" s="19">
        <v>4381</v>
      </c>
      <c r="CE18" s="19">
        <v>23307</v>
      </c>
      <c r="CF18" s="19">
        <v>72052</v>
      </c>
      <c r="CG18" s="19">
        <v>0</v>
      </c>
      <c r="CH18" s="19">
        <v>24547</v>
      </c>
      <c r="CI18" s="19">
        <v>8082</v>
      </c>
      <c r="CJ18" s="19">
        <v>6346</v>
      </c>
      <c r="CK18" s="19">
        <v>4581</v>
      </c>
      <c r="CL18" s="19">
        <v>28496</v>
      </c>
      <c r="CM18" s="19">
        <v>544783</v>
      </c>
      <c r="CN18" s="19">
        <v>0</v>
      </c>
      <c r="CO18" s="19">
        <v>466466</v>
      </c>
      <c r="CP18" s="19">
        <v>3783</v>
      </c>
      <c r="CQ18" s="19">
        <v>56924</v>
      </c>
      <c r="CR18" s="19">
        <v>10289</v>
      </c>
      <c r="CS18" s="19">
        <v>7321</v>
      </c>
      <c r="CT18" s="19">
        <v>483423</v>
      </c>
      <c r="CU18" s="19">
        <v>0</v>
      </c>
      <c r="CV18" s="19">
        <v>421694</v>
      </c>
      <c r="CW18" s="19">
        <v>2739</v>
      </c>
      <c r="CX18" s="19">
        <v>56256</v>
      </c>
      <c r="CY18" s="19">
        <v>425</v>
      </c>
      <c r="CZ18" s="19">
        <v>2309</v>
      </c>
      <c r="DA18" s="19">
        <v>61360</v>
      </c>
      <c r="DB18" s="19">
        <v>0</v>
      </c>
      <c r="DC18" s="19">
        <v>44772</v>
      </c>
      <c r="DD18" s="19">
        <v>1044</v>
      </c>
      <c r="DE18" s="19">
        <v>668</v>
      </c>
      <c r="DF18" s="19">
        <v>9864</v>
      </c>
      <c r="DG18" s="19">
        <v>5012</v>
      </c>
      <c r="DH18" s="19">
        <v>118</v>
      </c>
      <c r="DI18" s="19">
        <v>52</v>
      </c>
      <c r="DJ18" s="19">
        <v>24</v>
      </c>
      <c r="DK18" s="19">
        <v>9</v>
      </c>
      <c r="DL18" s="19">
        <v>0</v>
      </c>
      <c r="DM18" s="19">
        <v>19</v>
      </c>
    </row>
    <row r="19" spans="1:117" ht="13.5" customHeight="1">
      <c r="A19" s="17" t="s">
        <v>82</v>
      </c>
      <c r="B19" s="18" t="s">
        <v>83</v>
      </c>
      <c r="C19" s="17" t="s">
        <v>59</v>
      </c>
      <c r="D19" s="19">
        <v>3968166</v>
      </c>
      <c r="E19" s="19">
        <v>3033638</v>
      </c>
      <c r="F19" s="19">
        <v>0</v>
      </c>
      <c r="G19" s="19">
        <v>0</v>
      </c>
      <c r="H19" s="19">
        <v>0</v>
      </c>
      <c r="I19" s="19">
        <v>0</v>
      </c>
      <c r="J19" s="19">
        <v>2238091</v>
      </c>
      <c r="K19" s="19">
        <v>1662478</v>
      </c>
      <c r="L19" s="19">
        <v>575590</v>
      </c>
      <c r="M19" s="19">
        <v>23</v>
      </c>
      <c r="N19" s="19">
        <v>81068</v>
      </c>
      <c r="O19" s="19">
        <v>39332</v>
      </c>
      <c r="P19" s="19">
        <v>41727</v>
      </c>
      <c r="Q19" s="19">
        <v>9</v>
      </c>
      <c r="R19" s="19">
        <v>615097</v>
      </c>
      <c r="S19" s="19">
        <v>371230</v>
      </c>
      <c r="T19" s="19">
        <v>243867</v>
      </c>
      <c r="U19" s="19">
        <v>0</v>
      </c>
      <c r="V19" s="19">
        <v>1839</v>
      </c>
      <c r="W19" s="19">
        <v>3</v>
      </c>
      <c r="X19" s="19">
        <v>1836</v>
      </c>
      <c r="Y19" s="19">
        <v>0</v>
      </c>
      <c r="Z19" s="19">
        <v>97543</v>
      </c>
      <c r="AA19" s="19">
        <v>74756</v>
      </c>
      <c r="AB19" s="19">
        <v>22570</v>
      </c>
      <c r="AC19" s="19">
        <v>217</v>
      </c>
      <c r="AD19" s="19">
        <v>849982</v>
      </c>
      <c r="AE19" s="19">
        <v>0</v>
      </c>
      <c r="AF19" s="19">
        <v>0</v>
      </c>
      <c r="AG19" s="19">
        <v>0</v>
      </c>
      <c r="AH19" s="19">
        <v>0</v>
      </c>
      <c r="AI19" s="19">
        <v>847979</v>
      </c>
      <c r="AJ19" s="19">
        <v>0</v>
      </c>
      <c r="AK19" s="19">
        <v>5698</v>
      </c>
      <c r="AL19" s="19">
        <v>842281</v>
      </c>
      <c r="AM19" s="19">
        <v>287</v>
      </c>
      <c r="AN19" s="19">
        <v>0</v>
      </c>
      <c r="AO19" s="19">
        <v>142</v>
      </c>
      <c r="AP19" s="19">
        <v>145</v>
      </c>
      <c r="AQ19" s="19">
        <v>1537</v>
      </c>
      <c r="AR19" s="19">
        <v>260</v>
      </c>
      <c r="AS19" s="19">
        <v>1089</v>
      </c>
      <c r="AT19" s="19">
        <v>188</v>
      </c>
      <c r="AU19" s="19">
        <v>10</v>
      </c>
      <c r="AV19" s="19">
        <v>0</v>
      </c>
      <c r="AW19" s="19">
        <v>10</v>
      </c>
      <c r="AX19" s="19">
        <v>0</v>
      </c>
      <c r="AY19" s="19">
        <v>169</v>
      </c>
      <c r="AZ19" s="19">
        <v>0</v>
      </c>
      <c r="BA19" s="19">
        <v>89</v>
      </c>
      <c r="BB19" s="19">
        <v>80</v>
      </c>
      <c r="BC19" s="19">
        <v>84546</v>
      </c>
      <c r="BD19" s="19">
        <v>19466</v>
      </c>
      <c r="BE19" s="19">
        <v>0</v>
      </c>
      <c r="BF19" s="19">
        <v>4648</v>
      </c>
      <c r="BG19" s="19">
        <v>2195</v>
      </c>
      <c r="BH19" s="19">
        <v>2287</v>
      </c>
      <c r="BI19" s="19">
        <v>16</v>
      </c>
      <c r="BJ19" s="19">
        <v>10320</v>
      </c>
      <c r="BK19" s="19">
        <v>65080</v>
      </c>
      <c r="BL19" s="19">
        <v>0</v>
      </c>
      <c r="BM19" s="19">
        <v>64071</v>
      </c>
      <c r="BN19" s="19">
        <v>137</v>
      </c>
      <c r="BO19" s="19">
        <v>711</v>
      </c>
      <c r="BP19" s="19">
        <v>34</v>
      </c>
      <c r="BQ19" s="19">
        <v>127</v>
      </c>
      <c r="BR19" s="19">
        <v>3053104</v>
      </c>
      <c r="BS19" s="19">
        <v>0</v>
      </c>
      <c r="BT19" s="19">
        <v>2242739</v>
      </c>
      <c r="BU19" s="19">
        <v>83263</v>
      </c>
      <c r="BV19" s="19">
        <v>617384</v>
      </c>
      <c r="BW19" s="19">
        <v>1855</v>
      </c>
      <c r="BX19" s="19">
        <v>107863</v>
      </c>
      <c r="BY19" s="19">
        <v>3033638</v>
      </c>
      <c r="BZ19" s="19">
        <v>0</v>
      </c>
      <c r="CA19" s="19">
        <v>2238091</v>
      </c>
      <c r="CB19" s="19">
        <v>81068</v>
      </c>
      <c r="CC19" s="19">
        <v>615097</v>
      </c>
      <c r="CD19" s="19">
        <v>1839</v>
      </c>
      <c r="CE19" s="19">
        <v>97543</v>
      </c>
      <c r="CF19" s="19">
        <v>19466</v>
      </c>
      <c r="CG19" s="19">
        <v>0</v>
      </c>
      <c r="CH19" s="19">
        <v>4648</v>
      </c>
      <c r="CI19" s="19">
        <v>2195</v>
      </c>
      <c r="CJ19" s="19">
        <v>2287</v>
      </c>
      <c r="CK19" s="19">
        <v>16</v>
      </c>
      <c r="CL19" s="19">
        <v>10320</v>
      </c>
      <c r="CM19" s="19">
        <v>915062</v>
      </c>
      <c r="CN19" s="19">
        <v>0</v>
      </c>
      <c r="CO19" s="19">
        <v>912050</v>
      </c>
      <c r="CP19" s="19">
        <v>424</v>
      </c>
      <c r="CQ19" s="19">
        <v>2248</v>
      </c>
      <c r="CR19" s="19">
        <v>44</v>
      </c>
      <c r="CS19" s="19">
        <v>296</v>
      </c>
      <c r="CT19" s="19">
        <v>849982</v>
      </c>
      <c r="CU19" s="19">
        <v>0</v>
      </c>
      <c r="CV19" s="19">
        <v>847979</v>
      </c>
      <c r="CW19" s="19">
        <v>287</v>
      </c>
      <c r="CX19" s="19">
        <v>1537</v>
      </c>
      <c r="CY19" s="19">
        <v>10</v>
      </c>
      <c r="CZ19" s="19">
        <v>169</v>
      </c>
      <c r="DA19" s="19">
        <v>65080</v>
      </c>
      <c r="DB19" s="19">
        <v>0</v>
      </c>
      <c r="DC19" s="19">
        <v>64071</v>
      </c>
      <c r="DD19" s="19">
        <v>137</v>
      </c>
      <c r="DE19" s="19">
        <v>711</v>
      </c>
      <c r="DF19" s="19">
        <v>34</v>
      </c>
      <c r="DG19" s="19">
        <v>127</v>
      </c>
      <c r="DH19" s="19">
        <v>9</v>
      </c>
      <c r="DI19" s="19">
        <v>162</v>
      </c>
      <c r="DJ19" s="19">
        <v>13</v>
      </c>
      <c r="DK19" s="19">
        <v>7</v>
      </c>
      <c r="DL19" s="19">
        <v>66</v>
      </c>
      <c r="DM19" s="19">
        <v>76</v>
      </c>
    </row>
    <row r="20" spans="1:117" ht="13.5" customHeight="1">
      <c r="A20" s="17" t="s">
        <v>84</v>
      </c>
      <c r="B20" s="18" t="s">
        <v>85</v>
      </c>
      <c r="C20" s="17" t="s">
        <v>59</v>
      </c>
      <c r="D20" s="19">
        <v>2528036</v>
      </c>
      <c r="E20" s="19">
        <v>1857885</v>
      </c>
      <c r="F20" s="19">
        <v>360279</v>
      </c>
      <c r="G20" s="19">
        <v>279846</v>
      </c>
      <c r="H20" s="19">
        <v>80433</v>
      </c>
      <c r="I20" s="19">
        <v>0</v>
      </c>
      <c r="J20" s="19">
        <v>1031596</v>
      </c>
      <c r="K20" s="19">
        <v>803522</v>
      </c>
      <c r="L20" s="19">
        <v>228072</v>
      </c>
      <c r="M20" s="19">
        <v>2</v>
      </c>
      <c r="N20" s="19">
        <v>25944</v>
      </c>
      <c r="O20" s="19">
        <v>8493</v>
      </c>
      <c r="P20" s="19">
        <v>17451</v>
      </c>
      <c r="Q20" s="19">
        <v>0</v>
      </c>
      <c r="R20" s="19">
        <v>394114</v>
      </c>
      <c r="S20" s="19">
        <v>33962</v>
      </c>
      <c r="T20" s="19">
        <v>360152</v>
      </c>
      <c r="U20" s="19">
        <v>0</v>
      </c>
      <c r="V20" s="19">
        <v>689</v>
      </c>
      <c r="W20" s="19">
        <v>142</v>
      </c>
      <c r="X20" s="19">
        <v>547</v>
      </c>
      <c r="Y20" s="19">
        <v>0</v>
      </c>
      <c r="Z20" s="19">
        <v>45263</v>
      </c>
      <c r="AA20" s="19">
        <v>3847</v>
      </c>
      <c r="AB20" s="19">
        <v>40935</v>
      </c>
      <c r="AC20" s="19">
        <v>481</v>
      </c>
      <c r="AD20" s="19">
        <v>545993</v>
      </c>
      <c r="AE20" s="19">
        <v>87201</v>
      </c>
      <c r="AF20" s="19">
        <v>0</v>
      </c>
      <c r="AG20" s="19">
        <v>0</v>
      </c>
      <c r="AH20" s="19">
        <v>87201</v>
      </c>
      <c r="AI20" s="19">
        <v>455286</v>
      </c>
      <c r="AJ20" s="19">
        <v>68</v>
      </c>
      <c r="AK20" s="19">
        <v>127</v>
      </c>
      <c r="AL20" s="19">
        <v>455091</v>
      </c>
      <c r="AM20" s="19">
        <v>617</v>
      </c>
      <c r="AN20" s="19">
        <v>0</v>
      </c>
      <c r="AO20" s="19">
        <v>3</v>
      </c>
      <c r="AP20" s="19">
        <v>614</v>
      </c>
      <c r="AQ20" s="19">
        <v>2647</v>
      </c>
      <c r="AR20" s="19">
        <v>0</v>
      </c>
      <c r="AS20" s="19">
        <v>0</v>
      </c>
      <c r="AT20" s="19">
        <v>2647</v>
      </c>
      <c r="AU20" s="19">
        <v>18</v>
      </c>
      <c r="AV20" s="19">
        <v>0</v>
      </c>
      <c r="AW20" s="19">
        <v>0</v>
      </c>
      <c r="AX20" s="19">
        <v>18</v>
      </c>
      <c r="AY20" s="19">
        <v>224</v>
      </c>
      <c r="AZ20" s="19">
        <v>0</v>
      </c>
      <c r="BA20" s="19">
        <v>0</v>
      </c>
      <c r="BB20" s="19">
        <v>224</v>
      </c>
      <c r="BC20" s="19">
        <v>124158</v>
      </c>
      <c r="BD20" s="19">
        <v>41418</v>
      </c>
      <c r="BE20" s="19">
        <v>1069</v>
      </c>
      <c r="BF20" s="19">
        <v>14032</v>
      </c>
      <c r="BG20" s="19">
        <v>7298</v>
      </c>
      <c r="BH20" s="19">
        <v>5582</v>
      </c>
      <c r="BI20" s="19">
        <v>9</v>
      </c>
      <c r="BJ20" s="19">
        <v>13428</v>
      </c>
      <c r="BK20" s="19">
        <v>82740</v>
      </c>
      <c r="BL20" s="19">
        <v>9338</v>
      </c>
      <c r="BM20" s="19">
        <v>57083</v>
      </c>
      <c r="BN20" s="19">
        <v>3377</v>
      </c>
      <c r="BO20" s="19">
        <v>11489</v>
      </c>
      <c r="BP20" s="19">
        <v>313</v>
      </c>
      <c r="BQ20" s="19">
        <v>1140</v>
      </c>
      <c r="BR20" s="19">
        <v>1899303</v>
      </c>
      <c r="BS20" s="19">
        <v>361348</v>
      </c>
      <c r="BT20" s="19">
        <v>1045628</v>
      </c>
      <c r="BU20" s="19">
        <v>33242</v>
      </c>
      <c r="BV20" s="19">
        <v>399696</v>
      </c>
      <c r="BW20" s="19">
        <v>698</v>
      </c>
      <c r="BX20" s="19">
        <v>58691</v>
      </c>
      <c r="BY20" s="19">
        <v>1857885</v>
      </c>
      <c r="BZ20" s="19">
        <v>360279</v>
      </c>
      <c r="CA20" s="19">
        <v>1031596</v>
      </c>
      <c r="CB20" s="19">
        <v>25944</v>
      </c>
      <c r="CC20" s="19">
        <v>394114</v>
      </c>
      <c r="CD20" s="19">
        <v>689</v>
      </c>
      <c r="CE20" s="19">
        <v>45263</v>
      </c>
      <c r="CF20" s="19">
        <v>41418</v>
      </c>
      <c r="CG20" s="19">
        <v>1069</v>
      </c>
      <c r="CH20" s="19">
        <v>14032</v>
      </c>
      <c r="CI20" s="19">
        <v>7298</v>
      </c>
      <c r="CJ20" s="19">
        <v>5582</v>
      </c>
      <c r="CK20" s="19">
        <v>9</v>
      </c>
      <c r="CL20" s="19">
        <v>13428</v>
      </c>
      <c r="CM20" s="19">
        <v>628733</v>
      </c>
      <c r="CN20" s="19">
        <v>96539</v>
      </c>
      <c r="CO20" s="19">
        <v>512369</v>
      </c>
      <c r="CP20" s="19">
        <v>3994</v>
      </c>
      <c r="CQ20" s="19">
        <v>14136</v>
      </c>
      <c r="CR20" s="19">
        <v>331</v>
      </c>
      <c r="CS20" s="19">
        <v>1364</v>
      </c>
      <c r="CT20" s="19">
        <v>545993</v>
      </c>
      <c r="CU20" s="19">
        <v>87201</v>
      </c>
      <c r="CV20" s="19">
        <v>455286</v>
      </c>
      <c r="CW20" s="19">
        <v>617</v>
      </c>
      <c r="CX20" s="19">
        <v>2647</v>
      </c>
      <c r="CY20" s="19">
        <v>18</v>
      </c>
      <c r="CZ20" s="19">
        <v>224</v>
      </c>
      <c r="DA20" s="19">
        <v>82740</v>
      </c>
      <c r="DB20" s="19">
        <v>9338</v>
      </c>
      <c r="DC20" s="19">
        <v>57083</v>
      </c>
      <c r="DD20" s="19">
        <v>3377</v>
      </c>
      <c r="DE20" s="19">
        <v>11489</v>
      </c>
      <c r="DF20" s="19">
        <v>313</v>
      </c>
      <c r="DG20" s="19">
        <v>1140</v>
      </c>
      <c r="DH20" s="19">
        <v>0</v>
      </c>
      <c r="DI20" s="19">
        <v>44</v>
      </c>
      <c r="DJ20" s="19">
        <v>20</v>
      </c>
      <c r="DK20" s="19">
        <v>3</v>
      </c>
      <c r="DL20" s="19">
        <v>0</v>
      </c>
      <c r="DM20" s="19">
        <v>21</v>
      </c>
    </row>
    <row r="21" spans="1:117" ht="13.5" customHeight="1">
      <c r="A21" s="17" t="s">
        <v>86</v>
      </c>
      <c r="B21" s="18" t="s">
        <v>87</v>
      </c>
      <c r="C21" s="17" t="s">
        <v>59</v>
      </c>
      <c r="D21" s="19">
        <v>773668</v>
      </c>
      <c r="E21" s="19">
        <v>482845</v>
      </c>
      <c r="F21" s="19">
        <v>1</v>
      </c>
      <c r="G21" s="19">
        <v>0</v>
      </c>
      <c r="H21" s="19">
        <v>1</v>
      </c>
      <c r="I21" s="19">
        <v>0</v>
      </c>
      <c r="J21" s="19">
        <v>338756</v>
      </c>
      <c r="K21" s="19">
        <v>5521</v>
      </c>
      <c r="L21" s="19">
        <v>332801</v>
      </c>
      <c r="M21" s="19">
        <v>434</v>
      </c>
      <c r="N21" s="19">
        <v>19130</v>
      </c>
      <c r="O21" s="19">
        <v>56</v>
      </c>
      <c r="P21" s="19">
        <v>19073</v>
      </c>
      <c r="Q21" s="19">
        <v>1</v>
      </c>
      <c r="R21" s="19">
        <v>117443</v>
      </c>
      <c r="S21" s="19">
        <v>71</v>
      </c>
      <c r="T21" s="19">
        <v>117017</v>
      </c>
      <c r="U21" s="19">
        <v>355</v>
      </c>
      <c r="V21" s="19">
        <v>718</v>
      </c>
      <c r="W21" s="19">
        <v>67</v>
      </c>
      <c r="X21" s="19">
        <v>651</v>
      </c>
      <c r="Y21" s="19">
        <v>0</v>
      </c>
      <c r="Z21" s="19">
        <v>6797</v>
      </c>
      <c r="AA21" s="19">
        <v>338</v>
      </c>
      <c r="AB21" s="19">
        <v>6457</v>
      </c>
      <c r="AC21" s="19">
        <v>2</v>
      </c>
      <c r="AD21" s="19">
        <v>205328</v>
      </c>
      <c r="AE21" s="19">
        <v>0</v>
      </c>
      <c r="AF21" s="19">
        <v>0</v>
      </c>
      <c r="AG21" s="19">
        <v>0</v>
      </c>
      <c r="AH21" s="19">
        <v>0</v>
      </c>
      <c r="AI21" s="19">
        <v>193139</v>
      </c>
      <c r="AJ21" s="19">
        <v>34</v>
      </c>
      <c r="AK21" s="19">
        <v>427</v>
      </c>
      <c r="AL21" s="19">
        <v>192678</v>
      </c>
      <c r="AM21" s="19">
        <v>4872</v>
      </c>
      <c r="AN21" s="19">
        <v>0</v>
      </c>
      <c r="AO21" s="19">
        <v>7</v>
      </c>
      <c r="AP21" s="19">
        <v>4865</v>
      </c>
      <c r="AQ21" s="19">
        <v>6581</v>
      </c>
      <c r="AR21" s="19">
        <v>15</v>
      </c>
      <c r="AS21" s="19">
        <v>91</v>
      </c>
      <c r="AT21" s="19">
        <v>6475</v>
      </c>
      <c r="AU21" s="19">
        <v>5</v>
      </c>
      <c r="AV21" s="19">
        <v>0</v>
      </c>
      <c r="AW21" s="19">
        <v>0</v>
      </c>
      <c r="AX21" s="19">
        <v>5</v>
      </c>
      <c r="AY21" s="19">
        <v>731</v>
      </c>
      <c r="AZ21" s="19">
        <v>0</v>
      </c>
      <c r="BA21" s="19">
        <v>0</v>
      </c>
      <c r="BB21" s="19">
        <v>731</v>
      </c>
      <c r="BC21" s="19">
        <v>85495</v>
      </c>
      <c r="BD21" s="19">
        <v>47172</v>
      </c>
      <c r="BE21" s="19">
        <v>0</v>
      </c>
      <c r="BF21" s="19">
        <v>24422</v>
      </c>
      <c r="BG21" s="19">
        <v>4653</v>
      </c>
      <c r="BH21" s="19">
        <v>7263</v>
      </c>
      <c r="BI21" s="19">
        <v>222</v>
      </c>
      <c r="BJ21" s="19">
        <v>10612</v>
      </c>
      <c r="BK21" s="19">
        <v>38323</v>
      </c>
      <c r="BL21" s="19">
        <v>0</v>
      </c>
      <c r="BM21" s="19">
        <v>30413</v>
      </c>
      <c r="BN21" s="19">
        <v>3599</v>
      </c>
      <c r="BO21" s="19">
        <v>3697</v>
      </c>
      <c r="BP21" s="19">
        <v>13</v>
      </c>
      <c r="BQ21" s="19">
        <v>601</v>
      </c>
      <c r="BR21" s="19">
        <v>530017</v>
      </c>
      <c r="BS21" s="19">
        <v>1</v>
      </c>
      <c r="BT21" s="19">
        <v>363178</v>
      </c>
      <c r="BU21" s="19">
        <v>23783</v>
      </c>
      <c r="BV21" s="19">
        <v>124706</v>
      </c>
      <c r="BW21" s="19">
        <v>940</v>
      </c>
      <c r="BX21" s="19">
        <v>17409</v>
      </c>
      <c r="BY21" s="19">
        <v>482845</v>
      </c>
      <c r="BZ21" s="19">
        <v>1</v>
      </c>
      <c r="CA21" s="19">
        <v>338756</v>
      </c>
      <c r="CB21" s="19">
        <v>19130</v>
      </c>
      <c r="CC21" s="19">
        <v>117443</v>
      </c>
      <c r="CD21" s="19">
        <v>718</v>
      </c>
      <c r="CE21" s="19">
        <v>6797</v>
      </c>
      <c r="CF21" s="19">
        <v>47172</v>
      </c>
      <c r="CG21" s="19">
        <v>0</v>
      </c>
      <c r="CH21" s="19">
        <v>24422</v>
      </c>
      <c r="CI21" s="19">
        <v>4653</v>
      </c>
      <c r="CJ21" s="19">
        <v>7263</v>
      </c>
      <c r="CK21" s="19">
        <v>222</v>
      </c>
      <c r="CL21" s="19">
        <v>10612</v>
      </c>
      <c r="CM21" s="19">
        <v>243651</v>
      </c>
      <c r="CN21" s="19">
        <v>0</v>
      </c>
      <c r="CO21" s="19">
        <v>223552</v>
      </c>
      <c r="CP21" s="19">
        <v>8471</v>
      </c>
      <c r="CQ21" s="19">
        <v>10278</v>
      </c>
      <c r="CR21" s="19">
        <v>18</v>
      </c>
      <c r="CS21" s="19">
        <v>1332</v>
      </c>
      <c r="CT21" s="19">
        <v>205328</v>
      </c>
      <c r="CU21" s="19">
        <v>0</v>
      </c>
      <c r="CV21" s="19">
        <v>193139</v>
      </c>
      <c r="CW21" s="19">
        <v>4872</v>
      </c>
      <c r="CX21" s="19">
        <v>6581</v>
      </c>
      <c r="CY21" s="19">
        <v>5</v>
      </c>
      <c r="CZ21" s="19">
        <v>731</v>
      </c>
      <c r="DA21" s="19">
        <v>38323</v>
      </c>
      <c r="DB21" s="19">
        <v>0</v>
      </c>
      <c r="DC21" s="19">
        <v>30413</v>
      </c>
      <c r="DD21" s="19">
        <v>3599</v>
      </c>
      <c r="DE21" s="19">
        <v>3697</v>
      </c>
      <c r="DF21" s="19">
        <v>13</v>
      </c>
      <c r="DG21" s="19">
        <v>601</v>
      </c>
      <c r="DH21" s="19">
        <v>0</v>
      </c>
      <c r="DI21" s="19">
        <v>79</v>
      </c>
      <c r="DJ21" s="19">
        <v>3</v>
      </c>
      <c r="DK21" s="19">
        <v>0</v>
      </c>
      <c r="DL21" s="19">
        <v>3</v>
      </c>
      <c r="DM21" s="19">
        <v>73</v>
      </c>
    </row>
    <row r="22" spans="1:117" ht="13.5" customHeight="1">
      <c r="A22" s="17" t="s">
        <v>88</v>
      </c>
      <c r="B22" s="18" t="s">
        <v>89</v>
      </c>
      <c r="C22" s="17" t="s">
        <v>59</v>
      </c>
      <c r="D22" s="19">
        <v>372965</v>
      </c>
      <c r="E22" s="19">
        <v>226228</v>
      </c>
      <c r="F22" s="19">
        <v>0</v>
      </c>
      <c r="G22" s="19">
        <v>0</v>
      </c>
      <c r="H22" s="19">
        <v>0</v>
      </c>
      <c r="I22" s="19">
        <v>0</v>
      </c>
      <c r="J22" s="19">
        <v>187830</v>
      </c>
      <c r="K22" s="19">
        <v>49376</v>
      </c>
      <c r="L22" s="19">
        <v>138410</v>
      </c>
      <c r="M22" s="19">
        <v>44</v>
      </c>
      <c r="N22" s="19">
        <v>13177</v>
      </c>
      <c r="O22" s="19">
        <v>2720</v>
      </c>
      <c r="P22" s="19">
        <v>10449</v>
      </c>
      <c r="Q22" s="19">
        <v>8</v>
      </c>
      <c r="R22" s="19">
        <v>23668</v>
      </c>
      <c r="S22" s="19">
        <v>3976</v>
      </c>
      <c r="T22" s="19">
        <v>19692</v>
      </c>
      <c r="U22" s="19">
        <v>0</v>
      </c>
      <c r="V22" s="19">
        <v>923</v>
      </c>
      <c r="W22" s="19">
        <v>881</v>
      </c>
      <c r="X22" s="19">
        <v>42</v>
      </c>
      <c r="Y22" s="19">
        <v>0</v>
      </c>
      <c r="Z22" s="19">
        <v>630</v>
      </c>
      <c r="AA22" s="19">
        <v>0</v>
      </c>
      <c r="AB22" s="19">
        <v>630</v>
      </c>
      <c r="AC22" s="19">
        <v>0</v>
      </c>
      <c r="AD22" s="19">
        <v>80251</v>
      </c>
      <c r="AE22" s="19">
        <v>0</v>
      </c>
      <c r="AF22" s="19">
        <v>0</v>
      </c>
      <c r="AG22" s="19">
        <v>0</v>
      </c>
      <c r="AH22" s="19">
        <v>0</v>
      </c>
      <c r="AI22" s="19">
        <v>78349</v>
      </c>
      <c r="AJ22" s="19">
        <v>24</v>
      </c>
      <c r="AK22" s="19">
        <v>2333</v>
      </c>
      <c r="AL22" s="19">
        <v>75992</v>
      </c>
      <c r="AM22" s="19">
        <v>1769</v>
      </c>
      <c r="AN22" s="19">
        <v>0</v>
      </c>
      <c r="AO22" s="19">
        <v>568</v>
      </c>
      <c r="AP22" s="19">
        <v>1201</v>
      </c>
      <c r="AQ22" s="19">
        <v>47</v>
      </c>
      <c r="AR22" s="19">
        <v>0</v>
      </c>
      <c r="AS22" s="19">
        <v>0</v>
      </c>
      <c r="AT22" s="19">
        <v>47</v>
      </c>
      <c r="AU22" s="19">
        <v>0</v>
      </c>
      <c r="AV22" s="19">
        <v>0</v>
      </c>
      <c r="AW22" s="19">
        <v>0</v>
      </c>
      <c r="AX22" s="19">
        <v>0</v>
      </c>
      <c r="AY22" s="19">
        <v>86</v>
      </c>
      <c r="AZ22" s="19">
        <v>0</v>
      </c>
      <c r="BA22" s="19">
        <v>0</v>
      </c>
      <c r="BB22" s="19">
        <v>86</v>
      </c>
      <c r="BC22" s="19">
        <v>66486</v>
      </c>
      <c r="BD22" s="19">
        <v>14509</v>
      </c>
      <c r="BE22" s="19">
        <v>0</v>
      </c>
      <c r="BF22" s="19">
        <v>5232</v>
      </c>
      <c r="BG22" s="19">
        <v>1250</v>
      </c>
      <c r="BH22" s="19">
        <v>5256</v>
      </c>
      <c r="BI22" s="19">
        <v>104</v>
      </c>
      <c r="BJ22" s="19">
        <v>2667</v>
      </c>
      <c r="BK22" s="19">
        <v>51977</v>
      </c>
      <c r="BL22" s="19">
        <v>0</v>
      </c>
      <c r="BM22" s="19">
        <v>15289</v>
      </c>
      <c r="BN22" s="19">
        <v>1715</v>
      </c>
      <c r="BO22" s="19">
        <v>34012</v>
      </c>
      <c r="BP22" s="19">
        <v>8</v>
      </c>
      <c r="BQ22" s="19">
        <v>953</v>
      </c>
      <c r="BR22" s="19">
        <v>240737</v>
      </c>
      <c r="BS22" s="19">
        <v>0</v>
      </c>
      <c r="BT22" s="19">
        <v>193062</v>
      </c>
      <c r="BU22" s="19">
        <v>14427</v>
      </c>
      <c r="BV22" s="19">
        <v>28924</v>
      </c>
      <c r="BW22" s="19">
        <v>1027</v>
      </c>
      <c r="BX22" s="19">
        <v>3297</v>
      </c>
      <c r="BY22" s="19">
        <v>226228</v>
      </c>
      <c r="BZ22" s="19">
        <v>0</v>
      </c>
      <c r="CA22" s="19">
        <v>187830</v>
      </c>
      <c r="CB22" s="19">
        <v>13177</v>
      </c>
      <c r="CC22" s="19">
        <v>23668</v>
      </c>
      <c r="CD22" s="19">
        <v>923</v>
      </c>
      <c r="CE22" s="19">
        <v>630</v>
      </c>
      <c r="CF22" s="19">
        <v>14509</v>
      </c>
      <c r="CG22" s="19">
        <v>0</v>
      </c>
      <c r="CH22" s="19">
        <v>5232</v>
      </c>
      <c r="CI22" s="19">
        <v>1250</v>
      </c>
      <c r="CJ22" s="19">
        <v>5256</v>
      </c>
      <c r="CK22" s="19">
        <v>104</v>
      </c>
      <c r="CL22" s="19">
        <v>2667</v>
      </c>
      <c r="CM22" s="19">
        <v>132228</v>
      </c>
      <c r="CN22" s="19">
        <v>0</v>
      </c>
      <c r="CO22" s="19">
        <v>93638</v>
      </c>
      <c r="CP22" s="19">
        <v>3484</v>
      </c>
      <c r="CQ22" s="19">
        <v>34059</v>
      </c>
      <c r="CR22" s="19">
        <v>8</v>
      </c>
      <c r="CS22" s="19">
        <v>1039</v>
      </c>
      <c r="CT22" s="19">
        <v>80251</v>
      </c>
      <c r="CU22" s="19">
        <v>0</v>
      </c>
      <c r="CV22" s="19">
        <v>78349</v>
      </c>
      <c r="CW22" s="19">
        <v>1769</v>
      </c>
      <c r="CX22" s="19">
        <v>47</v>
      </c>
      <c r="CY22" s="19">
        <v>0</v>
      </c>
      <c r="CZ22" s="19">
        <v>86</v>
      </c>
      <c r="DA22" s="19">
        <v>51977</v>
      </c>
      <c r="DB22" s="19">
        <v>0</v>
      </c>
      <c r="DC22" s="19">
        <v>15289</v>
      </c>
      <c r="DD22" s="19">
        <v>1715</v>
      </c>
      <c r="DE22" s="19">
        <v>34012</v>
      </c>
      <c r="DF22" s="19">
        <v>8</v>
      </c>
      <c r="DG22" s="19">
        <v>953</v>
      </c>
      <c r="DH22" s="19">
        <v>0</v>
      </c>
      <c r="DI22" s="19">
        <v>47</v>
      </c>
      <c r="DJ22" s="19">
        <v>1</v>
      </c>
      <c r="DK22" s="19">
        <v>15</v>
      </c>
      <c r="DL22" s="19">
        <v>31</v>
      </c>
      <c r="DM22" s="19">
        <v>0</v>
      </c>
    </row>
    <row r="23" spans="1:117" ht="13.5" customHeight="1">
      <c r="A23" s="17" t="s">
        <v>90</v>
      </c>
      <c r="B23" s="18" t="s">
        <v>91</v>
      </c>
      <c r="C23" s="17" t="s">
        <v>59</v>
      </c>
      <c r="D23" s="19">
        <v>366537</v>
      </c>
      <c r="E23" s="19">
        <v>213314</v>
      </c>
      <c r="F23" s="19">
        <v>0</v>
      </c>
      <c r="G23" s="19">
        <v>0</v>
      </c>
      <c r="H23" s="19">
        <v>0</v>
      </c>
      <c r="I23" s="19">
        <v>0</v>
      </c>
      <c r="J23" s="19">
        <v>176466</v>
      </c>
      <c r="K23" s="19">
        <v>9240</v>
      </c>
      <c r="L23" s="19">
        <v>167198</v>
      </c>
      <c r="M23" s="19">
        <v>28</v>
      </c>
      <c r="N23" s="19">
        <v>6617</v>
      </c>
      <c r="O23" s="19">
        <v>310</v>
      </c>
      <c r="P23" s="19">
        <v>6303</v>
      </c>
      <c r="Q23" s="19">
        <v>4</v>
      </c>
      <c r="R23" s="19">
        <v>25041</v>
      </c>
      <c r="S23" s="19">
        <v>1638</v>
      </c>
      <c r="T23" s="19">
        <v>23305</v>
      </c>
      <c r="U23" s="19">
        <v>98</v>
      </c>
      <c r="V23" s="19">
        <v>47</v>
      </c>
      <c r="W23" s="19">
        <v>0</v>
      </c>
      <c r="X23" s="19">
        <v>47</v>
      </c>
      <c r="Y23" s="19">
        <v>0</v>
      </c>
      <c r="Z23" s="19">
        <v>5143</v>
      </c>
      <c r="AA23" s="19">
        <v>1831</v>
      </c>
      <c r="AB23" s="19">
        <v>3007</v>
      </c>
      <c r="AC23" s="19">
        <v>305</v>
      </c>
      <c r="AD23" s="19">
        <v>104501</v>
      </c>
      <c r="AE23" s="19">
        <v>0</v>
      </c>
      <c r="AF23" s="19">
        <v>0</v>
      </c>
      <c r="AG23" s="19">
        <v>0</v>
      </c>
      <c r="AH23" s="19">
        <v>0</v>
      </c>
      <c r="AI23" s="19">
        <v>92758</v>
      </c>
      <c r="AJ23" s="19">
        <v>0</v>
      </c>
      <c r="AK23" s="19">
        <v>4469</v>
      </c>
      <c r="AL23" s="19">
        <v>88289</v>
      </c>
      <c r="AM23" s="19">
        <v>4371</v>
      </c>
      <c r="AN23" s="19">
        <v>0</v>
      </c>
      <c r="AO23" s="19">
        <v>203</v>
      </c>
      <c r="AP23" s="19">
        <v>4168</v>
      </c>
      <c r="AQ23" s="19">
        <v>6125</v>
      </c>
      <c r="AR23" s="19">
        <v>0</v>
      </c>
      <c r="AS23" s="19">
        <v>504</v>
      </c>
      <c r="AT23" s="19">
        <v>5621</v>
      </c>
      <c r="AU23" s="19">
        <v>41</v>
      </c>
      <c r="AV23" s="19">
        <v>0</v>
      </c>
      <c r="AW23" s="19">
        <v>6</v>
      </c>
      <c r="AX23" s="19">
        <v>35</v>
      </c>
      <c r="AY23" s="19">
        <v>1206</v>
      </c>
      <c r="AZ23" s="19">
        <v>0</v>
      </c>
      <c r="BA23" s="19">
        <v>53</v>
      </c>
      <c r="BB23" s="19">
        <v>1153</v>
      </c>
      <c r="BC23" s="19">
        <v>48722</v>
      </c>
      <c r="BD23" s="19">
        <v>20897</v>
      </c>
      <c r="BE23" s="19">
        <v>0</v>
      </c>
      <c r="BF23" s="19">
        <v>4103</v>
      </c>
      <c r="BG23" s="19">
        <v>2796</v>
      </c>
      <c r="BH23" s="19">
        <v>5959</v>
      </c>
      <c r="BI23" s="19">
        <v>1341</v>
      </c>
      <c r="BJ23" s="19">
        <v>6698</v>
      </c>
      <c r="BK23" s="19">
        <v>27825</v>
      </c>
      <c r="BL23" s="19">
        <v>0</v>
      </c>
      <c r="BM23" s="19">
        <v>7343</v>
      </c>
      <c r="BN23" s="19">
        <v>10929</v>
      </c>
      <c r="BO23" s="19">
        <v>3738</v>
      </c>
      <c r="BP23" s="19">
        <v>471</v>
      </c>
      <c r="BQ23" s="19">
        <v>5344</v>
      </c>
      <c r="BR23" s="19">
        <v>234211</v>
      </c>
      <c r="BS23" s="19">
        <v>0</v>
      </c>
      <c r="BT23" s="19">
        <v>180569</v>
      </c>
      <c r="BU23" s="19">
        <v>9413</v>
      </c>
      <c r="BV23" s="19">
        <v>31000</v>
      </c>
      <c r="BW23" s="19">
        <v>1388</v>
      </c>
      <c r="BX23" s="19">
        <v>11841</v>
      </c>
      <c r="BY23" s="19">
        <v>213314</v>
      </c>
      <c r="BZ23" s="19">
        <v>0</v>
      </c>
      <c r="CA23" s="19">
        <v>176466</v>
      </c>
      <c r="CB23" s="19">
        <v>6617</v>
      </c>
      <c r="CC23" s="19">
        <v>25041</v>
      </c>
      <c r="CD23" s="19">
        <v>47</v>
      </c>
      <c r="CE23" s="19">
        <v>5143</v>
      </c>
      <c r="CF23" s="19">
        <v>20897</v>
      </c>
      <c r="CG23" s="19">
        <v>0</v>
      </c>
      <c r="CH23" s="19">
        <v>4103</v>
      </c>
      <c r="CI23" s="19">
        <v>2796</v>
      </c>
      <c r="CJ23" s="19">
        <v>5959</v>
      </c>
      <c r="CK23" s="19">
        <v>1341</v>
      </c>
      <c r="CL23" s="19">
        <v>6698</v>
      </c>
      <c r="CM23" s="19">
        <v>132326</v>
      </c>
      <c r="CN23" s="19">
        <v>0</v>
      </c>
      <c r="CO23" s="19">
        <v>100101</v>
      </c>
      <c r="CP23" s="19">
        <v>15300</v>
      </c>
      <c r="CQ23" s="19">
        <v>9863</v>
      </c>
      <c r="CR23" s="19">
        <v>512</v>
      </c>
      <c r="CS23" s="19">
        <v>6550</v>
      </c>
      <c r="CT23" s="19">
        <v>104501</v>
      </c>
      <c r="CU23" s="19">
        <v>0</v>
      </c>
      <c r="CV23" s="19">
        <v>92758</v>
      </c>
      <c r="CW23" s="19">
        <v>4371</v>
      </c>
      <c r="CX23" s="19">
        <v>6125</v>
      </c>
      <c r="CY23" s="19">
        <v>41</v>
      </c>
      <c r="CZ23" s="19">
        <v>1206</v>
      </c>
      <c r="DA23" s="19">
        <v>27825</v>
      </c>
      <c r="DB23" s="19">
        <v>0</v>
      </c>
      <c r="DC23" s="19">
        <v>7343</v>
      </c>
      <c r="DD23" s="19">
        <v>10929</v>
      </c>
      <c r="DE23" s="19">
        <v>3738</v>
      </c>
      <c r="DF23" s="19">
        <v>471</v>
      </c>
      <c r="DG23" s="19">
        <v>5344</v>
      </c>
      <c r="DH23" s="19">
        <v>1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</row>
    <row r="24" spans="1:117" ht="13.5" customHeight="1">
      <c r="A24" s="17" t="s">
        <v>92</v>
      </c>
      <c r="B24" s="18" t="s">
        <v>93</v>
      </c>
      <c r="C24" s="17" t="s">
        <v>59</v>
      </c>
      <c r="D24" s="19">
        <v>249145</v>
      </c>
      <c r="E24" s="19">
        <v>162877</v>
      </c>
      <c r="F24" s="19">
        <v>0</v>
      </c>
      <c r="G24" s="19">
        <v>0</v>
      </c>
      <c r="H24" s="19">
        <v>0</v>
      </c>
      <c r="I24" s="19">
        <v>0</v>
      </c>
      <c r="J24" s="19">
        <v>133052</v>
      </c>
      <c r="K24" s="19">
        <v>13039</v>
      </c>
      <c r="L24" s="19">
        <v>119714</v>
      </c>
      <c r="M24" s="19">
        <v>299</v>
      </c>
      <c r="N24" s="19">
        <v>11316</v>
      </c>
      <c r="O24" s="19">
        <v>35</v>
      </c>
      <c r="P24" s="19">
        <v>11264</v>
      </c>
      <c r="Q24" s="19">
        <v>17</v>
      </c>
      <c r="R24" s="19">
        <v>16232</v>
      </c>
      <c r="S24" s="19">
        <v>279</v>
      </c>
      <c r="T24" s="19">
        <v>15949</v>
      </c>
      <c r="U24" s="19">
        <v>4</v>
      </c>
      <c r="V24" s="19">
        <v>181</v>
      </c>
      <c r="W24" s="19">
        <v>3</v>
      </c>
      <c r="X24" s="19">
        <v>178</v>
      </c>
      <c r="Y24" s="19">
        <v>0</v>
      </c>
      <c r="Z24" s="19">
        <v>2096</v>
      </c>
      <c r="AA24" s="19">
        <v>320</v>
      </c>
      <c r="AB24" s="19">
        <v>1773</v>
      </c>
      <c r="AC24" s="19">
        <v>3</v>
      </c>
      <c r="AD24" s="19">
        <v>47324</v>
      </c>
      <c r="AE24" s="19">
        <v>0</v>
      </c>
      <c r="AF24" s="19">
        <v>0</v>
      </c>
      <c r="AG24" s="19">
        <v>0</v>
      </c>
      <c r="AH24" s="19">
        <v>0</v>
      </c>
      <c r="AI24" s="19">
        <v>44251</v>
      </c>
      <c r="AJ24" s="19">
        <v>0</v>
      </c>
      <c r="AK24" s="19">
        <v>2096</v>
      </c>
      <c r="AL24" s="19">
        <v>42155</v>
      </c>
      <c r="AM24" s="19">
        <v>1928</v>
      </c>
      <c r="AN24" s="19">
        <v>0</v>
      </c>
      <c r="AO24" s="19">
        <v>18</v>
      </c>
      <c r="AP24" s="19">
        <v>1910</v>
      </c>
      <c r="AQ24" s="19">
        <v>514</v>
      </c>
      <c r="AR24" s="19">
        <v>0</v>
      </c>
      <c r="AS24" s="19">
        <v>48</v>
      </c>
      <c r="AT24" s="19">
        <v>466</v>
      </c>
      <c r="AU24" s="19">
        <v>6</v>
      </c>
      <c r="AV24" s="19">
        <v>0</v>
      </c>
      <c r="AW24" s="19">
        <v>0</v>
      </c>
      <c r="AX24" s="19">
        <v>6</v>
      </c>
      <c r="AY24" s="19">
        <v>625</v>
      </c>
      <c r="AZ24" s="19">
        <v>0</v>
      </c>
      <c r="BA24" s="19">
        <v>0</v>
      </c>
      <c r="BB24" s="19">
        <v>625</v>
      </c>
      <c r="BC24" s="19">
        <v>38944</v>
      </c>
      <c r="BD24" s="19">
        <v>19045</v>
      </c>
      <c r="BE24" s="19">
        <v>0</v>
      </c>
      <c r="BF24" s="19">
        <v>6394</v>
      </c>
      <c r="BG24" s="19">
        <v>5064</v>
      </c>
      <c r="BH24" s="19">
        <v>703</v>
      </c>
      <c r="BI24" s="19">
        <v>4</v>
      </c>
      <c r="BJ24" s="19">
        <v>6880</v>
      </c>
      <c r="BK24" s="19">
        <v>19899</v>
      </c>
      <c r="BL24" s="19">
        <v>0</v>
      </c>
      <c r="BM24" s="19">
        <v>17162</v>
      </c>
      <c r="BN24" s="19">
        <v>1337</v>
      </c>
      <c r="BO24" s="19">
        <v>138</v>
      </c>
      <c r="BP24" s="19">
        <v>157</v>
      </c>
      <c r="BQ24" s="19">
        <v>1105</v>
      </c>
      <c r="BR24" s="19">
        <v>181922</v>
      </c>
      <c r="BS24" s="19">
        <v>0</v>
      </c>
      <c r="BT24" s="19">
        <v>139446</v>
      </c>
      <c r="BU24" s="19">
        <v>16380</v>
      </c>
      <c r="BV24" s="19">
        <v>16935</v>
      </c>
      <c r="BW24" s="19">
        <v>185</v>
      </c>
      <c r="BX24" s="19">
        <v>8976</v>
      </c>
      <c r="BY24" s="19">
        <v>162877</v>
      </c>
      <c r="BZ24" s="19">
        <v>0</v>
      </c>
      <c r="CA24" s="19">
        <v>133052</v>
      </c>
      <c r="CB24" s="19">
        <v>11316</v>
      </c>
      <c r="CC24" s="19">
        <v>16232</v>
      </c>
      <c r="CD24" s="19">
        <v>181</v>
      </c>
      <c r="CE24" s="19">
        <v>2096</v>
      </c>
      <c r="CF24" s="19">
        <v>19045</v>
      </c>
      <c r="CG24" s="19">
        <v>0</v>
      </c>
      <c r="CH24" s="19">
        <v>6394</v>
      </c>
      <c r="CI24" s="19">
        <v>5064</v>
      </c>
      <c r="CJ24" s="19">
        <v>703</v>
      </c>
      <c r="CK24" s="19">
        <v>4</v>
      </c>
      <c r="CL24" s="19">
        <v>6880</v>
      </c>
      <c r="CM24" s="19">
        <v>67223</v>
      </c>
      <c r="CN24" s="19">
        <v>0</v>
      </c>
      <c r="CO24" s="19">
        <v>61413</v>
      </c>
      <c r="CP24" s="19">
        <v>3265</v>
      </c>
      <c r="CQ24" s="19">
        <v>652</v>
      </c>
      <c r="CR24" s="19">
        <v>163</v>
      </c>
      <c r="CS24" s="19">
        <v>1730</v>
      </c>
      <c r="CT24" s="19">
        <v>47324</v>
      </c>
      <c r="CU24" s="19">
        <v>0</v>
      </c>
      <c r="CV24" s="19">
        <v>44251</v>
      </c>
      <c r="CW24" s="19">
        <v>1928</v>
      </c>
      <c r="CX24" s="19">
        <v>514</v>
      </c>
      <c r="CY24" s="19">
        <v>6</v>
      </c>
      <c r="CZ24" s="19">
        <v>625</v>
      </c>
      <c r="DA24" s="19">
        <v>19899</v>
      </c>
      <c r="DB24" s="19">
        <v>0</v>
      </c>
      <c r="DC24" s="19">
        <v>17162</v>
      </c>
      <c r="DD24" s="19">
        <v>1337</v>
      </c>
      <c r="DE24" s="19">
        <v>138</v>
      </c>
      <c r="DF24" s="19">
        <v>157</v>
      </c>
      <c r="DG24" s="19">
        <v>1105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</row>
    <row r="25" spans="1:117" ht="13.5" customHeight="1">
      <c r="A25" s="17" t="s">
        <v>94</v>
      </c>
      <c r="B25" s="18" t="s">
        <v>95</v>
      </c>
      <c r="C25" s="17" t="s">
        <v>59</v>
      </c>
      <c r="D25" s="19">
        <v>275368</v>
      </c>
      <c r="E25" s="19">
        <v>185989</v>
      </c>
      <c r="F25" s="19">
        <v>0</v>
      </c>
      <c r="G25" s="19">
        <v>0</v>
      </c>
      <c r="H25" s="19">
        <v>0</v>
      </c>
      <c r="I25" s="19">
        <v>0</v>
      </c>
      <c r="J25" s="19">
        <v>151092</v>
      </c>
      <c r="K25" s="19">
        <v>1561</v>
      </c>
      <c r="L25" s="19">
        <v>149531</v>
      </c>
      <c r="M25" s="19">
        <v>0</v>
      </c>
      <c r="N25" s="19">
        <v>9895</v>
      </c>
      <c r="O25" s="19">
        <v>134</v>
      </c>
      <c r="P25" s="19">
        <v>9761</v>
      </c>
      <c r="Q25" s="19">
        <v>0</v>
      </c>
      <c r="R25" s="19">
        <v>21426</v>
      </c>
      <c r="S25" s="19">
        <v>1284</v>
      </c>
      <c r="T25" s="19">
        <v>19991</v>
      </c>
      <c r="U25" s="19">
        <v>151</v>
      </c>
      <c r="V25" s="19">
        <v>104</v>
      </c>
      <c r="W25" s="19">
        <v>25</v>
      </c>
      <c r="X25" s="19">
        <v>79</v>
      </c>
      <c r="Y25" s="19">
        <v>0</v>
      </c>
      <c r="Z25" s="19">
        <v>3472</v>
      </c>
      <c r="AA25" s="19">
        <v>160</v>
      </c>
      <c r="AB25" s="19">
        <v>3312</v>
      </c>
      <c r="AC25" s="19">
        <v>0</v>
      </c>
      <c r="AD25" s="19">
        <v>64728</v>
      </c>
      <c r="AE25" s="19">
        <v>0</v>
      </c>
      <c r="AF25" s="19">
        <v>0</v>
      </c>
      <c r="AG25" s="19">
        <v>0</v>
      </c>
      <c r="AH25" s="19">
        <v>0</v>
      </c>
      <c r="AI25" s="19">
        <v>62234</v>
      </c>
      <c r="AJ25" s="19">
        <v>0</v>
      </c>
      <c r="AK25" s="19">
        <v>504</v>
      </c>
      <c r="AL25" s="19">
        <v>61730</v>
      </c>
      <c r="AM25" s="19">
        <v>815</v>
      </c>
      <c r="AN25" s="19">
        <v>0</v>
      </c>
      <c r="AO25" s="19">
        <v>10</v>
      </c>
      <c r="AP25" s="19">
        <v>805</v>
      </c>
      <c r="AQ25" s="19">
        <v>1456</v>
      </c>
      <c r="AR25" s="19">
        <v>0</v>
      </c>
      <c r="AS25" s="19">
        <v>99</v>
      </c>
      <c r="AT25" s="19">
        <v>1357</v>
      </c>
      <c r="AU25" s="19">
        <v>11</v>
      </c>
      <c r="AV25" s="19">
        <v>0</v>
      </c>
      <c r="AW25" s="19">
        <v>0</v>
      </c>
      <c r="AX25" s="19">
        <v>11</v>
      </c>
      <c r="AY25" s="19">
        <v>212</v>
      </c>
      <c r="AZ25" s="19">
        <v>0</v>
      </c>
      <c r="BA25" s="19">
        <v>0</v>
      </c>
      <c r="BB25" s="19">
        <v>212</v>
      </c>
      <c r="BC25" s="19">
        <v>24651</v>
      </c>
      <c r="BD25" s="19">
        <v>13008</v>
      </c>
      <c r="BE25" s="19">
        <v>0</v>
      </c>
      <c r="BF25" s="19">
        <v>6995</v>
      </c>
      <c r="BG25" s="19">
        <v>2549</v>
      </c>
      <c r="BH25" s="19">
        <v>1246</v>
      </c>
      <c r="BI25" s="19">
        <v>7</v>
      </c>
      <c r="BJ25" s="19">
        <v>2211</v>
      </c>
      <c r="BK25" s="19">
        <v>11643</v>
      </c>
      <c r="BL25" s="19">
        <v>0</v>
      </c>
      <c r="BM25" s="19">
        <v>10729</v>
      </c>
      <c r="BN25" s="19">
        <v>248</v>
      </c>
      <c r="BO25" s="19">
        <v>382</v>
      </c>
      <c r="BP25" s="19">
        <v>12</v>
      </c>
      <c r="BQ25" s="19">
        <v>272</v>
      </c>
      <c r="BR25" s="19">
        <v>198997</v>
      </c>
      <c r="BS25" s="19">
        <v>0</v>
      </c>
      <c r="BT25" s="19">
        <v>158087</v>
      </c>
      <c r="BU25" s="19">
        <v>12444</v>
      </c>
      <c r="BV25" s="19">
        <v>22672</v>
      </c>
      <c r="BW25" s="19">
        <v>111</v>
      </c>
      <c r="BX25" s="19">
        <v>5683</v>
      </c>
      <c r="BY25" s="19">
        <v>185989</v>
      </c>
      <c r="BZ25" s="19">
        <v>0</v>
      </c>
      <c r="CA25" s="19">
        <v>151092</v>
      </c>
      <c r="CB25" s="19">
        <v>9895</v>
      </c>
      <c r="CC25" s="19">
        <v>21426</v>
      </c>
      <c r="CD25" s="19">
        <v>104</v>
      </c>
      <c r="CE25" s="19">
        <v>3472</v>
      </c>
      <c r="CF25" s="19">
        <v>13008</v>
      </c>
      <c r="CG25" s="19">
        <v>0</v>
      </c>
      <c r="CH25" s="19">
        <v>6995</v>
      </c>
      <c r="CI25" s="19">
        <v>2549</v>
      </c>
      <c r="CJ25" s="19">
        <v>1246</v>
      </c>
      <c r="CK25" s="19">
        <v>7</v>
      </c>
      <c r="CL25" s="19">
        <v>2211</v>
      </c>
      <c r="CM25" s="19">
        <v>76371</v>
      </c>
      <c r="CN25" s="19">
        <v>0</v>
      </c>
      <c r="CO25" s="19">
        <v>72963</v>
      </c>
      <c r="CP25" s="19">
        <v>1063</v>
      </c>
      <c r="CQ25" s="19">
        <v>1838</v>
      </c>
      <c r="CR25" s="19">
        <v>23</v>
      </c>
      <c r="CS25" s="19">
        <v>484</v>
      </c>
      <c r="CT25" s="19">
        <v>64728</v>
      </c>
      <c r="CU25" s="19">
        <v>0</v>
      </c>
      <c r="CV25" s="19">
        <v>62234</v>
      </c>
      <c r="CW25" s="19">
        <v>815</v>
      </c>
      <c r="CX25" s="19">
        <v>1456</v>
      </c>
      <c r="CY25" s="19">
        <v>11</v>
      </c>
      <c r="CZ25" s="19">
        <v>212</v>
      </c>
      <c r="DA25" s="19">
        <v>11643</v>
      </c>
      <c r="DB25" s="19">
        <v>0</v>
      </c>
      <c r="DC25" s="19">
        <v>10729</v>
      </c>
      <c r="DD25" s="19">
        <v>248</v>
      </c>
      <c r="DE25" s="19">
        <v>382</v>
      </c>
      <c r="DF25" s="19">
        <v>12</v>
      </c>
      <c r="DG25" s="19">
        <v>272</v>
      </c>
      <c r="DH25" s="19">
        <v>0</v>
      </c>
      <c r="DI25" s="19">
        <v>35</v>
      </c>
      <c r="DJ25" s="19">
        <v>6</v>
      </c>
      <c r="DK25" s="19">
        <v>26</v>
      </c>
      <c r="DL25" s="19">
        <v>0</v>
      </c>
      <c r="DM25" s="19">
        <v>3</v>
      </c>
    </row>
    <row r="26" spans="1:117" ht="13.5" customHeight="1">
      <c r="A26" s="17" t="s">
        <v>96</v>
      </c>
      <c r="B26" s="18" t="s">
        <v>97</v>
      </c>
      <c r="C26" s="17" t="s">
        <v>59</v>
      </c>
      <c r="D26" s="19">
        <v>587669</v>
      </c>
      <c r="E26" s="19">
        <v>378919</v>
      </c>
      <c r="F26" s="19">
        <v>0</v>
      </c>
      <c r="G26" s="19">
        <v>0</v>
      </c>
      <c r="H26" s="19">
        <v>0</v>
      </c>
      <c r="I26" s="19">
        <v>0</v>
      </c>
      <c r="J26" s="19">
        <v>281567</v>
      </c>
      <c r="K26" s="19">
        <v>6093</v>
      </c>
      <c r="L26" s="19">
        <v>274891</v>
      </c>
      <c r="M26" s="19">
        <v>583</v>
      </c>
      <c r="N26" s="19">
        <v>16093</v>
      </c>
      <c r="O26" s="19">
        <v>776</v>
      </c>
      <c r="P26" s="19">
        <v>15317</v>
      </c>
      <c r="Q26" s="19">
        <v>0</v>
      </c>
      <c r="R26" s="19">
        <v>79759</v>
      </c>
      <c r="S26" s="19">
        <v>3447</v>
      </c>
      <c r="T26" s="19">
        <v>75585</v>
      </c>
      <c r="U26" s="19">
        <v>727</v>
      </c>
      <c r="V26" s="19">
        <v>205</v>
      </c>
      <c r="W26" s="19">
        <v>37</v>
      </c>
      <c r="X26" s="19">
        <v>168</v>
      </c>
      <c r="Y26" s="19">
        <v>0</v>
      </c>
      <c r="Z26" s="19">
        <v>1295</v>
      </c>
      <c r="AA26" s="19">
        <v>319</v>
      </c>
      <c r="AB26" s="19">
        <v>765</v>
      </c>
      <c r="AC26" s="19">
        <v>211</v>
      </c>
      <c r="AD26" s="19">
        <v>156883</v>
      </c>
      <c r="AE26" s="19">
        <v>3</v>
      </c>
      <c r="AF26" s="19">
        <v>0</v>
      </c>
      <c r="AG26" s="19">
        <v>0</v>
      </c>
      <c r="AH26" s="19">
        <v>3</v>
      </c>
      <c r="AI26" s="19">
        <v>152759</v>
      </c>
      <c r="AJ26" s="19">
        <v>1378</v>
      </c>
      <c r="AK26" s="19">
        <v>1348</v>
      </c>
      <c r="AL26" s="19">
        <v>150033</v>
      </c>
      <c r="AM26" s="19">
        <v>1023</v>
      </c>
      <c r="AN26" s="19">
        <v>0</v>
      </c>
      <c r="AO26" s="19">
        <v>7</v>
      </c>
      <c r="AP26" s="19">
        <v>1016</v>
      </c>
      <c r="AQ26" s="19">
        <v>2973</v>
      </c>
      <c r="AR26" s="19">
        <v>37</v>
      </c>
      <c r="AS26" s="19">
        <v>298</v>
      </c>
      <c r="AT26" s="19">
        <v>2638</v>
      </c>
      <c r="AU26" s="19">
        <v>38</v>
      </c>
      <c r="AV26" s="19">
        <v>0</v>
      </c>
      <c r="AW26" s="19">
        <v>0</v>
      </c>
      <c r="AX26" s="19">
        <v>38</v>
      </c>
      <c r="AY26" s="19">
        <v>87</v>
      </c>
      <c r="AZ26" s="19">
        <v>0</v>
      </c>
      <c r="BA26" s="19">
        <v>0</v>
      </c>
      <c r="BB26" s="19">
        <v>87</v>
      </c>
      <c r="BC26" s="19">
        <v>51867</v>
      </c>
      <c r="BD26" s="19">
        <v>21166</v>
      </c>
      <c r="BE26" s="19">
        <v>7</v>
      </c>
      <c r="BF26" s="19">
        <v>11241</v>
      </c>
      <c r="BG26" s="19">
        <v>1808</v>
      </c>
      <c r="BH26" s="19">
        <v>4700</v>
      </c>
      <c r="BI26" s="19">
        <v>32</v>
      </c>
      <c r="BJ26" s="19">
        <v>3378</v>
      </c>
      <c r="BK26" s="19">
        <v>30701</v>
      </c>
      <c r="BL26" s="19">
        <v>0</v>
      </c>
      <c r="BM26" s="19">
        <v>25836</v>
      </c>
      <c r="BN26" s="19">
        <v>1522</v>
      </c>
      <c r="BO26" s="19">
        <v>1561</v>
      </c>
      <c r="BP26" s="19">
        <v>1484</v>
      </c>
      <c r="BQ26" s="19">
        <v>298</v>
      </c>
      <c r="BR26" s="19">
        <v>400085</v>
      </c>
      <c r="BS26" s="19">
        <v>7</v>
      </c>
      <c r="BT26" s="19">
        <v>292808</v>
      </c>
      <c r="BU26" s="19">
        <v>17901</v>
      </c>
      <c r="BV26" s="19">
        <v>84459</v>
      </c>
      <c r="BW26" s="19">
        <v>237</v>
      </c>
      <c r="BX26" s="19">
        <v>4673</v>
      </c>
      <c r="BY26" s="19">
        <v>378919</v>
      </c>
      <c r="BZ26" s="19">
        <v>0</v>
      </c>
      <c r="CA26" s="19">
        <v>281567</v>
      </c>
      <c r="CB26" s="19">
        <v>16093</v>
      </c>
      <c r="CC26" s="19">
        <v>79759</v>
      </c>
      <c r="CD26" s="19">
        <v>205</v>
      </c>
      <c r="CE26" s="19">
        <v>1295</v>
      </c>
      <c r="CF26" s="19">
        <v>21166</v>
      </c>
      <c r="CG26" s="19">
        <v>7</v>
      </c>
      <c r="CH26" s="19">
        <v>11241</v>
      </c>
      <c r="CI26" s="19">
        <v>1808</v>
      </c>
      <c r="CJ26" s="19">
        <v>4700</v>
      </c>
      <c r="CK26" s="19">
        <v>32</v>
      </c>
      <c r="CL26" s="19">
        <v>3378</v>
      </c>
      <c r="CM26" s="19">
        <v>187584</v>
      </c>
      <c r="CN26" s="19">
        <v>3</v>
      </c>
      <c r="CO26" s="19">
        <v>178595</v>
      </c>
      <c r="CP26" s="19">
        <v>2545</v>
      </c>
      <c r="CQ26" s="19">
        <v>4534</v>
      </c>
      <c r="CR26" s="19">
        <v>1522</v>
      </c>
      <c r="CS26" s="19">
        <v>385</v>
      </c>
      <c r="CT26" s="19">
        <v>156883</v>
      </c>
      <c r="CU26" s="19">
        <v>3</v>
      </c>
      <c r="CV26" s="19">
        <v>152759</v>
      </c>
      <c r="CW26" s="19">
        <v>1023</v>
      </c>
      <c r="CX26" s="19">
        <v>2973</v>
      </c>
      <c r="CY26" s="19">
        <v>38</v>
      </c>
      <c r="CZ26" s="19">
        <v>87</v>
      </c>
      <c r="DA26" s="19">
        <v>30701</v>
      </c>
      <c r="DB26" s="19">
        <v>0</v>
      </c>
      <c r="DC26" s="19">
        <v>25836</v>
      </c>
      <c r="DD26" s="19">
        <v>1522</v>
      </c>
      <c r="DE26" s="19">
        <v>1561</v>
      </c>
      <c r="DF26" s="19">
        <v>1484</v>
      </c>
      <c r="DG26" s="19">
        <v>298</v>
      </c>
      <c r="DH26" s="19">
        <v>1517</v>
      </c>
      <c r="DI26" s="19">
        <v>102</v>
      </c>
      <c r="DJ26" s="19">
        <v>13</v>
      </c>
      <c r="DK26" s="19">
        <v>31</v>
      </c>
      <c r="DL26" s="19">
        <v>31</v>
      </c>
      <c r="DM26" s="19">
        <v>27</v>
      </c>
    </row>
    <row r="27" spans="1:117" ht="13.5" customHeight="1">
      <c r="A27" s="17" t="s">
        <v>98</v>
      </c>
      <c r="B27" s="18" t="s">
        <v>99</v>
      </c>
      <c r="C27" s="17" t="s">
        <v>59</v>
      </c>
      <c r="D27" s="19">
        <v>608062</v>
      </c>
      <c r="E27" s="19">
        <v>383720</v>
      </c>
      <c r="F27" s="19">
        <v>176</v>
      </c>
      <c r="G27" s="19">
        <v>156</v>
      </c>
      <c r="H27" s="19">
        <v>12</v>
      </c>
      <c r="I27" s="19">
        <v>8</v>
      </c>
      <c r="J27" s="19">
        <v>327131</v>
      </c>
      <c r="K27" s="19">
        <v>95657</v>
      </c>
      <c r="L27" s="19">
        <v>231124</v>
      </c>
      <c r="M27" s="19">
        <v>350</v>
      </c>
      <c r="N27" s="19">
        <v>13066</v>
      </c>
      <c r="O27" s="19">
        <v>3641</v>
      </c>
      <c r="P27" s="19">
        <v>9387</v>
      </c>
      <c r="Q27" s="19">
        <v>38</v>
      </c>
      <c r="R27" s="19">
        <v>34600</v>
      </c>
      <c r="S27" s="19">
        <v>5462</v>
      </c>
      <c r="T27" s="19">
        <v>29084</v>
      </c>
      <c r="U27" s="19">
        <v>54</v>
      </c>
      <c r="V27" s="19">
        <v>683</v>
      </c>
      <c r="W27" s="19">
        <v>173</v>
      </c>
      <c r="X27" s="19">
        <v>510</v>
      </c>
      <c r="Y27" s="19">
        <v>0</v>
      </c>
      <c r="Z27" s="19">
        <v>8064</v>
      </c>
      <c r="AA27" s="19">
        <v>854</v>
      </c>
      <c r="AB27" s="19">
        <v>6981</v>
      </c>
      <c r="AC27" s="19">
        <v>229</v>
      </c>
      <c r="AD27" s="19">
        <v>151609</v>
      </c>
      <c r="AE27" s="19">
        <v>0</v>
      </c>
      <c r="AF27" s="19">
        <v>0</v>
      </c>
      <c r="AG27" s="19">
        <v>0</v>
      </c>
      <c r="AH27" s="19">
        <v>0</v>
      </c>
      <c r="AI27" s="19">
        <v>143458</v>
      </c>
      <c r="AJ27" s="19">
        <v>0</v>
      </c>
      <c r="AK27" s="19">
        <v>1061</v>
      </c>
      <c r="AL27" s="19">
        <v>142397</v>
      </c>
      <c r="AM27" s="19">
        <v>2182</v>
      </c>
      <c r="AN27" s="19">
        <v>0</v>
      </c>
      <c r="AO27" s="19">
        <v>0</v>
      </c>
      <c r="AP27" s="19">
        <v>2182</v>
      </c>
      <c r="AQ27" s="19">
        <v>4140</v>
      </c>
      <c r="AR27" s="19">
        <v>0</v>
      </c>
      <c r="AS27" s="19">
        <v>110</v>
      </c>
      <c r="AT27" s="19">
        <v>4030</v>
      </c>
      <c r="AU27" s="19">
        <v>7</v>
      </c>
      <c r="AV27" s="19">
        <v>0</v>
      </c>
      <c r="AW27" s="19">
        <v>0</v>
      </c>
      <c r="AX27" s="19">
        <v>7</v>
      </c>
      <c r="AY27" s="19">
        <v>1822</v>
      </c>
      <c r="AZ27" s="19">
        <v>0</v>
      </c>
      <c r="BA27" s="19">
        <v>0</v>
      </c>
      <c r="BB27" s="19">
        <v>1822</v>
      </c>
      <c r="BC27" s="19">
        <v>72733</v>
      </c>
      <c r="BD27" s="19">
        <v>40994</v>
      </c>
      <c r="BE27" s="19">
        <v>265</v>
      </c>
      <c r="BF27" s="19">
        <v>13208</v>
      </c>
      <c r="BG27" s="19">
        <v>7474</v>
      </c>
      <c r="BH27" s="19">
        <v>6004</v>
      </c>
      <c r="BI27" s="19">
        <v>1757</v>
      </c>
      <c r="BJ27" s="19">
        <v>12286</v>
      </c>
      <c r="BK27" s="19">
        <v>31739</v>
      </c>
      <c r="BL27" s="19">
        <v>0</v>
      </c>
      <c r="BM27" s="19">
        <v>23329</v>
      </c>
      <c r="BN27" s="19">
        <v>2848</v>
      </c>
      <c r="BO27" s="19">
        <v>3059</v>
      </c>
      <c r="BP27" s="19">
        <v>1373</v>
      </c>
      <c r="BQ27" s="19">
        <v>1130</v>
      </c>
      <c r="BR27" s="19">
        <v>424714</v>
      </c>
      <c r="BS27" s="19">
        <v>441</v>
      </c>
      <c r="BT27" s="19">
        <v>340339</v>
      </c>
      <c r="BU27" s="19">
        <v>20540</v>
      </c>
      <c r="BV27" s="19">
        <v>40604</v>
      </c>
      <c r="BW27" s="19">
        <v>2440</v>
      </c>
      <c r="BX27" s="19">
        <v>20350</v>
      </c>
      <c r="BY27" s="19">
        <v>383720</v>
      </c>
      <c r="BZ27" s="19">
        <v>176</v>
      </c>
      <c r="CA27" s="19">
        <v>327131</v>
      </c>
      <c r="CB27" s="19">
        <v>13066</v>
      </c>
      <c r="CC27" s="19">
        <v>34600</v>
      </c>
      <c r="CD27" s="19">
        <v>683</v>
      </c>
      <c r="CE27" s="19">
        <v>8064</v>
      </c>
      <c r="CF27" s="19">
        <v>40994</v>
      </c>
      <c r="CG27" s="19">
        <v>265</v>
      </c>
      <c r="CH27" s="19">
        <v>13208</v>
      </c>
      <c r="CI27" s="19">
        <v>7474</v>
      </c>
      <c r="CJ27" s="19">
        <v>6004</v>
      </c>
      <c r="CK27" s="19">
        <v>1757</v>
      </c>
      <c r="CL27" s="19">
        <v>12286</v>
      </c>
      <c r="CM27" s="19">
        <v>183348</v>
      </c>
      <c r="CN27" s="19">
        <v>0</v>
      </c>
      <c r="CO27" s="19">
        <v>166787</v>
      </c>
      <c r="CP27" s="19">
        <v>5030</v>
      </c>
      <c r="CQ27" s="19">
        <v>7199</v>
      </c>
      <c r="CR27" s="19">
        <v>1380</v>
      </c>
      <c r="CS27" s="19">
        <v>2952</v>
      </c>
      <c r="CT27" s="19">
        <v>151609</v>
      </c>
      <c r="CU27" s="19">
        <v>0</v>
      </c>
      <c r="CV27" s="19">
        <v>143458</v>
      </c>
      <c r="CW27" s="19">
        <v>2182</v>
      </c>
      <c r="CX27" s="19">
        <v>4140</v>
      </c>
      <c r="CY27" s="19">
        <v>7</v>
      </c>
      <c r="CZ27" s="19">
        <v>1822</v>
      </c>
      <c r="DA27" s="19">
        <v>31739</v>
      </c>
      <c r="DB27" s="19">
        <v>0</v>
      </c>
      <c r="DC27" s="19">
        <v>23329</v>
      </c>
      <c r="DD27" s="19">
        <v>2848</v>
      </c>
      <c r="DE27" s="19">
        <v>3059</v>
      </c>
      <c r="DF27" s="19">
        <v>1373</v>
      </c>
      <c r="DG27" s="19">
        <v>1130</v>
      </c>
      <c r="DH27" s="19">
        <v>1024</v>
      </c>
      <c r="DI27" s="19">
        <v>107</v>
      </c>
      <c r="DJ27" s="19">
        <v>10</v>
      </c>
      <c r="DK27" s="19">
        <v>16</v>
      </c>
      <c r="DL27" s="19">
        <v>13</v>
      </c>
      <c r="DM27" s="19">
        <v>68</v>
      </c>
    </row>
    <row r="28" spans="1:117" ht="13.5" customHeight="1">
      <c r="A28" s="17" t="s">
        <v>100</v>
      </c>
      <c r="B28" s="18" t="s">
        <v>101</v>
      </c>
      <c r="C28" s="17" t="s">
        <v>59</v>
      </c>
      <c r="D28" s="19">
        <v>1092132</v>
      </c>
      <c r="E28" s="19">
        <v>725313</v>
      </c>
      <c r="F28" s="19">
        <v>0</v>
      </c>
      <c r="G28" s="19">
        <v>0</v>
      </c>
      <c r="H28" s="19">
        <v>0</v>
      </c>
      <c r="I28" s="19">
        <v>0</v>
      </c>
      <c r="J28" s="19">
        <v>616588</v>
      </c>
      <c r="K28" s="19">
        <v>47569</v>
      </c>
      <c r="L28" s="19">
        <v>566735</v>
      </c>
      <c r="M28" s="19">
        <v>2284</v>
      </c>
      <c r="N28" s="19">
        <v>17087</v>
      </c>
      <c r="O28" s="19">
        <v>4111</v>
      </c>
      <c r="P28" s="19">
        <v>12944</v>
      </c>
      <c r="Q28" s="19">
        <v>32</v>
      </c>
      <c r="R28" s="19">
        <v>83069</v>
      </c>
      <c r="S28" s="19">
        <v>14567</v>
      </c>
      <c r="T28" s="19">
        <v>68476</v>
      </c>
      <c r="U28" s="19">
        <v>26</v>
      </c>
      <c r="V28" s="19">
        <v>478</v>
      </c>
      <c r="W28" s="19">
        <v>112</v>
      </c>
      <c r="X28" s="19">
        <v>366</v>
      </c>
      <c r="Y28" s="19">
        <v>0</v>
      </c>
      <c r="Z28" s="19">
        <v>8091</v>
      </c>
      <c r="AA28" s="19">
        <v>6775</v>
      </c>
      <c r="AB28" s="19">
        <v>1162</v>
      </c>
      <c r="AC28" s="19">
        <v>154</v>
      </c>
      <c r="AD28" s="19">
        <v>253052</v>
      </c>
      <c r="AE28" s="19">
        <v>0</v>
      </c>
      <c r="AF28" s="19">
        <v>0</v>
      </c>
      <c r="AG28" s="19">
        <v>0</v>
      </c>
      <c r="AH28" s="19">
        <v>0</v>
      </c>
      <c r="AI28" s="19">
        <v>242530</v>
      </c>
      <c r="AJ28" s="19">
        <v>389</v>
      </c>
      <c r="AK28" s="19">
        <v>0</v>
      </c>
      <c r="AL28" s="19">
        <v>242141</v>
      </c>
      <c r="AM28" s="19">
        <v>322</v>
      </c>
      <c r="AN28" s="19">
        <v>0</v>
      </c>
      <c r="AO28" s="19">
        <v>0</v>
      </c>
      <c r="AP28" s="19">
        <v>322</v>
      </c>
      <c r="AQ28" s="19">
        <v>7699</v>
      </c>
      <c r="AR28" s="19">
        <v>0</v>
      </c>
      <c r="AS28" s="19">
        <v>0</v>
      </c>
      <c r="AT28" s="19">
        <v>7699</v>
      </c>
      <c r="AU28" s="19">
        <v>403</v>
      </c>
      <c r="AV28" s="19">
        <v>0</v>
      </c>
      <c r="AW28" s="19">
        <v>0</v>
      </c>
      <c r="AX28" s="19">
        <v>403</v>
      </c>
      <c r="AY28" s="19">
        <v>2098</v>
      </c>
      <c r="AZ28" s="19">
        <v>0</v>
      </c>
      <c r="BA28" s="19">
        <v>0</v>
      </c>
      <c r="BB28" s="19">
        <v>2098</v>
      </c>
      <c r="BC28" s="19">
        <v>113767</v>
      </c>
      <c r="BD28" s="19">
        <v>57827</v>
      </c>
      <c r="BE28" s="19">
        <v>0</v>
      </c>
      <c r="BF28" s="19">
        <v>30937</v>
      </c>
      <c r="BG28" s="19">
        <v>6607</v>
      </c>
      <c r="BH28" s="19">
        <v>9373</v>
      </c>
      <c r="BI28" s="19">
        <v>282</v>
      </c>
      <c r="BJ28" s="19">
        <v>10628</v>
      </c>
      <c r="BK28" s="19">
        <v>55940</v>
      </c>
      <c r="BL28" s="19">
        <v>0</v>
      </c>
      <c r="BM28" s="19">
        <v>45651</v>
      </c>
      <c r="BN28" s="19">
        <v>1929</v>
      </c>
      <c r="BO28" s="19">
        <v>5220</v>
      </c>
      <c r="BP28" s="19">
        <v>1514</v>
      </c>
      <c r="BQ28" s="19">
        <v>1626</v>
      </c>
      <c r="BR28" s="19">
        <v>783140</v>
      </c>
      <c r="BS28" s="19">
        <v>0</v>
      </c>
      <c r="BT28" s="19">
        <v>647525</v>
      </c>
      <c r="BU28" s="19">
        <v>23694</v>
      </c>
      <c r="BV28" s="19">
        <v>92442</v>
      </c>
      <c r="BW28" s="19">
        <v>760</v>
      </c>
      <c r="BX28" s="19">
        <v>18719</v>
      </c>
      <c r="BY28" s="19">
        <v>725313</v>
      </c>
      <c r="BZ28" s="19">
        <v>0</v>
      </c>
      <c r="CA28" s="19">
        <v>616588</v>
      </c>
      <c r="CB28" s="19">
        <v>17087</v>
      </c>
      <c r="CC28" s="19">
        <v>83069</v>
      </c>
      <c r="CD28" s="19">
        <v>478</v>
      </c>
      <c r="CE28" s="19">
        <v>8091</v>
      </c>
      <c r="CF28" s="19">
        <v>57827</v>
      </c>
      <c r="CG28" s="19">
        <v>0</v>
      </c>
      <c r="CH28" s="19">
        <v>30937</v>
      </c>
      <c r="CI28" s="19">
        <v>6607</v>
      </c>
      <c r="CJ28" s="19">
        <v>9373</v>
      </c>
      <c r="CK28" s="19">
        <v>282</v>
      </c>
      <c r="CL28" s="19">
        <v>10628</v>
      </c>
      <c r="CM28" s="19">
        <v>308992</v>
      </c>
      <c r="CN28" s="19">
        <v>0</v>
      </c>
      <c r="CO28" s="19">
        <v>288181</v>
      </c>
      <c r="CP28" s="19">
        <v>2251</v>
      </c>
      <c r="CQ28" s="19">
        <v>12919</v>
      </c>
      <c r="CR28" s="19">
        <v>1917</v>
      </c>
      <c r="CS28" s="19">
        <v>3724</v>
      </c>
      <c r="CT28" s="19">
        <v>253052</v>
      </c>
      <c r="CU28" s="19">
        <v>0</v>
      </c>
      <c r="CV28" s="19">
        <v>242530</v>
      </c>
      <c r="CW28" s="19">
        <v>322</v>
      </c>
      <c r="CX28" s="19">
        <v>7699</v>
      </c>
      <c r="CY28" s="19">
        <v>403</v>
      </c>
      <c r="CZ28" s="19">
        <v>2098</v>
      </c>
      <c r="DA28" s="19">
        <v>55940</v>
      </c>
      <c r="DB28" s="19">
        <v>0</v>
      </c>
      <c r="DC28" s="19">
        <v>45651</v>
      </c>
      <c r="DD28" s="19">
        <v>1929</v>
      </c>
      <c r="DE28" s="19">
        <v>5220</v>
      </c>
      <c r="DF28" s="19">
        <v>1514</v>
      </c>
      <c r="DG28" s="19">
        <v>1626</v>
      </c>
      <c r="DH28" s="19">
        <v>0</v>
      </c>
      <c r="DI28" s="19">
        <v>72</v>
      </c>
      <c r="DJ28" s="19">
        <v>8</v>
      </c>
      <c r="DK28" s="19">
        <v>1</v>
      </c>
      <c r="DL28" s="19">
        <v>26</v>
      </c>
      <c r="DM28" s="19">
        <v>37</v>
      </c>
    </row>
    <row r="29" spans="1:117" ht="13.5" customHeight="1">
      <c r="A29" s="17" t="s">
        <v>102</v>
      </c>
      <c r="B29" s="18" t="s">
        <v>103</v>
      </c>
      <c r="C29" s="17" t="s">
        <v>59</v>
      </c>
      <c r="D29" s="19">
        <v>2313409</v>
      </c>
      <c r="E29" s="19">
        <v>1558291</v>
      </c>
      <c r="F29" s="19">
        <v>24</v>
      </c>
      <c r="G29" s="19">
        <v>24</v>
      </c>
      <c r="H29" s="19">
        <v>0</v>
      </c>
      <c r="I29" s="19">
        <v>0</v>
      </c>
      <c r="J29" s="19">
        <v>1249599</v>
      </c>
      <c r="K29" s="19">
        <v>418793</v>
      </c>
      <c r="L29" s="19">
        <v>829360</v>
      </c>
      <c r="M29" s="19">
        <v>1446</v>
      </c>
      <c r="N29" s="19">
        <v>60998</v>
      </c>
      <c r="O29" s="19">
        <v>27426</v>
      </c>
      <c r="P29" s="19">
        <v>33433</v>
      </c>
      <c r="Q29" s="19">
        <v>139</v>
      </c>
      <c r="R29" s="19">
        <v>223809</v>
      </c>
      <c r="S29" s="19">
        <v>63715</v>
      </c>
      <c r="T29" s="19">
        <v>158906</v>
      </c>
      <c r="U29" s="19">
        <v>1188</v>
      </c>
      <c r="V29" s="19">
        <v>3373</v>
      </c>
      <c r="W29" s="19">
        <v>2155</v>
      </c>
      <c r="X29" s="19">
        <v>1218</v>
      </c>
      <c r="Y29" s="19">
        <v>0</v>
      </c>
      <c r="Z29" s="19">
        <v>20488</v>
      </c>
      <c r="AA29" s="19">
        <v>12339</v>
      </c>
      <c r="AB29" s="19">
        <v>7745</v>
      </c>
      <c r="AC29" s="19">
        <v>404</v>
      </c>
      <c r="AD29" s="19">
        <v>495092</v>
      </c>
      <c r="AE29" s="19">
        <v>0</v>
      </c>
      <c r="AF29" s="19">
        <v>0</v>
      </c>
      <c r="AG29" s="19">
        <v>0</v>
      </c>
      <c r="AH29" s="19">
        <v>0</v>
      </c>
      <c r="AI29" s="19">
        <v>451444</v>
      </c>
      <c r="AJ29" s="19">
        <v>227</v>
      </c>
      <c r="AK29" s="19">
        <v>1503</v>
      </c>
      <c r="AL29" s="19">
        <v>449714</v>
      </c>
      <c r="AM29" s="19">
        <v>3492</v>
      </c>
      <c r="AN29" s="19">
        <v>0</v>
      </c>
      <c r="AO29" s="19">
        <v>190</v>
      </c>
      <c r="AP29" s="19">
        <v>3302</v>
      </c>
      <c r="AQ29" s="19">
        <v>38953</v>
      </c>
      <c r="AR29" s="19">
        <v>41</v>
      </c>
      <c r="AS29" s="19">
        <v>421</v>
      </c>
      <c r="AT29" s="19">
        <v>38491</v>
      </c>
      <c r="AU29" s="19">
        <v>1</v>
      </c>
      <c r="AV29" s="19">
        <v>0</v>
      </c>
      <c r="AW29" s="19">
        <v>0</v>
      </c>
      <c r="AX29" s="19">
        <v>1</v>
      </c>
      <c r="AY29" s="19">
        <v>1202</v>
      </c>
      <c r="AZ29" s="19">
        <v>0</v>
      </c>
      <c r="BA29" s="19">
        <v>0</v>
      </c>
      <c r="BB29" s="19">
        <v>1202</v>
      </c>
      <c r="BC29" s="19">
        <v>260026</v>
      </c>
      <c r="BD29" s="19">
        <v>107534</v>
      </c>
      <c r="BE29" s="19">
        <v>0</v>
      </c>
      <c r="BF29" s="19">
        <v>31858</v>
      </c>
      <c r="BG29" s="19">
        <v>15082</v>
      </c>
      <c r="BH29" s="19">
        <v>28768</v>
      </c>
      <c r="BI29" s="19">
        <v>1359</v>
      </c>
      <c r="BJ29" s="19">
        <v>30467</v>
      </c>
      <c r="BK29" s="19">
        <v>152492</v>
      </c>
      <c r="BL29" s="19">
        <v>0</v>
      </c>
      <c r="BM29" s="19">
        <v>89320</v>
      </c>
      <c r="BN29" s="19">
        <v>10934</v>
      </c>
      <c r="BO29" s="19">
        <v>45812</v>
      </c>
      <c r="BP29" s="19">
        <v>1546</v>
      </c>
      <c r="BQ29" s="19">
        <v>4880</v>
      </c>
      <c r="BR29" s="19">
        <v>1665825</v>
      </c>
      <c r="BS29" s="19">
        <v>24</v>
      </c>
      <c r="BT29" s="19">
        <v>1281457</v>
      </c>
      <c r="BU29" s="19">
        <v>76080</v>
      </c>
      <c r="BV29" s="19">
        <v>252577</v>
      </c>
      <c r="BW29" s="19">
        <v>4732</v>
      </c>
      <c r="BX29" s="19">
        <v>50955</v>
      </c>
      <c r="BY29" s="19">
        <v>1558291</v>
      </c>
      <c r="BZ29" s="19">
        <v>24</v>
      </c>
      <c r="CA29" s="19">
        <v>1249599</v>
      </c>
      <c r="CB29" s="19">
        <v>60998</v>
      </c>
      <c r="CC29" s="19">
        <v>223809</v>
      </c>
      <c r="CD29" s="19">
        <v>3373</v>
      </c>
      <c r="CE29" s="19">
        <v>20488</v>
      </c>
      <c r="CF29" s="19">
        <v>107534</v>
      </c>
      <c r="CG29" s="19">
        <v>0</v>
      </c>
      <c r="CH29" s="19">
        <v>31858</v>
      </c>
      <c r="CI29" s="19">
        <v>15082</v>
      </c>
      <c r="CJ29" s="19">
        <v>28768</v>
      </c>
      <c r="CK29" s="19">
        <v>1359</v>
      </c>
      <c r="CL29" s="19">
        <v>30467</v>
      </c>
      <c r="CM29" s="19">
        <v>647584</v>
      </c>
      <c r="CN29" s="19">
        <v>0</v>
      </c>
      <c r="CO29" s="19">
        <v>540764</v>
      </c>
      <c r="CP29" s="19">
        <v>14426</v>
      </c>
      <c r="CQ29" s="19">
        <v>84765</v>
      </c>
      <c r="CR29" s="19">
        <v>1547</v>
      </c>
      <c r="CS29" s="19">
        <v>6082</v>
      </c>
      <c r="CT29" s="19">
        <v>495092</v>
      </c>
      <c r="CU29" s="19">
        <v>0</v>
      </c>
      <c r="CV29" s="19">
        <v>451444</v>
      </c>
      <c r="CW29" s="19">
        <v>3492</v>
      </c>
      <c r="CX29" s="19">
        <v>38953</v>
      </c>
      <c r="CY29" s="19">
        <v>1</v>
      </c>
      <c r="CZ29" s="19">
        <v>1202</v>
      </c>
      <c r="DA29" s="19">
        <v>152492</v>
      </c>
      <c r="DB29" s="19">
        <v>0</v>
      </c>
      <c r="DC29" s="19">
        <v>89320</v>
      </c>
      <c r="DD29" s="19">
        <v>10934</v>
      </c>
      <c r="DE29" s="19">
        <v>45812</v>
      </c>
      <c r="DF29" s="19">
        <v>1546</v>
      </c>
      <c r="DG29" s="19">
        <v>4880</v>
      </c>
      <c r="DH29" s="19">
        <v>0</v>
      </c>
      <c r="DI29" s="19">
        <v>400</v>
      </c>
      <c r="DJ29" s="19">
        <v>106</v>
      </c>
      <c r="DK29" s="19">
        <v>15</v>
      </c>
      <c r="DL29" s="19">
        <v>157</v>
      </c>
      <c r="DM29" s="19">
        <v>122</v>
      </c>
    </row>
    <row r="30" spans="1:117" ht="13.5" customHeight="1">
      <c r="A30" s="17" t="s">
        <v>104</v>
      </c>
      <c r="B30" s="18" t="s">
        <v>105</v>
      </c>
      <c r="C30" s="17" t="s">
        <v>59</v>
      </c>
      <c r="D30" s="19">
        <v>601443</v>
      </c>
      <c r="E30" s="19">
        <v>396726</v>
      </c>
      <c r="F30" s="19">
        <v>4</v>
      </c>
      <c r="G30" s="19">
        <v>0</v>
      </c>
      <c r="H30" s="19">
        <v>4</v>
      </c>
      <c r="I30" s="19">
        <v>0</v>
      </c>
      <c r="J30" s="19">
        <v>321592</v>
      </c>
      <c r="K30" s="19">
        <v>81985</v>
      </c>
      <c r="L30" s="19">
        <v>238975</v>
      </c>
      <c r="M30" s="19">
        <v>632</v>
      </c>
      <c r="N30" s="19">
        <v>15946</v>
      </c>
      <c r="O30" s="19">
        <v>4852</v>
      </c>
      <c r="P30" s="19">
        <v>10608</v>
      </c>
      <c r="Q30" s="19">
        <v>486</v>
      </c>
      <c r="R30" s="19">
        <v>51433</v>
      </c>
      <c r="S30" s="19">
        <v>6994</v>
      </c>
      <c r="T30" s="19">
        <v>44376</v>
      </c>
      <c r="U30" s="19">
        <v>63</v>
      </c>
      <c r="V30" s="19">
        <v>3285</v>
      </c>
      <c r="W30" s="19">
        <v>2329</v>
      </c>
      <c r="X30" s="19">
        <v>956</v>
      </c>
      <c r="Y30" s="19">
        <v>0</v>
      </c>
      <c r="Z30" s="19">
        <v>4466</v>
      </c>
      <c r="AA30" s="19">
        <v>1189</v>
      </c>
      <c r="AB30" s="19">
        <v>3269</v>
      </c>
      <c r="AC30" s="19">
        <v>8</v>
      </c>
      <c r="AD30" s="19">
        <v>141815</v>
      </c>
      <c r="AE30" s="19">
        <v>280</v>
      </c>
      <c r="AF30" s="19">
        <v>0</v>
      </c>
      <c r="AG30" s="19">
        <v>0</v>
      </c>
      <c r="AH30" s="19">
        <v>280</v>
      </c>
      <c r="AI30" s="19">
        <v>138986</v>
      </c>
      <c r="AJ30" s="19">
        <v>0</v>
      </c>
      <c r="AK30" s="19">
        <v>111</v>
      </c>
      <c r="AL30" s="19">
        <v>138875</v>
      </c>
      <c r="AM30" s="19">
        <v>725</v>
      </c>
      <c r="AN30" s="19">
        <v>0</v>
      </c>
      <c r="AO30" s="19">
        <v>0</v>
      </c>
      <c r="AP30" s="19">
        <v>725</v>
      </c>
      <c r="AQ30" s="19">
        <v>347</v>
      </c>
      <c r="AR30" s="19">
        <v>52</v>
      </c>
      <c r="AS30" s="19">
        <v>10</v>
      </c>
      <c r="AT30" s="19">
        <v>285</v>
      </c>
      <c r="AU30" s="19">
        <v>842</v>
      </c>
      <c r="AV30" s="19">
        <v>0</v>
      </c>
      <c r="AW30" s="19">
        <v>0</v>
      </c>
      <c r="AX30" s="19">
        <v>842</v>
      </c>
      <c r="AY30" s="19">
        <v>635</v>
      </c>
      <c r="AZ30" s="19">
        <v>0</v>
      </c>
      <c r="BA30" s="19">
        <v>0</v>
      </c>
      <c r="BB30" s="19">
        <v>635</v>
      </c>
      <c r="BC30" s="19">
        <v>62902</v>
      </c>
      <c r="BD30" s="19">
        <v>43485</v>
      </c>
      <c r="BE30" s="19">
        <v>728</v>
      </c>
      <c r="BF30" s="19">
        <v>19979</v>
      </c>
      <c r="BG30" s="19">
        <v>6772</v>
      </c>
      <c r="BH30" s="19">
        <v>3774</v>
      </c>
      <c r="BI30" s="19">
        <v>5408</v>
      </c>
      <c r="BJ30" s="19">
        <v>6824</v>
      </c>
      <c r="BK30" s="19">
        <v>19417</v>
      </c>
      <c r="BL30" s="19">
        <v>39</v>
      </c>
      <c r="BM30" s="19">
        <v>16230</v>
      </c>
      <c r="BN30" s="19">
        <v>2299</v>
      </c>
      <c r="BO30" s="19">
        <v>128</v>
      </c>
      <c r="BP30" s="19">
        <v>131</v>
      </c>
      <c r="BQ30" s="19">
        <v>590</v>
      </c>
      <c r="BR30" s="19">
        <v>440211</v>
      </c>
      <c r="BS30" s="19">
        <v>732</v>
      </c>
      <c r="BT30" s="19">
        <v>341571</v>
      </c>
      <c r="BU30" s="19">
        <v>22718</v>
      </c>
      <c r="BV30" s="19">
        <v>55207</v>
      </c>
      <c r="BW30" s="19">
        <v>8693</v>
      </c>
      <c r="BX30" s="19">
        <v>11290</v>
      </c>
      <c r="BY30" s="19">
        <v>396726</v>
      </c>
      <c r="BZ30" s="19">
        <v>4</v>
      </c>
      <c r="CA30" s="19">
        <v>321592</v>
      </c>
      <c r="CB30" s="19">
        <v>15946</v>
      </c>
      <c r="CC30" s="19">
        <v>51433</v>
      </c>
      <c r="CD30" s="19">
        <v>3285</v>
      </c>
      <c r="CE30" s="19">
        <v>4466</v>
      </c>
      <c r="CF30" s="19">
        <v>43485</v>
      </c>
      <c r="CG30" s="19">
        <v>728</v>
      </c>
      <c r="CH30" s="19">
        <v>19979</v>
      </c>
      <c r="CI30" s="19">
        <v>6772</v>
      </c>
      <c r="CJ30" s="19">
        <v>3774</v>
      </c>
      <c r="CK30" s="19">
        <v>5408</v>
      </c>
      <c r="CL30" s="19">
        <v>6824</v>
      </c>
      <c r="CM30" s="19">
        <v>161232</v>
      </c>
      <c r="CN30" s="19">
        <v>319</v>
      </c>
      <c r="CO30" s="19">
        <v>155216</v>
      </c>
      <c r="CP30" s="19">
        <v>3024</v>
      </c>
      <c r="CQ30" s="19">
        <v>475</v>
      </c>
      <c r="CR30" s="19">
        <v>973</v>
      </c>
      <c r="CS30" s="19">
        <v>1225</v>
      </c>
      <c r="CT30" s="19">
        <v>141815</v>
      </c>
      <c r="CU30" s="19">
        <v>280</v>
      </c>
      <c r="CV30" s="19">
        <v>138986</v>
      </c>
      <c r="CW30" s="19">
        <v>725</v>
      </c>
      <c r="CX30" s="19">
        <v>347</v>
      </c>
      <c r="CY30" s="19">
        <v>842</v>
      </c>
      <c r="CZ30" s="19">
        <v>635</v>
      </c>
      <c r="DA30" s="19">
        <v>19417</v>
      </c>
      <c r="DB30" s="19">
        <v>39</v>
      </c>
      <c r="DC30" s="19">
        <v>16230</v>
      </c>
      <c r="DD30" s="19">
        <v>2299</v>
      </c>
      <c r="DE30" s="19">
        <v>128</v>
      </c>
      <c r="DF30" s="19">
        <v>131</v>
      </c>
      <c r="DG30" s="19">
        <v>590</v>
      </c>
      <c r="DH30" s="19">
        <v>349</v>
      </c>
      <c r="DI30" s="19">
        <v>1224</v>
      </c>
      <c r="DJ30" s="19">
        <v>990</v>
      </c>
      <c r="DK30" s="19">
        <v>1</v>
      </c>
      <c r="DL30" s="19">
        <v>202</v>
      </c>
      <c r="DM30" s="19">
        <v>31</v>
      </c>
    </row>
    <row r="31" spans="1:117" ht="13.5" customHeight="1">
      <c r="A31" s="17" t="s">
        <v>106</v>
      </c>
      <c r="B31" s="18" t="s">
        <v>107</v>
      </c>
      <c r="C31" s="17" t="s">
        <v>59</v>
      </c>
      <c r="D31" s="19">
        <v>405563</v>
      </c>
      <c r="E31" s="19">
        <v>279244</v>
      </c>
      <c r="F31" s="19">
        <v>653</v>
      </c>
      <c r="G31" s="19">
        <v>0</v>
      </c>
      <c r="H31" s="19">
        <v>653</v>
      </c>
      <c r="I31" s="19">
        <v>0</v>
      </c>
      <c r="J31" s="19">
        <v>221866</v>
      </c>
      <c r="K31" s="19">
        <v>11033</v>
      </c>
      <c r="L31" s="19">
        <v>210647</v>
      </c>
      <c r="M31" s="19">
        <v>186</v>
      </c>
      <c r="N31" s="19">
        <v>12523</v>
      </c>
      <c r="O31" s="19">
        <v>587</v>
      </c>
      <c r="P31" s="19">
        <v>11913</v>
      </c>
      <c r="Q31" s="19">
        <v>23</v>
      </c>
      <c r="R31" s="19">
        <v>39544</v>
      </c>
      <c r="S31" s="19">
        <v>1069</v>
      </c>
      <c r="T31" s="19">
        <v>38475</v>
      </c>
      <c r="U31" s="19">
        <v>0</v>
      </c>
      <c r="V31" s="19">
        <v>272</v>
      </c>
      <c r="W31" s="19">
        <v>2</v>
      </c>
      <c r="X31" s="19">
        <v>258</v>
      </c>
      <c r="Y31" s="19">
        <v>12</v>
      </c>
      <c r="Z31" s="19">
        <v>4386</v>
      </c>
      <c r="AA31" s="19">
        <v>206</v>
      </c>
      <c r="AB31" s="19">
        <v>4137</v>
      </c>
      <c r="AC31" s="19">
        <v>43</v>
      </c>
      <c r="AD31" s="19">
        <v>91207</v>
      </c>
      <c r="AE31" s="19">
        <v>0</v>
      </c>
      <c r="AF31" s="19">
        <v>0</v>
      </c>
      <c r="AG31" s="19">
        <v>0</v>
      </c>
      <c r="AH31" s="19">
        <v>0</v>
      </c>
      <c r="AI31" s="19">
        <v>89809</v>
      </c>
      <c r="AJ31" s="19">
        <v>12</v>
      </c>
      <c r="AK31" s="19">
        <v>4302</v>
      </c>
      <c r="AL31" s="19">
        <v>85495</v>
      </c>
      <c r="AM31" s="19">
        <v>922</v>
      </c>
      <c r="AN31" s="19">
        <v>0</v>
      </c>
      <c r="AO31" s="19">
        <v>67</v>
      </c>
      <c r="AP31" s="19">
        <v>855</v>
      </c>
      <c r="AQ31" s="19">
        <v>406</v>
      </c>
      <c r="AR31" s="19">
        <v>0</v>
      </c>
      <c r="AS31" s="19">
        <v>67</v>
      </c>
      <c r="AT31" s="19">
        <v>339</v>
      </c>
      <c r="AU31" s="19">
        <v>7</v>
      </c>
      <c r="AV31" s="19">
        <v>0</v>
      </c>
      <c r="AW31" s="19">
        <v>0</v>
      </c>
      <c r="AX31" s="19">
        <v>7</v>
      </c>
      <c r="AY31" s="19">
        <v>63</v>
      </c>
      <c r="AZ31" s="19">
        <v>22</v>
      </c>
      <c r="BA31" s="19">
        <v>0</v>
      </c>
      <c r="BB31" s="19">
        <v>41</v>
      </c>
      <c r="BC31" s="19">
        <v>35112</v>
      </c>
      <c r="BD31" s="19">
        <v>21159</v>
      </c>
      <c r="BE31" s="19">
        <v>66</v>
      </c>
      <c r="BF31" s="19">
        <v>7795</v>
      </c>
      <c r="BG31" s="19">
        <v>4138</v>
      </c>
      <c r="BH31" s="19">
        <v>819</v>
      </c>
      <c r="BI31" s="19">
        <v>485</v>
      </c>
      <c r="BJ31" s="19">
        <v>7856</v>
      </c>
      <c r="BK31" s="19">
        <v>13953</v>
      </c>
      <c r="BL31" s="19">
        <v>0</v>
      </c>
      <c r="BM31" s="19">
        <v>9661</v>
      </c>
      <c r="BN31" s="19">
        <v>609</v>
      </c>
      <c r="BO31" s="19">
        <v>3271</v>
      </c>
      <c r="BP31" s="19">
        <v>5</v>
      </c>
      <c r="BQ31" s="19">
        <v>407</v>
      </c>
      <c r="BR31" s="19">
        <v>300403</v>
      </c>
      <c r="BS31" s="19">
        <v>719</v>
      </c>
      <c r="BT31" s="19">
        <v>229661</v>
      </c>
      <c r="BU31" s="19">
        <v>16661</v>
      </c>
      <c r="BV31" s="19">
        <v>40363</v>
      </c>
      <c r="BW31" s="19">
        <v>757</v>
      </c>
      <c r="BX31" s="19">
        <v>12242</v>
      </c>
      <c r="BY31" s="19">
        <v>279244</v>
      </c>
      <c r="BZ31" s="19">
        <v>653</v>
      </c>
      <c r="CA31" s="19">
        <v>221866</v>
      </c>
      <c r="CB31" s="19">
        <v>12523</v>
      </c>
      <c r="CC31" s="19">
        <v>39544</v>
      </c>
      <c r="CD31" s="19">
        <v>272</v>
      </c>
      <c r="CE31" s="19">
        <v>4386</v>
      </c>
      <c r="CF31" s="19">
        <v>21159</v>
      </c>
      <c r="CG31" s="19">
        <v>66</v>
      </c>
      <c r="CH31" s="19">
        <v>7795</v>
      </c>
      <c r="CI31" s="19">
        <v>4138</v>
      </c>
      <c r="CJ31" s="19">
        <v>819</v>
      </c>
      <c r="CK31" s="19">
        <v>485</v>
      </c>
      <c r="CL31" s="19">
        <v>7856</v>
      </c>
      <c r="CM31" s="19">
        <v>105160</v>
      </c>
      <c r="CN31" s="19">
        <v>0</v>
      </c>
      <c r="CO31" s="19">
        <v>99470</v>
      </c>
      <c r="CP31" s="19">
        <v>1531</v>
      </c>
      <c r="CQ31" s="19">
        <v>3677</v>
      </c>
      <c r="CR31" s="19">
        <v>12</v>
      </c>
      <c r="CS31" s="19">
        <v>470</v>
      </c>
      <c r="CT31" s="19">
        <v>91207</v>
      </c>
      <c r="CU31" s="19">
        <v>0</v>
      </c>
      <c r="CV31" s="19">
        <v>89809</v>
      </c>
      <c r="CW31" s="19">
        <v>922</v>
      </c>
      <c r="CX31" s="19">
        <v>406</v>
      </c>
      <c r="CY31" s="19">
        <v>7</v>
      </c>
      <c r="CZ31" s="19">
        <v>63</v>
      </c>
      <c r="DA31" s="19">
        <v>13953</v>
      </c>
      <c r="DB31" s="19">
        <v>0</v>
      </c>
      <c r="DC31" s="19">
        <v>9661</v>
      </c>
      <c r="DD31" s="19">
        <v>609</v>
      </c>
      <c r="DE31" s="19">
        <v>3271</v>
      </c>
      <c r="DF31" s="19">
        <v>5</v>
      </c>
      <c r="DG31" s="19">
        <v>407</v>
      </c>
      <c r="DH31" s="19">
        <v>0</v>
      </c>
      <c r="DI31" s="19">
        <v>21</v>
      </c>
      <c r="DJ31" s="19">
        <v>9</v>
      </c>
      <c r="DK31" s="19">
        <v>3</v>
      </c>
      <c r="DL31" s="19">
        <v>0</v>
      </c>
      <c r="DM31" s="19">
        <v>9</v>
      </c>
    </row>
    <row r="32" spans="1:117" ht="13.5" customHeight="1">
      <c r="A32" s="17" t="s">
        <v>108</v>
      </c>
      <c r="B32" s="18" t="s">
        <v>109</v>
      </c>
      <c r="C32" s="17" t="s">
        <v>59</v>
      </c>
      <c r="D32" s="19">
        <v>684775</v>
      </c>
      <c r="E32" s="19">
        <v>423707</v>
      </c>
      <c r="F32" s="19">
        <v>180270</v>
      </c>
      <c r="G32" s="19">
        <v>54261</v>
      </c>
      <c r="H32" s="19">
        <v>126009</v>
      </c>
      <c r="I32" s="19">
        <v>0</v>
      </c>
      <c r="J32" s="19">
        <v>164227</v>
      </c>
      <c r="K32" s="19">
        <v>38065</v>
      </c>
      <c r="L32" s="19">
        <v>126152</v>
      </c>
      <c r="M32" s="19">
        <v>10</v>
      </c>
      <c r="N32" s="19">
        <v>19243</v>
      </c>
      <c r="O32" s="19">
        <v>2556</v>
      </c>
      <c r="P32" s="19">
        <v>16623</v>
      </c>
      <c r="Q32" s="19">
        <v>64</v>
      </c>
      <c r="R32" s="19">
        <v>50117</v>
      </c>
      <c r="S32" s="19">
        <v>15895</v>
      </c>
      <c r="T32" s="19">
        <v>34182</v>
      </c>
      <c r="U32" s="19">
        <v>40</v>
      </c>
      <c r="V32" s="19">
        <v>1993</v>
      </c>
      <c r="W32" s="19">
        <v>1576</v>
      </c>
      <c r="X32" s="19">
        <v>417</v>
      </c>
      <c r="Y32" s="19">
        <v>0</v>
      </c>
      <c r="Z32" s="19">
        <v>7857</v>
      </c>
      <c r="AA32" s="19">
        <v>1044</v>
      </c>
      <c r="AB32" s="19">
        <v>6777</v>
      </c>
      <c r="AC32" s="19">
        <v>36</v>
      </c>
      <c r="AD32" s="19">
        <v>181687</v>
      </c>
      <c r="AE32" s="19">
        <v>0</v>
      </c>
      <c r="AF32" s="19">
        <v>0</v>
      </c>
      <c r="AG32" s="19">
        <v>0</v>
      </c>
      <c r="AH32" s="19">
        <v>0</v>
      </c>
      <c r="AI32" s="19">
        <v>179447</v>
      </c>
      <c r="AJ32" s="19">
        <v>12</v>
      </c>
      <c r="AK32" s="19">
        <v>1153</v>
      </c>
      <c r="AL32" s="19">
        <v>178282</v>
      </c>
      <c r="AM32" s="19">
        <v>404</v>
      </c>
      <c r="AN32" s="19">
        <v>2</v>
      </c>
      <c r="AO32" s="19">
        <v>170</v>
      </c>
      <c r="AP32" s="19">
        <v>232</v>
      </c>
      <c r="AQ32" s="19">
        <v>1396</v>
      </c>
      <c r="AR32" s="19">
        <v>0</v>
      </c>
      <c r="AS32" s="19">
        <v>271</v>
      </c>
      <c r="AT32" s="19">
        <v>1125</v>
      </c>
      <c r="AU32" s="19">
        <v>379</v>
      </c>
      <c r="AV32" s="19">
        <v>0</v>
      </c>
      <c r="AW32" s="19">
        <v>358</v>
      </c>
      <c r="AX32" s="19">
        <v>21</v>
      </c>
      <c r="AY32" s="19">
        <v>61</v>
      </c>
      <c r="AZ32" s="19">
        <v>0</v>
      </c>
      <c r="BA32" s="19">
        <v>33</v>
      </c>
      <c r="BB32" s="19">
        <v>28</v>
      </c>
      <c r="BC32" s="19">
        <v>79381</v>
      </c>
      <c r="BD32" s="19">
        <v>11963</v>
      </c>
      <c r="BE32" s="19">
        <v>0</v>
      </c>
      <c r="BF32" s="19">
        <v>4014</v>
      </c>
      <c r="BG32" s="19">
        <v>3370</v>
      </c>
      <c r="BH32" s="19">
        <v>1126</v>
      </c>
      <c r="BI32" s="19">
        <v>153</v>
      </c>
      <c r="BJ32" s="19">
        <v>3300</v>
      </c>
      <c r="BK32" s="19">
        <v>67418</v>
      </c>
      <c r="BL32" s="19">
        <v>0</v>
      </c>
      <c r="BM32" s="19">
        <v>41257</v>
      </c>
      <c r="BN32" s="19">
        <v>3365</v>
      </c>
      <c r="BO32" s="19">
        <v>1415</v>
      </c>
      <c r="BP32" s="19">
        <v>464</v>
      </c>
      <c r="BQ32" s="19">
        <v>20917</v>
      </c>
      <c r="BR32" s="19">
        <v>435670</v>
      </c>
      <c r="BS32" s="19">
        <v>180270</v>
      </c>
      <c r="BT32" s="19">
        <v>168241</v>
      </c>
      <c r="BU32" s="19">
        <v>22613</v>
      </c>
      <c r="BV32" s="19">
        <v>51243</v>
      </c>
      <c r="BW32" s="19">
        <v>2146</v>
      </c>
      <c r="BX32" s="19">
        <v>11157</v>
      </c>
      <c r="BY32" s="19">
        <v>423707</v>
      </c>
      <c r="BZ32" s="19">
        <v>180270</v>
      </c>
      <c r="CA32" s="19">
        <v>164227</v>
      </c>
      <c r="CB32" s="19">
        <v>19243</v>
      </c>
      <c r="CC32" s="19">
        <v>50117</v>
      </c>
      <c r="CD32" s="19">
        <v>1993</v>
      </c>
      <c r="CE32" s="19">
        <v>7857</v>
      </c>
      <c r="CF32" s="19">
        <v>11963</v>
      </c>
      <c r="CG32" s="19">
        <v>0</v>
      </c>
      <c r="CH32" s="19">
        <v>4014</v>
      </c>
      <c r="CI32" s="19">
        <v>3370</v>
      </c>
      <c r="CJ32" s="19">
        <v>1126</v>
      </c>
      <c r="CK32" s="19">
        <v>153</v>
      </c>
      <c r="CL32" s="19">
        <v>3300</v>
      </c>
      <c r="CM32" s="19">
        <v>249105</v>
      </c>
      <c r="CN32" s="19">
        <v>0</v>
      </c>
      <c r="CO32" s="19">
        <v>220704</v>
      </c>
      <c r="CP32" s="19">
        <v>3769</v>
      </c>
      <c r="CQ32" s="19">
        <v>2811</v>
      </c>
      <c r="CR32" s="19">
        <v>843</v>
      </c>
      <c r="CS32" s="19">
        <v>20978</v>
      </c>
      <c r="CT32" s="19">
        <v>181687</v>
      </c>
      <c r="CU32" s="19">
        <v>0</v>
      </c>
      <c r="CV32" s="19">
        <v>179447</v>
      </c>
      <c r="CW32" s="19">
        <v>404</v>
      </c>
      <c r="CX32" s="19">
        <v>1396</v>
      </c>
      <c r="CY32" s="19">
        <v>379</v>
      </c>
      <c r="CZ32" s="19">
        <v>61</v>
      </c>
      <c r="DA32" s="19">
        <v>67418</v>
      </c>
      <c r="DB32" s="19">
        <v>0</v>
      </c>
      <c r="DC32" s="19">
        <v>41257</v>
      </c>
      <c r="DD32" s="19">
        <v>3365</v>
      </c>
      <c r="DE32" s="19">
        <v>1415</v>
      </c>
      <c r="DF32" s="19">
        <v>464</v>
      </c>
      <c r="DG32" s="19">
        <v>20917</v>
      </c>
      <c r="DH32" s="19">
        <v>0</v>
      </c>
      <c r="DI32" s="19">
        <v>72</v>
      </c>
      <c r="DJ32" s="19">
        <v>43</v>
      </c>
      <c r="DK32" s="19">
        <v>3</v>
      </c>
      <c r="DL32" s="19">
        <v>6</v>
      </c>
      <c r="DM32" s="19">
        <v>20</v>
      </c>
    </row>
    <row r="33" spans="1:117" ht="13.5" customHeight="1">
      <c r="A33" s="17" t="s">
        <v>110</v>
      </c>
      <c r="B33" s="18" t="s">
        <v>111</v>
      </c>
      <c r="C33" s="17" t="s">
        <v>59</v>
      </c>
      <c r="D33" s="19">
        <v>2772538</v>
      </c>
      <c r="E33" s="19">
        <v>1594716</v>
      </c>
      <c r="F33" s="19">
        <v>624477</v>
      </c>
      <c r="G33" s="19">
        <v>311596</v>
      </c>
      <c r="H33" s="19">
        <v>312881</v>
      </c>
      <c r="I33" s="19">
        <v>0</v>
      </c>
      <c r="J33" s="19">
        <v>669279</v>
      </c>
      <c r="K33" s="19">
        <v>151641</v>
      </c>
      <c r="L33" s="19">
        <v>517622</v>
      </c>
      <c r="M33" s="19">
        <v>16</v>
      </c>
      <c r="N33" s="19">
        <v>17896</v>
      </c>
      <c r="O33" s="19">
        <v>7868</v>
      </c>
      <c r="P33" s="19">
        <v>10015</v>
      </c>
      <c r="Q33" s="19">
        <v>13</v>
      </c>
      <c r="R33" s="19">
        <v>202044</v>
      </c>
      <c r="S33" s="19">
        <v>93877</v>
      </c>
      <c r="T33" s="19">
        <v>108165</v>
      </c>
      <c r="U33" s="19">
        <v>2</v>
      </c>
      <c r="V33" s="19">
        <v>1018</v>
      </c>
      <c r="W33" s="19">
        <v>222</v>
      </c>
      <c r="X33" s="19">
        <v>796</v>
      </c>
      <c r="Y33" s="19">
        <v>0</v>
      </c>
      <c r="Z33" s="19">
        <v>80002</v>
      </c>
      <c r="AA33" s="19">
        <v>17195</v>
      </c>
      <c r="AB33" s="19">
        <v>62797</v>
      </c>
      <c r="AC33" s="19">
        <v>10</v>
      </c>
      <c r="AD33" s="19">
        <v>1020532</v>
      </c>
      <c r="AE33" s="19">
        <v>598382</v>
      </c>
      <c r="AF33" s="19">
        <v>742</v>
      </c>
      <c r="AG33" s="19">
        <v>8003</v>
      </c>
      <c r="AH33" s="19">
        <v>589637</v>
      </c>
      <c r="AI33" s="19">
        <v>411604</v>
      </c>
      <c r="AJ33" s="19">
        <v>1781</v>
      </c>
      <c r="AK33" s="19">
        <v>22234</v>
      </c>
      <c r="AL33" s="19">
        <v>387589</v>
      </c>
      <c r="AM33" s="19">
        <v>1430</v>
      </c>
      <c r="AN33" s="19">
        <v>59</v>
      </c>
      <c r="AO33" s="19">
        <v>0</v>
      </c>
      <c r="AP33" s="19">
        <v>1371</v>
      </c>
      <c r="AQ33" s="19">
        <v>5250</v>
      </c>
      <c r="AR33" s="19">
        <v>91</v>
      </c>
      <c r="AS33" s="19">
        <v>535</v>
      </c>
      <c r="AT33" s="19">
        <v>4624</v>
      </c>
      <c r="AU33" s="19">
        <v>2</v>
      </c>
      <c r="AV33" s="19">
        <v>0</v>
      </c>
      <c r="AW33" s="19">
        <v>0</v>
      </c>
      <c r="AX33" s="19">
        <v>2</v>
      </c>
      <c r="AY33" s="19">
        <v>3864</v>
      </c>
      <c r="AZ33" s="19">
        <v>243</v>
      </c>
      <c r="BA33" s="19">
        <v>1121</v>
      </c>
      <c r="BB33" s="19">
        <v>2500</v>
      </c>
      <c r="BC33" s="19">
        <v>157290</v>
      </c>
      <c r="BD33" s="19">
        <v>39527</v>
      </c>
      <c r="BE33" s="19">
        <v>145</v>
      </c>
      <c r="BF33" s="19">
        <v>17196</v>
      </c>
      <c r="BG33" s="19">
        <v>2587</v>
      </c>
      <c r="BH33" s="19">
        <v>484</v>
      </c>
      <c r="BI33" s="19">
        <v>477</v>
      </c>
      <c r="BJ33" s="19">
        <v>18638</v>
      </c>
      <c r="BK33" s="19">
        <v>117763</v>
      </c>
      <c r="BL33" s="19">
        <v>31811</v>
      </c>
      <c r="BM33" s="19">
        <v>65885</v>
      </c>
      <c r="BN33" s="19">
        <v>1040</v>
      </c>
      <c r="BO33" s="19">
        <v>6561</v>
      </c>
      <c r="BP33" s="19">
        <v>454</v>
      </c>
      <c r="BQ33" s="19">
        <v>12012</v>
      </c>
      <c r="BR33" s="19">
        <v>1634243</v>
      </c>
      <c r="BS33" s="19">
        <v>624622</v>
      </c>
      <c r="BT33" s="19">
        <v>686475</v>
      </c>
      <c r="BU33" s="19">
        <v>20483</v>
      </c>
      <c r="BV33" s="19">
        <v>202528</v>
      </c>
      <c r="BW33" s="19">
        <v>1495</v>
      </c>
      <c r="BX33" s="19">
        <v>98640</v>
      </c>
      <c r="BY33" s="19">
        <v>1594716</v>
      </c>
      <c r="BZ33" s="19">
        <v>624477</v>
      </c>
      <c r="CA33" s="19">
        <v>669279</v>
      </c>
      <c r="CB33" s="19">
        <v>17896</v>
      </c>
      <c r="CC33" s="19">
        <v>202044</v>
      </c>
      <c r="CD33" s="19">
        <v>1018</v>
      </c>
      <c r="CE33" s="19">
        <v>80002</v>
      </c>
      <c r="CF33" s="19">
        <v>39527</v>
      </c>
      <c r="CG33" s="19">
        <v>145</v>
      </c>
      <c r="CH33" s="19">
        <v>17196</v>
      </c>
      <c r="CI33" s="19">
        <v>2587</v>
      </c>
      <c r="CJ33" s="19">
        <v>484</v>
      </c>
      <c r="CK33" s="19">
        <v>477</v>
      </c>
      <c r="CL33" s="19">
        <v>18638</v>
      </c>
      <c r="CM33" s="19">
        <v>1138295</v>
      </c>
      <c r="CN33" s="19">
        <v>630193</v>
      </c>
      <c r="CO33" s="19">
        <v>477489</v>
      </c>
      <c r="CP33" s="19">
        <v>2470</v>
      </c>
      <c r="CQ33" s="19">
        <v>11811</v>
      </c>
      <c r="CR33" s="19">
        <v>456</v>
      </c>
      <c r="CS33" s="19">
        <v>15876</v>
      </c>
      <c r="CT33" s="19">
        <v>1020532</v>
      </c>
      <c r="CU33" s="19">
        <v>598382</v>
      </c>
      <c r="CV33" s="19">
        <v>411604</v>
      </c>
      <c r="CW33" s="19">
        <v>1430</v>
      </c>
      <c r="CX33" s="19">
        <v>5250</v>
      </c>
      <c r="CY33" s="19">
        <v>2</v>
      </c>
      <c r="CZ33" s="19">
        <v>3864</v>
      </c>
      <c r="DA33" s="19">
        <v>117763</v>
      </c>
      <c r="DB33" s="19">
        <v>31811</v>
      </c>
      <c r="DC33" s="19">
        <v>65885</v>
      </c>
      <c r="DD33" s="19">
        <v>1040</v>
      </c>
      <c r="DE33" s="19">
        <v>6561</v>
      </c>
      <c r="DF33" s="19">
        <v>454</v>
      </c>
      <c r="DG33" s="19">
        <v>12012</v>
      </c>
      <c r="DH33" s="19">
        <v>0</v>
      </c>
      <c r="DI33" s="19">
        <v>213</v>
      </c>
      <c r="DJ33" s="19">
        <v>147</v>
      </c>
      <c r="DK33" s="19">
        <v>37</v>
      </c>
      <c r="DL33" s="19">
        <v>0</v>
      </c>
      <c r="DM33" s="19">
        <v>29</v>
      </c>
    </row>
    <row r="34" spans="1:117" ht="13.5" customHeight="1">
      <c r="A34" s="17" t="s">
        <v>112</v>
      </c>
      <c r="B34" s="18" t="s">
        <v>113</v>
      </c>
      <c r="C34" s="17" t="s">
        <v>59</v>
      </c>
      <c r="D34" s="19">
        <v>1697935</v>
      </c>
      <c r="E34" s="19">
        <v>1072668</v>
      </c>
      <c r="F34" s="19">
        <v>16386</v>
      </c>
      <c r="G34" s="19">
        <v>6795</v>
      </c>
      <c r="H34" s="19">
        <v>9591</v>
      </c>
      <c r="I34" s="19">
        <v>0</v>
      </c>
      <c r="J34" s="19">
        <v>860316</v>
      </c>
      <c r="K34" s="19">
        <v>349065</v>
      </c>
      <c r="L34" s="19">
        <v>510913</v>
      </c>
      <c r="M34" s="19">
        <v>338</v>
      </c>
      <c r="N34" s="19">
        <v>39586</v>
      </c>
      <c r="O34" s="19">
        <v>21695</v>
      </c>
      <c r="P34" s="19">
        <v>17837</v>
      </c>
      <c r="Q34" s="19">
        <v>54</v>
      </c>
      <c r="R34" s="19">
        <v>122270</v>
      </c>
      <c r="S34" s="19">
        <v>42413</v>
      </c>
      <c r="T34" s="19">
        <v>79825</v>
      </c>
      <c r="U34" s="19">
        <v>32</v>
      </c>
      <c r="V34" s="19">
        <v>523</v>
      </c>
      <c r="W34" s="19">
        <v>463</v>
      </c>
      <c r="X34" s="19">
        <v>54</v>
      </c>
      <c r="Y34" s="19">
        <v>6</v>
      </c>
      <c r="Z34" s="19">
        <v>33587</v>
      </c>
      <c r="AA34" s="19">
        <v>12649</v>
      </c>
      <c r="AB34" s="19">
        <v>20271</v>
      </c>
      <c r="AC34" s="19">
        <v>667</v>
      </c>
      <c r="AD34" s="19">
        <v>461203</v>
      </c>
      <c r="AE34" s="19">
        <v>7198</v>
      </c>
      <c r="AF34" s="19">
        <v>0</v>
      </c>
      <c r="AG34" s="19">
        <v>0</v>
      </c>
      <c r="AH34" s="19">
        <v>7198</v>
      </c>
      <c r="AI34" s="19">
        <v>439695</v>
      </c>
      <c r="AJ34" s="19">
        <v>1186</v>
      </c>
      <c r="AK34" s="19">
        <v>223</v>
      </c>
      <c r="AL34" s="19">
        <v>438286</v>
      </c>
      <c r="AM34" s="19">
        <v>3748</v>
      </c>
      <c r="AN34" s="19">
        <v>74</v>
      </c>
      <c r="AO34" s="19">
        <v>786</v>
      </c>
      <c r="AP34" s="19">
        <v>2888</v>
      </c>
      <c r="AQ34" s="19">
        <v>4473</v>
      </c>
      <c r="AR34" s="19">
        <v>127</v>
      </c>
      <c r="AS34" s="19">
        <v>58</v>
      </c>
      <c r="AT34" s="19">
        <v>4288</v>
      </c>
      <c r="AU34" s="19">
        <v>68</v>
      </c>
      <c r="AV34" s="19">
        <v>0</v>
      </c>
      <c r="AW34" s="19">
        <v>19</v>
      </c>
      <c r="AX34" s="19">
        <v>49</v>
      </c>
      <c r="AY34" s="19">
        <v>6021</v>
      </c>
      <c r="AZ34" s="19">
        <v>44</v>
      </c>
      <c r="BA34" s="19">
        <v>27</v>
      </c>
      <c r="BB34" s="19">
        <v>5950</v>
      </c>
      <c r="BC34" s="19">
        <v>164064</v>
      </c>
      <c r="BD34" s="19">
        <v>51944</v>
      </c>
      <c r="BE34" s="19">
        <v>255</v>
      </c>
      <c r="BF34" s="19">
        <v>19438</v>
      </c>
      <c r="BG34" s="19">
        <v>5706</v>
      </c>
      <c r="BH34" s="19">
        <v>1862</v>
      </c>
      <c r="BI34" s="19">
        <v>1736</v>
      </c>
      <c r="BJ34" s="19">
        <v>22947</v>
      </c>
      <c r="BK34" s="19">
        <v>112120</v>
      </c>
      <c r="BL34" s="19">
        <v>992</v>
      </c>
      <c r="BM34" s="19">
        <v>79479</v>
      </c>
      <c r="BN34" s="19">
        <v>8383</v>
      </c>
      <c r="BO34" s="19">
        <v>14215</v>
      </c>
      <c r="BP34" s="19">
        <v>1058</v>
      </c>
      <c r="BQ34" s="19">
        <v>7993</v>
      </c>
      <c r="BR34" s="19">
        <v>1124612</v>
      </c>
      <c r="BS34" s="19">
        <v>16641</v>
      </c>
      <c r="BT34" s="19">
        <v>879754</v>
      </c>
      <c r="BU34" s="19">
        <v>45292</v>
      </c>
      <c r="BV34" s="19">
        <v>124132</v>
      </c>
      <c r="BW34" s="19">
        <v>2259</v>
      </c>
      <c r="BX34" s="19">
        <v>56534</v>
      </c>
      <c r="BY34" s="19">
        <v>1072668</v>
      </c>
      <c r="BZ34" s="19">
        <v>16386</v>
      </c>
      <c r="CA34" s="19">
        <v>860316</v>
      </c>
      <c r="CB34" s="19">
        <v>39586</v>
      </c>
      <c r="CC34" s="19">
        <v>122270</v>
      </c>
      <c r="CD34" s="19">
        <v>523</v>
      </c>
      <c r="CE34" s="19">
        <v>33587</v>
      </c>
      <c r="CF34" s="19">
        <v>51944</v>
      </c>
      <c r="CG34" s="19">
        <v>255</v>
      </c>
      <c r="CH34" s="19">
        <v>19438</v>
      </c>
      <c r="CI34" s="19">
        <v>5706</v>
      </c>
      <c r="CJ34" s="19">
        <v>1862</v>
      </c>
      <c r="CK34" s="19">
        <v>1736</v>
      </c>
      <c r="CL34" s="19">
        <v>22947</v>
      </c>
      <c r="CM34" s="19">
        <v>573323</v>
      </c>
      <c r="CN34" s="19">
        <v>8190</v>
      </c>
      <c r="CO34" s="19">
        <v>519174</v>
      </c>
      <c r="CP34" s="19">
        <v>12131</v>
      </c>
      <c r="CQ34" s="19">
        <v>18688</v>
      </c>
      <c r="CR34" s="19">
        <v>1126</v>
      </c>
      <c r="CS34" s="19">
        <v>14014</v>
      </c>
      <c r="CT34" s="19">
        <v>461203</v>
      </c>
      <c r="CU34" s="19">
        <v>7198</v>
      </c>
      <c r="CV34" s="19">
        <v>439695</v>
      </c>
      <c r="CW34" s="19">
        <v>3748</v>
      </c>
      <c r="CX34" s="19">
        <v>4473</v>
      </c>
      <c r="CY34" s="19">
        <v>68</v>
      </c>
      <c r="CZ34" s="19">
        <v>6021</v>
      </c>
      <c r="DA34" s="19">
        <v>112120</v>
      </c>
      <c r="DB34" s="19">
        <v>992</v>
      </c>
      <c r="DC34" s="19">
        <v>79479</v>
      </c>
      <c r="DD34" s="19">
        <v>8383</v>
      </c>
      <c r="DE34" s="19">
        <v>14215</v>
      </c>
      <c r="DF34" s="19">
        <v>1058</v>
      </c>
      <c r="DG34" s="19">
        <v>7993</v>
      </c>
      <c r="DH34" s="19">
        <v>0</v>
      </c>
      <c r="DI34" s="19">
        <v>17</v>
      </c>
      <c r="DJ34" s="19">
        <v>13</v>
      </c>
      <c r="DK34" s="19">
        <v>0</v>
      </c>
      <c r="DL34" s="19">
        <v>0</v>
      </c>
      <c r="DM34" s="19">
        <v>4</v>
      </c>
    </row>
    <row r="35" spans="1:117" ht="13.5" customHeight="1">
      <c r="A35" s="17" t="s">
        <v>114</v>
      </c>
      <c r="B35" s="18" t="s">
        <v>115</v>
      </c>
      <c r="C35" s="17" t="s">
        <v>59</v>
      </c>
      <c r="D35" s="19">
        <v>402357</v>
      </c>
      <c r="E35" s="19">
        <v>262297</v>
      </c>
      <c r="F35" s="19">
        <v>0</v>
      </c>
      <c r="G35" s="19">
        <v>0</v>
      </c>
      <c r="H35" s="19">
        <v>0</v>
      </c>
      <c r="I35" s="19">
        <v>0</v>
      </c>
      <c r="J35" s="19">
        <v>209319</v>
      </c>
      <c r="K35" s="19">
        <v>115533</v>
      </c>
      <c r="L35" s="19">
        <v>93786</v>
      </c>
      <c r="M35" s="19">
        <v>0</v>
      </c>
      <c r="N35" s="19">
        <v>11830</v>
      </c>
      <c r="O35" s="19">
        <v>5410</v>
      </c>
      <c r="P35" s="19">
        <v>6420</v>
      </c>
      <c r="Q35" s="19">
        <v>0</v>
      </c>
      <c r="R35" s="19">
        <v>30114</v>
      </c>
      <c r="S35" s="19">
        <v>13249</v>
      </c>
      <c r="T35" s="19">
        <v>16865</v>
      </c>
      <c r="U35" s="19">
        <v>0</v>
      </c>
      <c r="V35" s="19">
        <v>1728</v>
      </c>
      <c r="W35" s="19">
        <v>1444</v>
      </c>
      <c r="X35" s="19">
        <v>284</v>
      </c>
      <c r="Y35" s="19">
        <v>0</v>
      </c>
      <c r="Z35" s="19">
        <v>9306</v>
      </c>
      <c r="AA35" s="19">
        <v>5003</v>
      </c>
      <c r="AB35" s="19">
        <v>4303</v>
      </c>
      <c r="AC35" s="19">
        <v>0</v>
      </c>
      <c r="AD35" s="19">
        <v>98852</v>
      </c>
      <c r="AE35" s="19">
        <v>0</v>
      </c>
      <c r="AF35" s="19">
        <v>0</v>
      </c>
      <c r="AG35" s="19">
        <v>0</v>
      </c>
      <c r="AH35" s="19">
        <v>0</v>
      </c>
      <c r="AI35" s="19">
        <v>97723</v>
      </c>
      <c r="AJ35" s="19">
        <v>567</v>
      </c>
      <c r="AK35" s="19">
        <v>2018</v>
      </c>
      <c r="AL35" s="19">
        <v>95138</v>
      </c>
      <c r="AM35" s="19">
        <v>670</v>
      </c>
      <c r="AN35" s="19">
        <v>0</v>
      </c>
      <c r="AO35" s="19">
        <v>38</v>
      </c>
      <c r="AP35" s="19">
        <v>632</v>
      </c>
      <c r="AQ35" s="19">
        <v>187</v>
      </c>
      <c r="AR35" s="19">
        <v>29</v>
      </c>
      <c r="AS35" s="19">
        <v>25</v>
      </c>
      <c r="AT35" s="19">
        <v>133</v>
      </c>
      <c r="AU35" s="19">
        <v>0</v>
      </c>
      <c r="AV35" s="19">
        <v>0</v>
      </c>
      <c r="AW35" s="19">
        <v>0</v>
      </c>
      <c r="AX35" s="19">
        <v>0</v>
      </c>
      <c r="AY35" s="19">
        <v>272</v>
      </c>
      <c r="AZ35" s="19">
        <v>0</v>
      </c>
      <c r="BA35" s="19">
        <v>0</v>
      </c>
      <c r="BB35" s="19">
        <v>272</v>
      </c>
      <c r="BC35" s="19">
        <v>41208</v>
      </c>
      <c r="BD35" s="19">
        <v>22227</v>
      </c>
      <c r="BE35" s="19">
        <v>20</v>
      </c>
      <c r="BF35" s="19">
        <v>12859</v>
      </c>
      <c r="BG35" s="19">
        <v>4813</v>
      </c>
      <c r="BH35" s="19">
        <v>1309</v>
      </c>
      <c r="BI35" s="19">
        <v>13</v>
      </c>
      <c r="BJ35" s="19">
        <v>3213</v>
      </c>
      <c r="BK35" s="19">
        <v>18981</v>
      </c>
      <c r="BL35" s="19">
        <v>8</v>
      </c>
      <c r="BM35" s="19">
        <v>17094</v>
      </c>
      <c r="BN35" s="19">
        <v>348</v>
      </c>
      <c r="BO35" s="19">
        <v>822</v>
      </c>
      <c r="BP35" s="19">
        <v>552</v>
      </c>
      <c r="BQ35" s="19">
        <v>157</v>
      </c>
      <c r="BR35" s="19">
        <v>284524</v>
      </c>
      <c r="BS35" s="19">
        <v>20</v>
      </c>
      <c r="BT35" s="19">
        <v>222178</v>
      </c>
      <c r="BU35" s="19">
        <v>16643</v>
      </c>
      <c r="BV35" s="19">
        <v>31423</v>
      </c>
      <c r="BW35" s="19">
        <v>1741</v>
      </c>
      <c r="BX35" s="19">
        <v>12519</v>
      </c>
      <c r="BY35" s="19">
        <v>262297</v>
      </c>
      <c r="BZ35" s="19">
        <v>0</v>
      </c>
      <c r="CA35" s="19">
        <v>209319</v>
      </c>
      <c r="CB35" s="19">
        <v>11830</v>
      </c>
      <c r="CC35" s="19">
        <v>30114</v>
      </c>
      <c r="CD35" s="19">
        <v>1728</v>
      </c>
      <c r="CE35" s="19">
        <v>9306</v>
      </c>
      <c r="CF35" s="19">
        <v>22227</v>
      </c>
      <c r="CG35" s="19">
        <v>20</v>
      </c>
      <c r="CH35" s="19">
        <v>12859</v>
      </c>
      <c r="CI35" s="19">
        <v>4813</v>
      </c>
      <c r="CJ35" s="19">
        <v>1309</v>
      </c>
      <c r="CK35" s="19">
        <v>13</v>
      </c>
      <c r="CL35" s="19">
        <v>3213</v>
      </c>
      <c r="CM35" s="19">
        <v>117833</v>
      </c>
      <c r="CN35" s="19">
        <v>8</v>
      </c>
      <c r="CO35" s="19">
        <v>114817</v>
      </c>
      <c r="CP35" s="19">
        <v>1018</v>
      </c>
      <c r="CQ35" s="19">
        <v>1009</v>
      </c>
      <c r="CR35" s="19">
        <v>552</v>
      </c>
      <c r="CS35" s="19">
        <v>429</v>
      </c>
      <c r="CT35" s="19">
        <v>98852</v>
      </c>
      <c r="CU35" s="19">
        <v>0</v>
      </c>
      <c r="CV35" s="19">
        <v>97723</v>
      </c>
      <c r="CW35" s="19">
        <v>670</v>
      </c>
      <c r="CX35" s="19">
        <v>187</v>
      </c>
      <c r="CY35" s="19">
        <v>0</v>
      </c>
      <c r="CZ35" s="19">
        <v>272</v>
      </c>
      <c r="DA35" s="19">
        <v>18981</v>
      </c>
      <c r="DB35" s="19">
        <v>8</v>
      </c>
      <c r="DC35" s="19">
        <v>17094</v>
      </c>
      <c r="DD35" s="19">
        <v>348</v>
      </c>
      <c r="DE35" s="19">
        <v>822</v>
      </c>
      <c r="DF35" s="19">
        <v>552</v>
      </c>
      <c r="DG35" s="19">
        <v>157</v>
      </c>
      <c r="DH35" s="19">
        <v>0</v>
      </c>
      <c r="DI35" s="19">
        <v>33</v>
      </c>
      <c r="DJ35" s="19">
        <v>12</v>
      </c>
      <c r="DK35" s="19">
        <v>2</v>
      </c>
      <c r="DL35" s="19">
        <v>0</v>
      </c>
      <c r="DM35" s="19">
        <v>19</v>
      </c>
    </row>
    <row r="36" spans="1:117" ht="13.5" customHeight="1">
      <c r="A36" s="17" t="s">
        <v>116</v>
      </c>
      <c r="B36" s="18" t="s">
        <v>117</v>
      </c>
      <c r="C36" s="17" t="s">
        <v>59</v>
      </c>
      <c r="D36" s="19">
        <v>310215</v>
      </c>
      <c r="E36" s="19">
        <v>207163</v>
      </c>
      <c r="F36" s="19">
        <v>69807</v>
      </c>
      <c r="G36" s="19">
        <v>22381</v>
      </c>
      <c r="H36" s="19">
        <v>47426</v>
      </c>
      <c r="I36" s="19">
        <v>0</v>
      </c>
      <c r="J36" s="19">
        <v>102690</v>
      </c>
      <c r="K36" s="19">
        <v>25459</v>
      </c>
      <c r="L36" s="19">
        <v>77113</v>
      </c>
      <c r="M36" s="19">
        <v>118</v>
      </c>
      <c r="N36" s="19">
        <v>3798</v>
      </c>
      <c r="O36" s="19">
        <v>976</v>
      </c>
      <c r="P36" s="19">
        <v>2811</v>
      </c>
      <c r="Q36" s="19">
        <v>11</v>
      </c>
      <c r="R36" s="19">
        <v>25708</v>
      </c>
      <c r="S36" s="19">
        <v>6558</v>
      </c>
      <c r="T36" s="19">
        <v>19074</v>
      </c>
      <c r="U36" s="19">
        <v>76</v>
      </c>
      <c r="V36" s="19">
        <v>546</v>
      </c>
      <c r="W36" s="19">
        <v>51</v>
      </c>
      <c r="X36" s="19">
        <v>495</v>
      </c>
      <c r="Y36" s="19">
        <v>0</v>
      </c>
      <c r="Z36" s="19">
        <v>4614</v>
      </c>
      <c r="AA36" s="19">
        <v>1039</v>
      </c>
      <c r="AB36" s="19">
        <v>3515</v>
      </c>
      <c r="AC36" s="19">
        <v>60</v>
      </c>
      <c r="AD36" s="19">
        <v>56010</v>
      </c>
      <c r="AE36" s="19">
        <v>28503</v>
      </c>
      <c r="AF36" s="19">
        <v>0</v>
      </c>
      <c r="AG36" s="19">
        <v>0</v>
      </c>
      <c r="AH36" s="19">
        <v>28503</v>
      </c>
      <c r="AI36" s="19">
        <v>24507</v>
      </c>
      <c r="AJ36" s="19">
        <v>1704</v>
      </c>
      <c r="AK36" s="19">
        <v>929</v>
      </c>
      <c r="AL36" s="19">
        <v>21874</v>
      </c>
      <c r="AM36" s="19">
        <v>431</v>
      </c>
      <c r="AN36" s="19">
        <v>35</v>
      </c>
      <c r="AO36" s="19">
        <v>10</v>
      </c>
      <c r="AP36" s="19">
        <v>386</v>
      </c>
      <c r="AQ36" s="19">
        <v>1622</v>
      </c>
      <c r="AR36" s="19">
        <v>267</v>
      </c>
      <c r="AS36" s="19">
        <v>211</v>
      </c>
      <c r="AT36" s="19">
        <v>1144</v>
      </c>
      <c r="AU36" s="19">
        <v>0</v>
      </c>
      <c r="AV36" s="19">
        <v>0</v>
      </c>
      <c r="AW36" s="19">
        <v>0</v>
      </c>
      <c r="AX36" s="19">
        <v>0</v>
      </c>
      <c r="AY36" s="19">
        <v>947</v>
      </c>
      <c r="AZ36" s="19">
        <v>14</v>
      </c>
      <c r="BA36" s="19">
        <v>21</v>
      </c>
      <c r="BB36" s="19">
        <v>912</v>
      </c>
      <c r="BC36" s="19">
        <v>47042</v>
      </c>
      <c r="BD36" s="19">
        <v>21502</v>
      </c>
      <c r="BE36" s="19">
        <v>1398</v>
      </c>
      <c r="BF36" s="19">
        <v>6091</v>
      </c>
      <c r="BG36" s="19">
        <v>2616</v>
      </c>
      <c r="BH36" s="19">
        <v>1011</v>
      </c>
      <c r="BI36" s="19">
        <v>120</v>
      </c>
      <c r="BJ36" s="19">
        <v>10266</v>
      </c>
      <c r="BK36" s="19">
        <v>25540</v>
      </c>
      <c r="BL36" s="19">
        <v>5167</v>
      </c>
      <c r="BM36" s="19">
        <v>14194</v>
      </c>
      <c r="BN36" s="19">
        <v>2013</v>
      </c>
      <c r="BO36" s="19">
        <v>526</v>
      </c>
      <c r="BP36" s="19">
        <v>98</v>
      </c>
      <c r="BQ36" s="19">
        <v>3542</v>
      </c>
      <c r="BR36" s="19">
        <v>228665</v>
      </c>
      <c r="BS36" s="19">
        <v>71205</v>
      </c>
      <c r="BT36" s="19">
        <v>108781</v>
      </c>
      <c r="BU36" s="19">
        <v>6414</v>
      </c>
      <c r="BV36" s="19">
        <v>26719</v>
      </c>
      <c r="BW36" s="19">
        <v>666</v>
      </c>
      <c r="BX36" s="19">
        <v>14880</v>
      </c>
      <c r="BY36" s="19">
        <v>207163</v>
      </c>
      <c r="BZ36" s="19">
        <v>69807</v>
      </c>
      <c r="CA36" s="19">
        <v>102690</v>
      </c>
      <c r="CB36" s="19">
        <v>3798</v>
      </c>
      <c r="CC36" s="19">
        <v>25708</v>
      </c>
      <c r="CD36" s="19">
        <v>546</v>
      </c>
      <c r="CE36" s="19">
        <v>4614</v>
      </c>
      <c r="CF36" s="19">
        <v>21502</v>
      </c>
      <c r="CG36" s="19">
        <v>1398</v>
      </c>
      <c r="CH36" s="19">
        <v>6091</v>
      </c>
      <c r="CI36" s="19">
        <v>2616</v>
      </c>
      <c r="CJ36" s="19">
        <v>1011</v>
      </c>
      <c r="CK36" s="19">
        <v>120</v>
      </c>
      <c r="CL36" s="19">
        <v>10266</v>
      </c>
      <c r="CM36" s="19">
        <v>81550</v>
      </c>
      <c r="CN36" s="19">
        <v>33670</v>
      </c>
      <c r="CO36" s="19">
        <v>38701</v>
      </c>
      <c r="CP36" s="19">
        <v>2444</v>
      </c>
      <c r="CQ36" s="19">
        <v>2148</v>
      </c>
      <c r="CR36" s="19">
        <v>98</v>
      </c>
      <c r="CS36" s="19">
        <v>4489</v>
      </c>
      <c r="CT36" s="19">
        <v>56010</v>
      </c>
      <c r="CU36" s="19">
        <v>28503</v>
      </c>
      <c r="CV36" s="19">
        <v>24507</v>
      </c>
      <c r="CW36" s="19">
        <v>431</v>
      </c>
      <c r="CX36" s="19">
        <v>1622</v>
      </c>
      <c r="CY36" s="19">
        <v>0</v>
      </c>
      <c r="CZ36" s="19">
        <v>947</v>
      </c>
      <c r="DA36" s="19">
        <v>25540</v>
      </c>
      <c r="DB36" s="19">
        <v>5167</v>
      </c>
      <c r="DC36" s="19">
        <v>14194</v>
      </c>
      <c r="DD36" s="19">
        <v>2013</v>
      </c>
      <c r="DE36" s="19">
        <v>526</v>
      </c>
      <c r="DF36" s="19">
        <v>98</v>
      </c>
      <c r="DG36" s="19">
        <v>3542</v>
      </c>
      <c r="DH36" s="19">
        <v>16</v>
      </c>
      <c r="DI36" s="19">
        <v>151</v>
      </c>
      <c r="DJ36" s="19">
        <v>6</v>
      </c>
      <c r="DK36" s="19">
        <v>89</v>
      </c>
      <c r="DL36" s="19">
        <v>55</v>
      </c>
      <c r="DM36" s="19">
        <v>1</v>
      </c>
    </row>
    <row r="37" spans="1:117" ht="13.5" customHeight="1">
      <c r="A37" s="17" t="s">
        <v>118</v>
      </c>
      <c r="B37" s="18" t="s">
        <v>119</v>
      </c>
      <c r="C37" s="17" t="s">
        <v>59</v>
      </c>
      <c r="D37" s="19">
        <v>197607</v>
      </c>
      <c r="E37" s="19">
        <v>107055</v>
      </c>
      <c r="F37" s="19">
        <v>0</v>
      </c>
      <c r="G37" s="19">
        <v>0</v>
      </c>
      <c r="H37" s="19">
        <v>0</v>
      </c>
      <c r="I37" s="19">
        <v>0</v>
      </c>
      <c r="J37" s="19">
        <v>86016</v>
      </c>
      <c r="K37" s="19">
        <v>1400</v>
      </c>
      <c r="L37" s="19">
        <v>84616</v>
      </c>
      <c r="M37" s="19">
        <v>0</v>
      </c>
      <c r="N37" s="19">
        <v>5175</v>
      </c>
      <c r="O37" s="19">
        <v>39</v>
      </c>
      <c r="P37" s="19">
        <v>5136</v>
      </c>
      <c r="Q37" s="19">
        <v>0</v>
      </c>
      <c r="R37" s="19">
        <v>13972</v>
      </c>
      <c r="S37" s="19">
        <v>581</v>
      </c>
      <c r="T37" s="19">
        <v>13252</v>
      </c>
      <c r="U37" s="19">
        <v>139</v>
      </c>
      <c r="V37" s="19">
        <v>90</v>
      </c>
      <c r="W37" s="19">
        <v>0</v>
      </c>
      <c r="X37" s="19">
        <v>90</v>
      </c>
      <c r="Y37" s="19">
        <v>0</v>
      </c>
      <c r="Z37" s="19">
        <v>1802</v>
      </c>
      <c r="AA37" s="19">
        <v>77</v>
      </c>
      <c r="AB37" s="19">
        <v>1725</v>
      </c>
      <c r="AC37" s="19">
        <v>0</v>
      </c>
      <c r="AD37" s="19">
        <v>75601</v>
      </c>
      <c r="AE37" s="19">
        <v>0</v>
      </c>
      <c r="AF37" s="19">
        <v>0</v>
      </c>
      <c r="AG37" s="19">
        <v>0</v>
      </c>
      <c r="AH37" s="19">
        <v>0</v>
      </c>
      <c r="AI37" s="19">
        <v>44705</v>
      </c>
      <c r="AJ37" s="19">
        <v>67</v>
      </c>
      <c r="AK37" s="19">
        <v>980</v>
      </c>
      <c r="AL37" s="19">
        <v>43658</v>
      </c>
      <c r="AM37" s="19">
        <v>278</v>
      </c>
      <c r="AN37" s="19">
        <v>0</v>
      </c>
      <c r="AO37" s="19">
        <v>42</v>
      </c>
      <c r="AP37" s="19">
        <v>236</v>
      </c>
      <c r="AQ37" s="19">
        <v>30214</v>
      </c>
      <c r="AR37" s="19">
        <v>136</v>
      </c>
      <c r="AS37" s="19">
        <v>41</v>
      </c>
      <c r="AT37" s="19">
        <v>30037</v>
      </c>
      <c r="AU37" s="19">
        <v>5</v>
      </c>
      <c r="AV37" s="19">
        <v>0</v>
      </c>
      <c r="AW37" s="19">
        <v>1</v>
      </c>
      <c r="AX37" s="19">
        <v>4</v>
      </c>
      <c r="AY37" s="19">
        <v>399</v>
      </c>
      <c r="AZ37" s="19">
        <v>0</v>
      </c>
      <c r="BA37" s="19">
        <v>0</v>
      </c>
      <c r="BB37" s="19">
        <v>399</v>
      </c>
      <c r="BC37" s="19">
        <v>14951</v>
      </c>
      <c r="BD37" s="19">
        <v>4490</v>
      </c>
      <c r="BE37" s="19">
        <v>18</v>
      </c>
      <c r="BF37" s="19">
        <v>1773</v>
      </c>
      <c r="BG37" s="19">
        <v>458</v>
      </c>
      <c r="BH37" s="19">
        <v>1726</v>
      </c>
      <c r="BI37" s="19">
        <v>1</v>
      </c>
      <c r="BJ37" s="19">
        <v>514</v>
      </c>
      <c r="BK37" s="19">
        <v>10461</v>
      </c>
      <c r="BL37" s="19">
        <v>0</v>
      </c>
      <c r="BM37" s="19">
        <v>8660</v>
      </c>
      <c r="BN37" s="19">
        <v>142</v>
      </c>
      <c r="BO37" s="19">
        <v>844</v>
      </c>
      <c r="BP37" s="19">
        <v>197</v>
      </c>
      <c r="BQ37" s="19">
        <v>618</v>
      </c>
      <c r="BR37" s="19">
        <v>111545</v>
      </c>
      <c r="BS37" s="19">
        <v>18</v>
      </c>
      <c r="BT37" s="19">
        <v>87789</v>
      </c>
      <c r="BU37" s="19">
        <v>5633</v>
      </c>
      <c r="BV37" s="19">
        <v>15698</v>
      </c>
      <c r="BW37" s="19">
        <v>91</v>
      </c>
      <c r="BX37" s="19">
        <v>2316</v>
      </c>
      <c r="BY37" s="19">
        <v>107055</v>
      </c>
      <c r="BZ37" s="19">
        <v>0</v>
      </c>
      <c r="CA37" s="19">
        <v>86016</v>
      </c>
      <c r="CB37" s="19">
        <v>5175</v>
      </c>
      <c r="CC37" s="19">
        <v>13972</v>
      </c>
      <c r="CD37" s="19">
        <v>90</v>
      </c>
      <c r="CE37" s="19">
        <v>1802</v>
      </c>
      <c r="CF37" s="19">
        <v>4490</v>
      </c>
      <c r="CG37" s="19">
        <v>18</v>
      </c>
      <c r="CH37" s="19">
        <v>1773</v>
      </c>
      <c r="CI37" s="19">
        <v>458</v>
      </c>
      <c r="CJ37" s="19">
        <v>1726</v>
      </c>
      <c r="CK37" s="19">
        <v>1</v>
      </c>
      <c r="CL37" s="19">
        <v>514</v>
      </c>
      <c r="CM37" s="19">
        <v>86062</v>
      </c>
      <c r="CN37" s="19">
        <v>0</v>
      </c>
      <c r="CO37" s="19">
        <v>53365</v>
      </c>
      <c r="CP37" s="19">
        <v>420</v>
      </c>
      <c r="CQ37" s="19">
        <v>31058</v>
      </c>
      <c r="CR37" s="19">
        <v>202</v>
      </c>
      <c r="CS37" s="19">
        <v>1017</v>
      </c>
      <c r="CT37" s="19">
        <v>75601</v>
      </c>
      <c r="CU37" s="19">
        <v>0</v>
      </c>
      <c r="CV37" s="19">
        <v>44705</v>
      </c>
      <c r="CW37" s="19">
        <v>278</v>
      </c>
      <c r="CX37" s="19">
        <v>30214</v>
      </c>
      <c r="CY37" s="19">
        <v>5</v>
      </c>
      <c r="CZ37" s="19">
        <v>399</v>
      </c>
      <c r="DA37" s="19">
        <v>10461</v>
      </c>
      <c r="DB37" s="19">
        <v>0</v>
      </c>
      <c r="DC37" s="19">
        <v>8660</v>
      </c>
      <c r="DD37" s="19">
        <v>142</v>
      </c>
      <c r="DE37" s="19">
        <v>844</v>
      </c>
      <c r="DF37" s="19">
        <v>197</v>
      </c>
      <c r="DG37" s="19">
        <v>618</v>
      </c>
      <c r="DH37" s="19">
        <v>4</v>
      </c>
      <c r="DI37" s="19">
        <v>24</v>
      </c>
      <c r="DJ37" s="19">
        <v>2</v>
      </c>
      <c r="DK37" s="19">
        <v>22</v>
      </c>
      <c r="DL37" s="19">
        <v>0</v>
      </c>
      <c r="DM37" s="19">
        <v>0</v>
      </c>
    </row>
    <row r="38" spans="1:117" ht="13.5" customHeight="1">
      <c r="A38" s="17" t="s">
        <v>120</v>
      </c>
      <c r="B38" s="18" t="s">
        <v>121</v>
      </c>
      <c r="C38" s="17" t="s">
        <v>59</v>
      </c>
      <c r="D38" s="19">
        <v>228418</v>
      </c>
      <c r="E38" s="19">
        <v>134999</v>
      </c>
      <c r="F38" s="19">
        <v>0</v>
      </c>
      <c r="G38" s="19">
        <v>0</v>
      </c>
      <c r="H38" s="19">
        <v>0</v>
      </c>
      <c r="I38" s="19">
        <v>0</v>
      </c>
      <c r="J38" s="19">
        <v>108866</v>
      </c>
      <c r="K38" s="19">
        <v>7424</v>
      </c>
      <c r="L38" s="19">
        <v>99694</v>
      </c>
      <c r="M38" s="19">
        <v>1748</v>
      </c>
      <c r="N38" s="19">
        <v>5534</v>
      </c>
      <c r="O38" s="19">
        <v>3</v>
      </c>
      <c r="P38" s="19">
        <v>5289</v>
      </c>
      <c r="Q38" s="19">
        <v>242</v>
      </c>
      <c r="R38" s="19">
        <v>19574</v>
      </c>
      <c r="S38" s="19">
        <v>8</v>
      </c>
      <c r="T38" s="19">
        <v>19527</v>
      </c>
      <c r="U38" s="19">
        <v>39</v>
      </c>
      <c r="V38" s="19">
        <v>98</v>
      </c>
      <c r="W38" s="19">
        <v>72</v>
      </c>
      <c r="X38" s="19">
        <v>26</v>
      </c>
      <c r="Y38" s="19">
        <v>0</v>
      </c>
      <c r="Z38" s="19">
        <v>927</v>
      </c>
      <c r="AA38" s="19">
        <v>77</v>
      </c>
      <c r="AB38" s="19">
        <v>850</v>
      </c>
      <c r="AC38" s="19">
        <v>0</v>
      </c>
      <c r="AD38" s="19">
        <v>57609</v>
      </c>
      <c r="AE38" s="19">
        <v>0</v>
      </c>
      <c r="AF38" s="19">
        <v>0</v>
      </c>
      <c r="AG38" s="19">
        <v>0</v>
      </c>
      <c r="AH38" s="19">
        <v>0</v>
      </c>
      <c r="AI38" s="19">
        <v>45370</v>
      </c>
      <c r="AJ38" s="19">
        <v>1432</v>
      </c>
      <c r="AK38" s="19">
        <v>2397</v>
      </c>
      <c r="AL38" s="19">
        <v>41541</v>
      </c>
      <c r="AM38" s="19">
        <v>5698</v>
      </c>
      <c r="AN38" s="19">
        <v>0</v>
      </c>
      <c r="AO38" s="19">
        <v>227</v>
      </c>
      <c r="AP38" s="19">
        <v>5471</v>
      </c>
      <c r="AQ38" s="19">
        <v>6541</v>
      </c>
      <c r="AR38" s="19">
        <v>0</v>
      </c>
      <c r="AS38" s="19">
        <v>654</v>
      </c>
      <c r="AT38" s="19">
        <v>5887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35810</v>
      </c>
      <c r="BD38" s="19">
        <v>21767</v>
      </c>
      <c r="BE38" s="19">
        <v>5315</v>
      </c>
      <c r="BF38" s="19">
        <v>9978</v>
      </c>
      <c r="BG38" s="19">
        <v>3373</v>
      </c>
      <c r="BH38" s="19">
        <v>1791</v>
      </c>
      <c r="BI38" s="19">
        <v>21</v>
      </c>
      <c r="BJ38" s="19">
        <v>1289</v>
      </c>
      <c r="BK38" s="19">
        <v>14043</v>
      </c>
      <c r="BL38" s="19">
        <v>0</v>
      </c>
      <c r="BM38" s="19">
        <v>11946</v>
      </c>
      <c r="BN38" s="19">
        <v>1242</v>
      </c>
      <c r="BO38" s="19">
        <v>738</v>
      </c>
      <c r="BP38" s="19">
        <v>25</v>
      </c>
      <c r="BQ38" s="19">
        <v>92</v>
      </c>
      <c r="BR38" s="19">
        <v>156766</v>
      </c>
      <c r="BS38" s="19">
        <v>5315</v>
      </c>
      <c r="BT38" s="19">
        <v>118844</v>
      </c>
      <c r="BU38" s="19">
        <v>8907</v>
      </c>
      <c r="BV38" s="19">
        <v>21365</v>
      </c>
      <c r="BW38" s="19">
        <v>119</v>
      </c>
      <c r="BX38" s="19">
        <v>2216</v>
      </c>
      <c r="BY38" s="19">
        <v>134999</v>
      </c>
      <c r="BZ38" s="19">
        <v>0</v>
      </c>
      <c r="CA38" s="19">
        <v>108866</v>
      </c>
      <c r="CB38" s="19">
        <v>5534</v>
      </c>
      <c r="CC38" s="19">
        <v>19574</v>
      </c>
      <c r="CD38" s="19">
        <v>98</v>
      </c>
      <c r="CE38" s="19">
        <v>927</v>
      </c>
      <c r="CF38" s="19">
        <v>21767</v>
      </c>
      <c r="CG38" s="19">
        <v>5315</v>
      </c>
      <c r="CH38" s="19">
        <v>9978</v>
      </c>
      <c r="CI38" s="19">
        <v>3373</v>
      </c>
      <c r="CJ38" s="19">
        <v>1791</v>
      </c>
      <c r="CK38" s="19">
        <v>21</v>
      </c>
      <c r="CL38" s="19">
        <v>1289</v>
      </c>
      <c r="CM38" s="19">
        <v>71652</v>
      </c>
      <c r="CN38" s="19">
        <v>0</v>
      </c>
      <c r="CO38" s="19">
        <v>57316</v>
      </c>
      <c r="CP38" s="19">
        <v>6940</v>
      </c>
      <c r="CQ38" s="19">
        <v>7279</v>
      </c>
      <c r="CR38" s="19">
        <v>25</v>
      </c>
      <c r="CS38" s="19">
        <v>92</v>
      </c>
      <c r="CT38" s="19">
        <v>57609</v>
      </c>
      <c r="CU38" s="19">
        <v>0</v>
      </c>
      <c r="CV38" s="19">
        <v>45370</v>
      </c>
      <c r="CW38" s="19">
        <v>5698</v>
      </c>
      <c r="CX38" s="19">
        <v>6541</v>
      </c>
      <c r="CY38" s="19">
        <v>0</v>
      </c>
      <c r="CZ38" s="19">
        <v>0</v>
      </c>
      <c r="DA38" s="19">
        <v>14043</v>
      </c>
      <c r="DB38" s="19">
        <v>0</v>
      </c>
      <c r="DC38" s="19">
        <v>11946</v>
      </c>
      <c r="DD38" s="19">
        <v>1242</v>
      </c>
      <c r="DE38" s="19">
        <v>738</v>
      </c>
      <c r="DF38" s="19">
        <v>25</v>
      </c>
      <c r="DG38" s="19">
        <v>92</v>
      </c>
      <c r="DH38" s="19">
        <v>8</v>
      </c>
      <c r="DI38" s="19">
        <v>17</v>
      </c>
      <c r="DJ38" s="19">
        <v>0</v>
      </c>
      <c r="DK38" s="19">
        <v>0</v>
      </c>
      <c r="DL38" s="19">
        <v>0</v>
      </c>
      <c r="DM38" s="19">
        <v>17</v>
      </c>
    </row>
    <row r="39" spans="1:117" ht="13.5" customHeight="1">
      <c r="A39" s="17" t="s">
        <v>122</v>
      </c>
      <c r="B39" s="18" t="s">
        <v>123</v>
      </c>
      <c r="C39" s="17" t="s">
        <v>59</v>
      </c>
      <c r="D39" s="19">
        <v>609796</v>
      </c>
      <c r="E39" s="19">
        <v>358061</v>
      </c>
      <c r="F39" s="19">
        <v>0</v>
      </c>
      <c r="G39" s="19">
        <v>0</v>
      </c>
      <c r="H39" s="19">
        <v>0</v>
      </c>
      <c r="I39" s="19">
        <v>0</v>
      </c>
      <c r="J39" s="19">
        <v>313119</v>
      </c>
      <c r="K39" s="19">
        <v>91584</v>
      </c>
      <c r="L39" s="19">
        <v>221520</v>
      </c>
      <c r="M39" s="19">
        <v>15</v>
      </c>
      <c r="N39" s="19">
        <v>10458</v>
      </c>
      <c r="O39" s="19">
        <v>2470</v>
      </c>
      <c r="P39" s="19">
        <v>7977</v>
      </c>
      <c r="Q39" s="19">
        <v>11</v>
      </c>
      <c r="R39" s="19">
        <v>30752</v>
      </c>
      <c r="S39" s="19">
        <v>8639</v>
      </c>
      <c r="T39" s="19">
        <v>22112</v>
      </c>
      <c r="U39" s="19">
        <v>1</v>
      </c>
      <c r="V39" s="19">
        <v>140</v>
      </c>
      <c r="W39" s="19">
        <v>23</v>
      </c>
      <c r="X39" s="19">
        <v>117</v>
      </c>
      <c r="Y39" s="19">
        <v>0</v>
      </c>
      <c r="Z39" s="19">
        <v>3592</v>
      </c>
      <c r="AA39" s="19">
        <v>604</v>
      </c>
      <c r="AB39" s="19">
        <v>2615</v>
      </c>
      <c r="AC39" s="19">
        <v>373</v>
      </c>
      <c r="AD39" s="19">
        <v>171433</v>
      </c>
      <c r="AE39" s="19">
        <v>0</v>
      </c>
      <c r="AF39" s="19">
        <v>0</v>
      </c>
      <c r="AG39" s="19">
        <v>0</v>
      </c>
      <c r="AH39" s="19">
        <v>0</v>
      </c>
      <c r="AI39" s="19">
        <v>167635</v>
      </c>
      <c r="AJ39" s="19">
        <v>910</v>
      </c>
      <c r="AK39" s="19">
        <v>386</v>
      </c>
      <c r="AL39" s="19">
        <v>166339</v>
      </c>
      <c r="AM39" s="19">
        <v>2170</v>
      </c>
      <c r="AN39" s="19">
        <v>67</v>
      </c>
      <c r="AO39" s="19">
        <v>9</v>
      </c>
      <c r="AP39" s="19">
        <v>2094</v>
      </c>
      <c r="AQ39" s="19">
        <v>300</v>
      </c>
      <c r="AR39" s="19">
        <v>12</v>
      </c>
      <c r="AS39" s="19">
        <v>125</v>
      </c>
      <c r="AT39" s="19">
        <v>163</v>
      </c>
      <c r="AU39" s="19">
        <v>0</v>
      </c>
      <c r="AV39" s="19">
        <v>0</v>
      </c>
      <c r="AW39" s="19">
        <v>0</v>
      </c>
      <c r="AX39" s="19">
        <v>0</v>
      </c>
      <c r="AY39" s="19">
        <v>1328</v>
      </c>
      <c r="AZ39" s="19">
        <v>2</v>
      </c>
      <c r="BA39" s="19">
        <v>25</v>
      </c>
      <c r="BB39" s="19">
        <v>1301</v>
      </c>
      <c r="BC39" s="19">
        <v>80302</v>
      </c>
      <c r="BD39" s="19">
        <v>31262</v>
      </c>
      <c r="BE39" s="19">
        <v>0</v>
      </c>
      <c r="BF39" s="19">
        <v>10625</v>
      </c>
      <c r="BG39" s="19">
        <v>1539</v>
      </c>
      <c r="BH39" s="19">
        <v>6089</v>
      </c>
      <c r="BI39" s="19">
        <v>33</v>
      </c>
      <c r="BJ39" s="19">
        <v>12976</v>
      </c>
      <c r="BK39" s="19">
        <v>49040</v>
      </c>
      <c r="BL39" s="19">
        <v>0</v>
      </c>
      <c r="BM39" s="19">
        <v>47359</v>
      </c>
      <c r="BN39" s="19">
        <v>578</v>
      </c>
      <c r="BO39" s="19">
        <v>379</v>
      </c>
      <c r="BP39" s="19">
        <v>0</v>
      </c>
      <c r="BQ39" s="19">
        <v>724</v>
      </c>
      <c r="BR39" s="19">
        <v>389323</v>
      </c>
      <c r="BS39" s="19">
        <v>0</v>
      </c>
      <c r="BT39" s="19">
        <v>323744</v>
      </c>
      <c r="BU39" s="19">
        <v>11997</v>
      </c>
      <c r="BV39" s="19">
        <v>36841</v>
      </c>
      <c r="BW39" s="19">
        <v>173</v>
      </c>
      <c r="BX39" s="19">
        <v>16568</v>
      </c>
      <c r="BY39" s="19">
        <v>358061</v>
      </c>
      <c r="BZ39" s="19">
        <v>0</v>
      </c>
      <c r="CA39" s="19">
        <v>313119</v>
      </c>
      <c r="CB39" s="19">
        <v>10458</v>
      </c>
      <c r="CC39" s="19">
        <v>30752</v>
      </c>
      <c r="CD39" s="19">
        <v>140</v>
      </c>
      <c r="CE39" s="19">
        <v>3592</v>
      </c>
      <c r="CF39" s="19">
        <v>31262</v>
      </c>
      <c r="CG39" s="19">
        <v>0</v>
      </c>
      <c r="CH39" s="19">
        <v>10625</v>
      </c>
      <c r="CI39" s="19">
        <v>1539</v>
      </c>
      <c r="CJ39" s="19">
        <v>6089</v>
      </c>
      <c r="CK39" s="19">
        <v>33</v>
      </c>
      <c r="CL39" s="19">
        <v>12976</v>
      </c>
      <c r="CM39" s="19">
        <v>220473</v>
      </c>
      <c r="CN39" s="19">
        <v>0</v>
      </c>
      <c r="CO39" s="19">
        <v>214994</v>
      </c>
      <c r="CP39" s="19">
        <v>2748</v>
      </c>
      <c r="CQ39" s="19">
        <v>679</v>
      </c>
      <c r="CR39" s="19">
        <v>0</v>
      </c>
      <c r="CS39" s="19">
        <v>2052</v>
      </c>
      <c r="CT39" s="19">
        <v>171433</v>
      </c>
      <c r="CU39" s="19">
        <v>0</v>
      </c>
      <c r="CV39" s="19">
        <v>167635</v>
      </c>
      <c r="CW39" s="19">
        <v>2170</v>
      </c>
      <c r="CX39" s="19">
        <v>300</v>
      </c>
      <c r="CY39" s="19">
        <v>0</v>
      </c>
      <c r="CZ39" s="19">
        <v>1328</v>
      </c>
      <c r="DA39" s="19">
        <v>49040</v>
      </c>
      <c r="DB39" s="19">
        <v>0</v>
      </c>
      <c r="DC39" s="19">
        <v>47359</v>
      </c>
      <c r="DD39" s="19">
        <v>578</v>
      </c>
      <c r="DE39" s="19">
        <v>379</v>
      </c>
      <c r="DF39" s="19">
        <v>0</v>
      </c>
      <c r="DG39" s="19">
        <v>724</v>
      </c>
      <c r="DH39" s="19">
        <v>6</v>
      </c>
      <c r="DI39" s="19">
        <v>109</v>
      </c>
      <c r="DJ39" s="19">
        <v>8</v>
      </c>
      <c r="DK39" s="19">
        <v>3</v>
      </c>
      <c r="DL39" s="19">
        <v>0</v>
      </c>
      <c r="DM39" s="19">
        <v>98</v>
      </c>
    </row>
    <row r="40" spans="1:117" ht="13.5" customHeight="1">
      <c r="A40" s="17" t="s">
        <v>124</v>
      </c>
      <c r="B40" s="18" t="s">
        <v>125</v>
      </c>
      <c r="C40" s="17" t="s">
        <v>59</v>
      </c>
      <c r="D40" s="19">
        <v>881131</v>
      </c>
      <c r="E40" s="19">
        <v>524089</v>
      </c>
      <c r="F40" s="19">
        <v>0</v>
      </c>
      <c r="G40" s="19">
        <v>0</v>
      </c>
      <c r="H40" s="19">
        <v>0</v>
      </c>
      <c r="I40" s="19">
        <v>0</v>
      </c>
      <c r="J40" s="19">
        <v>387562</v>
      </c>
      <c r="K40" s="19">
        <v>96413</v>
      </c>
      <c r="L40" s="19">
        <v>291149</v>
      </c>
      <c r="M40" s="19">
        <v>0</v>
      </c>
      <c r="N40" s="19">
        <v>18949</v>
      </c>
      <c r="O40" s="19">
        <v>4321</v>
      </c>
      <c r="P40" s="19">
        <v>14628</v>
      </c>
      <c r="Q40" s="19">
        <v>0</v>
      </c>
      <c r="R40" s="19">
        <v>103806</v>
      </c>
      <c r="S40" s="19">
        <v>10379</v>
      </c>
      <c r="T40" s="19">
        <v>93427</v>
      </c>
      <c r="U40" s="19">
        <v>0</v>
      </c>
      <c r="V40" s="19">
        <v>716</v>
      </c>
      <c r="W40" s="19">
        <v>27</v>
      </c>
      <c r="X40" s="19">
        <v>689</v>
      </c>
      <c r="Y40" s="19">
        <v>0</v>
      </c>
      <c r="Z40" s="19">
        <v>13056</v>
      </c>
      <c r="AA40" s="19">
        <v>2247</v>
      </c>
      <c r="AB40" s="19">
        <v>10809</v>
      </c>
      <c r="AC40" s="19">
        <v>0</v>
      </c>
      <c r="AD40" s="19">
        <v>280013</v>
      </c>
      <c r="AE40" s="19">
        <v>0</v>
      </c>
      <c r="AF40" s="19">
        <v>0</v>
      </c>
      <c r="AG40" s="19">
        <v>0</v>
      </c>
      <c r="AH40" s="19">
        <v>0</v>
      </c>
      <c r="AI40" s="19">
        <v>267161</v>
      </c>
      <c r="AJ40" s="19">
        <v>26</v>
      </c>
      <c r="AK40" s="19">
        <v>215</v>
      </c>
      <c r="AL40" s="19">
        <v>266920</v>
      </c>
      <c r="AM40" s="19">
        <v>5719</v>
      </c>
      <c r="AN40" s="19">
        <v>0</v>
      </c>
      <c r="AO40" s="19">
        <v>0</v>
      </c>
      <c r="AP40" s="19">
        <v>5719</v>
      </c>
      <c r="AQ40" s="19">
        <v>2225</v>
      </c>
      <c r="AR40" s="19">
        <v>10</v>
      </c>
      <c r="AS40" s="19">
        <v>9</v>
      </c>
      <c r="AT40" s="19">
        <v>2206</v>
      </c>
      <c r="AU40" s="19">
        <v>10</v>
      </c>
      <c r="AV40" s="19">
        <v>0</v>
      </c>
      <c r="AW40" s="19">
        <v>0</v>
      </c>
      <c r="AX40" s="19">
        <v>10</v>
      </c>
      <c r="AY40" s="19">
        <v>4898</v>
      </c>
      <c r="AZ40" s="19">
        <v>0</v>
      </c>
      <c r="BA40" s="19">
        <v>0</v>
      </c>
      <c r="BB40" s="19">
        <v>4898</v>
      </c>
      <c r="BC40" s="19">
        <v>77029</v>
      </c>
      <c r="BD40" s="19">
        <v>37912</v>
      </c>
      <c r="BE40" s="19">
        <v>0</v>
      </c>
      <c r="BF40" s="19">
        <v>11278</v>
      </c>
      <c r="BG40" s="19">
        <v>3504</v>
      </c>
      <c r="BH40" s="19">
        <v>3939</v>
      </c>
      <c r="BI40" s="19">
        <v>89</v>
      </c>
      <c r="BJ40" s="19">
        <v>19102</v>
      </c>
      <c r="BK40" s="19">
        <v>39117</v>
      </c>
      <c r="BL40" s="19">
        <v>0</v>
      </c>
      <c r="BM40" s="19">
        <v>26261</v>
      </c>
      <c r="BN40" s="19">
        <v>3589</v>
      </c>
      <c r="BO40" s="19">
        <v>2751</v>
      </c>
      <c r="BP40" s="19">
        <v>8</v>
      </c>
      <c r="BQ40" s="19">
        <v>6508</v>
      </c>
      <c r="BR40" s="19">
        <v>562001</v>
      </c>
      <c r="BS40" s="19">
        <v>0</v>
      </c>
      <c r="BT40" s="19">
        <v>398840</v>
      </c>
      <c r="BU40" s="19">
        <v>22453</v>
      </c>
      <c r="BV40" s="19">
        <v>107745</v>
      </c>
      <c r="BW40" s="19">
        <v>805</v>
      </c>
      <c r="BX40" s="19">
        <v>32158</v>
      </c>
      <c r="BY40" s="19">
        <v>524089</v>
      </c>
      <c r="BZ40" s="19">
        <v>0</v>
      </c>
      <c r="CA40" s="19">
        <v>387562</v>
      </c>
      <c r="CB40" s="19">
        <v>18949</v>
      </c>
      <c r="CC40" s="19">
        <v>103806</v>
      </c>
      <c r="CD40" s="19">
        <v>716</v>
      </c>
      <c r="CE40" s="19">
        <v>13056</v>
      </c>
      <c r="CF40" s="19">
        <v>37912</v>
      </c>
      <c r="CG40" s="19">
        <v>0</v>
      </c>
      <c r="CH40" s="19">
        <v>11278</v>
      </c>
      <c r="CI40" s="19">
        <v>3504</v>
      </c>
      <c r="CJ40" s="19">
        <v>3939</v>
      </c>
      <c r="CK40" s="19">
        <v>89</v>
      </c>
      <c r="CL40" s="19">
        <v>19102</v>
      </c>
      <c r="CM40" s="19">
        <v>319130</v>
      </c>
      <c r="CN40" s="19">
        <v>0</v>
      </c>
      <c r="CO40" s="19">
        <v>293422</v>
      </c>
      <c r="CP40" s="19">
        <v>9308</v>
      </c>
      <c r="CQ40" s="19">
        <v>4976</v>
      </c>
      <c r="CR40" s="19">
        <v>18</v>
      </c>
      <c r="CS40" s="19">
        <v>11406</v>
      </c>
      <c r="CT40" s="19">
        <v>280013</v>
      </c>
      <c r="CU40" s="19">
        <v>0</v>
      </c>
      <c r="CV40" s="19">
        <v>267161</v>
      </c>
      <c r="CW40" s="19">
        <v>5719</v>
      </c>
      <c r="CX40" s="19">
        <v>2225</v>
      </c>
      <c r="CY40" s="19">
        <v>10</v>
      </c>
      <c r="CZ40" s="19">
        <v>4898</v>
      </c>
      <c r="DA40" s="19">
        <v>39117</v>
      </c>
      <c r="DB40" s="19">
        <v>0</v>
      </c>
      <c r="DC40" s="19">
        <v>26261</v>
      </c>
      <c r="DD40" s="19">
        <v>3589</v>
      </c>
      <c r="DE40" s="19">
        <v>2751</v>
      </c>
      <c r="DF40" s="19">
        <v>8</v>
      </c>
      <c r="DG40" s="19">
        <v>6508</v>
      </c>
      <c r="DH40" s="19">
        <v>5</v>
      </c>
      <c r="DI40" s="19">
        <v>81</v>
      </c>
      <c r="DJ40" s="19">
        <v>13</v>
      </c>
      <c r="DK40" s="19">
        <v>54</v>
      </c>
      <c r="DL40" s="19">
        <v>0</v>
      </c>
      <c r="DM40" s="19">
        <v>14</v>
      </c>
    </row>
    <row r="41" spans="1:117" ht="13.5" customHeight="1">
      <c r="A41" s="17" t="s">
        <v>126</v>
      </c>
      <c r="B41" s="18" t="s">
        <v>127</v>
      </c>
      <c r="C41" s="17" t="s">
        <v>59</v>
      </c>
      <c r="D41" s="19">
        <v>469382</v>
      </c>
      <c r="E41" s="19">
        <v>289849</v>
      </c>
      <c r="F41" s="19">
        <v>1</v>
      </c>
      <c r="G41" s="19">
        <v>1</v>
      </c>
      <c r="H41" s="19">
        <v>0</v>
      </c>
      <c r="I41" s="19">
        <v>0</v>
      </c>
      <c r="J41" s="19">
        <v>228333</v>
      </c>
      <c r="K41" s="19">
        <v>86435</v>
      </c>
      <c r="L41" s="19">
        <v>141898</v>
      </c>
      <c r="M41" s="19">
        <v>0</v>
      </c>
      <c r="N41" s="19">
        <v>8571</v>
      </c>
      <c r="O41" s="19">
        <v>1905</v>
      </c>
      <c r="P41" s="19">
        <v>6666</v>
      </c>
      <c r="Q41" s="19">
        <v>0</v>
      </c>
      <c r="R41" s="19">
        <v>45685</v>
      </c>
      <c r="S41" s="19">
        <v>9473</v>
      </c>
      <c r="T41" s="19">
        <v>36212</v>
      </c>
      <c r="U41" s="19">
        <v>0</v>
      </c>
      <c r="V41" s="19">
        <v>1206</v>
      </c>
      <c r="W41" s="19">
        <v>318</v>
      </c>
      <c r="X41" s="19">
        <v>888</v>
      </c>
      <c r="Y41" s="19">
        <v>0</v>
      </c>
      <c r="Z41" s="19">
        <v>6053</v>
      </c>
      <c r="AA41" s="19">
        <v>3728</v>
      </c>
      <c r="AB41" s="19">
        <v>2317</v>
      </c>
      <c r="AC41" s="19">
        <v>8</v>
      </c>
      <c r="AD41" s="19">
        <v>67721</v>
      </c>
      <c r="AE41" s="19">
        <v>0</v>
      </c>
      <c r="AF41" s="19">
        <v>0</v>
      </c>
      <c r="AG41" s="19">
        <v>0</v>
      </c>
      <c r="AH41" s="19">
        <v>0</v>
      </c>
      <c r="AI41" s="19">
        <v>62482</v>
      </c>
      <c r="AJ41" s="19">
        <v>204</v>
      </c>
      <c r="AK41" s="19">
        <v>802</v>
      </c>
      <c r="AL41" s="19">
        <v>61476</v>
      </c>
      <c r="AM41" s="19">
        <v>1221</v>
      </c>
      <c r="AN41" s="19">
        <v>0</v>
      </c>
      <c r="AO41" s="19">
        <v>1</v>
      </c>
      <c r="AP41" s="19">
        <v>1220</v>
      </c>
      <c r="AQ41" s="19">
        <v>2751</v>
      </c>
      <c r="AR41" s="19">
        <v>0</v>
      </c>
      <c r="AS41" s="19">
        <v>2</v>
      </c>
      <c r="AT41" s="19">
        <v>2749</v>
      </c>
      <c r="AU41" s="19">
        <v>96</v>
      </c>
      <c r="AV41" s="19">
        <v>0</v>
      </c>
      <c r="AW41" s="19">
        <v>29</v>
      </c>
      <c r="AX41" s="19">
        <v>67</v>
      </c>
      <c r="AY41" s="19">
        <v>1171</v>
      </c>
      <c r="AZ41" s="19">
        <v>0</v>
      </c>
      <c r="BA41" s="19">
        <v>1</v>
      </c>
      <c r="BB41" s="19">
        <v>1170</v>
      </c>
      <c r="BC41" s="19">
        <v>111812</v>
      </c>
      <c r="BD41" s="19">
        <v>23116</v>
      </c>
      <c r="BE41" s="19">
        <v>573</v>
      </c>
      <c r="BF41" s="19">
        <v>6436</v>
      </c>
      <c r="BG41" s="19">
        <v>5592</v>
      </c>
      <c r="BH41" s="19">
        <v>7984</v>
      </c>
      <c r="BI41" s="19">
        <v>137</v>
      </c>
      <c r="BJ41" s="19">
        <v>2394</v>
      </c>
      <c r="BK41" s="19">
        <v>88696</v>
      </c>
      <c r="BL41" s="19">
        <v>224</v>
      </c>
      <c r="BM41" s="19">
        <v>71433</v>
      </c>
      <c r="BN41" s="19">
        <v>3519</v>
      </c>
      <c r="BO41" s="19">
        <v>1080</v>
      </c>
      <c r="BP41" s="19">
        <v>73</v>
      </c>
      <c r="BQ41" s="19">
        <v>12367</v>
      </c>
      <c r="BR41" s="19">
        <v>312965</v>
      </c>
      <c r="BS41" s="19">
        <v>574</v>
      </c>
      <c r="BT41" s="19">
        <v>234769</v>
      </c>
      <c r="BU41" s="19">
        <v>14163</v>
      </c>
      <c r="BV41" s="19">
        <v>53669</v>
      </c>
      <c r="BW41" s="19">
        <v>1343</v>
      </c>
      <c r="BX41" s="19">
        <v>8447</v>
      </c>
      <c r="BY41" s="19">
        <v>289849</v>
      </c>
      <c r="BZ41" s="19">
        <v>1</v>
      </c>
      <c r="CA41" s="19">
        <v>228333</v>
      </c>
      <c r="CB41" s="19">
        <v>8571</v>
      </c>
      <c r="CC41" s="19">
        <v>45685</v>
      </c>
      <c r="CD41" s="19">
        <v>1206</v>
      </c>
      <c r="CE41" s="19">
        <v>6053</v>
      </c>
      <c r="CF41" s="19">
        <v>23116</v>
      </c>
      <c r="CG41" s="19">
        <v>573</v>
      </c>
      <c r="CH41" s="19">
        <v>6436</v>
      </c>
      <c r="CI41" s="19">
        <v>5592</v>
      </c>
      <c r="CJ41" s="19">
        <v>7984</v>
      </c>
      <c r="CK41" s="19">
        <v>137</v>
      </c>
      <c r="CL41" s="19">
        <v>2394</v>
      </c>
      <c r="CM41" s="19">
        <v>156417</v>
      </c>
      <c r="CN41" s="19">
        <v>224</v>
      </c>
      <c r="CO41" s="19">
        <v>133915</v>
      </c>
      <c r="CP41" s="19">
        <v>4740</v>
      </c>
      <c r="CQ41" s="19">
        <v>3831</v>
      </c>
      <c r="CR41" s="19">
        <v>169</v>
      </c>
      <c r="CS41" s="19">
        <v>13538</v>
      </c>
      <c r="CT41" s="19">
        <v>67721</v>
      </c>
      <c r="CU41" s="19">
        <v>0</v>
      </c>
      <c r="CV41" s="19">
        <v>62482</v>
      </c>
      <c r="CW41" s="19">
        <v>1221</v>
      </c>
      <c r="CX41" s="19">
        <v>2751</v>
      </c>
      <c r="CY41" s="19">
        <v>96</v>
      </c>
      <c r="CZ41" s="19">
        <v>1171</v>
      </c>
      <c r="DA41" s="19">
        <v>88696</v>
      </c>
      <c r="DB41" s="19">
        <v>224</v>
      </c>
      <c r="DC41" s="19">
        <v>71433</v>
      </c>
      <c r="DD41" s="19">
        <v>3519</v>
      </c>
      <c r="DE41" s="19">
        <v>1080</v>
      </c>
      <c r="DF41" s="19">
        <v>73</v>
      </c>
      <c r="DG41" s="19">
        <v>12367</v>
      </c>
      <c r="DH41" s="19">
        <v>1</v>
      </c>
      <c r="DI41" s="19">
        <v>87</v>
      </c>
      <c r="DJ41" s="19">
        <v>44</v>
      </c>
      <c r="DK41" s="19">
        <v>6</v>
      </c>
      <c r="DL41" s="19">
        <v>4</v>
      </c>
      <c r="DM41" s="19">
        <v>33</v>
      </c>
    </row>
    <row r="42" spans="1:117" ht="13.5" customHeight="1">
      <c r="A42" s="17" t="s">
        <v>128</v>
      </c>
      <c r="B42" s="18" t="s">
        <v>129</v>
      </c>
      <c r="C42" s="17" t="s">
        <v>59</v>
      </c>
      <c r="D42" s="19">
        <v>247783</v>
      </c>
      <c r="E42" s="19">
        <v>178848</v>
      </c>
      <c r="F42" s="19">
        <v>0</v>
      </c>
      <c r="G42" s="19">
        <v>0</v>
      </c>
      <c r="H42" s="19">
        <v>0</v>
      </c>
      <c r="I42" s="19">
        <v>0</v>
      </c>
      <c r="J42" s="19">
        <v>130501</v>
      </c>
      <c r="K42" s="19">
        <v>96041</v>
      </c>
      <c r="L42" s="19">
        <v>33969</v>
      </c>
      <c r="M42" s="19">
        <v>491</v>
      </c>
      <c r="N42" s="19">
        <v>12085</v>
      </c>
      <c r="O42" s="19">
        <v>7387</v>
      </c>
      <c r="P42" s="19">
        <v>2668</v>
      </c>
      <c r="Q42" s="19">
        <v>2030</v>
      </c>
      <c r="R42" s="19">
        <v>29919</v>
      </c>
      <c r="S42" s="19">
        <v>20988</v>
      </c>
      <c r="T42" s="19">
        <v>8931</v>
      </c>
      <c r="U42" s="19">
        <v>0</v>
      </c>
      <c r="V42" s="19">
        <v>1367</v>
      </c>
      <c r="W42" s="19">
        <v>297</v>
      </c>
      <c r="X42" s="19">
        <v>1070</v>
      </c>
      <c r="Y42" s="19">
        <v>0</v>
      </c>
      <c r="Z42" s="19">
        <v>4976</v>
      </c>
      <c r="AA42" s="19">
        <v>1622</v>
      </c>
      <c r="AB42" s="19">
        <v>3354</v>
      </c>
      <c r="AC42" s="19">
        <v>0</v>
      </c>
      <c r="AD42" s="19">
        <v>55860</v>
      </c>
      <c r="AE42" s="19">
        <v>0</v>
      </c>
      <c r="AF42" s="19">
        <v>0</v>
      </c>
      <c r="AG42" s="19">
        <v>0</v>
      </c>
      <c r="AH42" s="19">
        <v>0</v>
      </c>
      <c r="AI42" s="19">
        <v>55412</v>
      </c>
      <c r="AJ42" s="19">
        <v>2304</v>
      </c>
      <c r="AK42" s="19">
        <v>6</v>
      </c>
      <c r="AL42" s="19">
        <v>53102</v>
      </c>
      <c r="AM42" s="19">
        <v>241</v>
      </c>
      <c r="AN42" s="19">
        <v>29</v>
      </c>
      <c r="AO42" s="19">
        <v>0</v>
      </c>
      <c r="AP42" s="19">
        <v>212</v>
      </c>
      <c r="AQ42" s="19">
        <v>119</v>
      </c>
      <c r="AR42" s="19">
        <v>96</v>
      </c>
      <c r="AS42" s="19">
        <v>13</v>
      </c>
      <c r="AT42" s="19">
        <v>10</v>
      </c>
      <c r="AU42" s="19">
        <v>1</v>
      </c>
      <c r="AV42" s="19">
        <v>1</v>
      </c>
      <c r="AW42" s="19">
        <v>0</v>
      </c>
      <c r="AX42" s="19">
        <v>0</v>
      </c>
      <c r="AY42" s="19">
        <v>87</v>
      </c>
      <c r="AZ42" s="19">
        <v>2</v>
      </c>
      <c r="BA42" s="19">
        <v>0</v>
      </c>
      <c r="BB42" s="19">
        <v>85</v>
      </c>
      <c r="BC42" s="19">
        <v>13075</v>
      </c>
      <c r="BD42" s="19">
        <v>7947</v>
      </c>
      <c r="BE42" s="19">
        <v>0</v>
      </c>
      <c r="BF42" s="19">
        <v>2376</v>
      </c>
      <c r="BG42" s="19">
        <v>2919</v>
      </c>
      <c r="BH42" s="19">
        <v>871</v>
      </c>
      <c r="BI42" s="19">
        <v>5</v>
      </c>
      <c r="BJ42" s="19">
        <v>1776</v>
      </c>
      <c r="BK42" s="19">
        <v>5128</v>
      </c>
      <c r="BL42" s="19">
        <v>0</v>
      </c>
      <c r="BM42" s="19">
        <v>4699</v>
      </c>
      <c r="BN42" s="19">
        <v>204</v>
      </c>
      <c r="BO42" s="19">
        <v>94</v>
      </c>
      <c r="BP42" s="19">
        <v>0</v>
      </c>
      <c r="BQ42" s="19">
        <v>131</v>
      </c>
      <c r="BR42" s="19">
        <v>186795</v>
      </c>
      <c r="BS42" s="19">
        <v>0</v>
      </c>
      <c r="BT42" s="19">
        <v>132877</v>
      </c>
      <c r="BU42" s="19">
        <v>15004</v>
      </c>
      <c r="BV42" s="19">
        <v>30790</v>
      </c>
      <c r="BW42" s="19">
        <v>1372</v>
      </c>
      <c r="BX42" s="19">
        <v>6752</v>
      </c>
      <c r="BY42" s="19">
        <v>178848</v>
      </c>
      <c r="BZ42" s="19">
        <v>0</v>
      </c>
      <c r="CA42" s="19">
        <v>130501</v>
      </c>
      <c r="CB42" s="19">
        <v>12085</v>
      </c>
      <c r="CC42" s="19">
        <v>29919</v>
      </c>
      <c r="CD42" s="19">
        <v>1367</v>
      </c>
      <c r="CE42" s="19">
        <v>4976</v>
      </c>
      <c r="CF42" s="19">
        <v>7947</v>
      </c>
      <c r="CG42" s="19">
        <v>0</v>
      </c>
      <c r="CH42" s="19">
        <v>2376</v>
      </c>
      <c r="CI42" s="19">
        <v>2919</v>
      </c>
      <c r="CJ42" s="19">
        <v>871</v>
      </c>
      <c r="CK42" s="19">
        <v>5</v>
      </c>
      <c r="CL42" s="19">
        <v>1776</v>
      </c>
      <c r="CM42" s="19">
        <v>60988</v>
      </c>
      <c r="CN42" s="19">
        <v>0</v>
      </c>
      <c r="CO42" s="19">
        <v>60111</v>
      </c>
      <c r="CP42" s="19">
        <v>445</v>
      </c>
      <c r="CQ42" s="19">
        <v>213</v>
      </c>
      <c r="CR42" s="19">
        <v>1</v>
      </c>
      <c r="CS42" s="19">
        <v>218</v>
      </c>
      <c r="CT42" s="19">
        <v>55860</v>
      </c>
      <c r="CU42" s="19">
        <v>0</v>
      </c>
      <c r="CV42" s="19">
        <v>55412</v>
      </c>
      <c r="CW42" s="19">
        <v>241</v>
      </c>
      <c r="CX42" s="19">
        <v>119</v>
      </c>
      <c r="CY42" s="19">
        <v>1</v>
      </c>
      <c r="CZ42" s="19">
        <v>87</v>
      </c>
      <c r="DA42" s="19">
        <v>5128</v>
      </c>
      <c r="DB42" s="19">
        <v>0</v>
      </c>
      <c r="DC42" s="19">
        <v>4699</v>
      </c>
      <c r="DD42" s="19">
        <v>204</v>
      </c>
      <c r="DE42" s="19">
        <v>94</v>
      </c>
      <c r="DF42" s="19">
        <v>0</v>
      </c>
      <c r="DG42" s="19">
        <v>131</v>
      </c>
      <c r="DH42" s="19">
        <v>524</v>
      </c>
      <c r="DI42" s="19">
        <v>16</v>
      </c>
      <c r="DJ42" s="19">
        <v>9</v>
      </c>
      <c r="DK42" s="19">
        <v>5</v>
      </c>
      <c r="DL42" s="19">
        <v>0</v>
      </c>
      <c r="DM42" s="19">
        <v>2</v>
      </c>
    </row>
    <row r="43" spans="1:117" ht="13.5" customHeight="1">
      <c r="A43" s="17" t="s">
        <v>130</v>
      </c>
      <c r="B43" s="18" t="s">
        <v>131</v>
      </c>
      <c r="C43" s="17" t="s">
        <v>59</v>
      </c>
      <c r="D43" s="19">
        <v>298582</v>
      </c>
      <c r="E43" s="19">
        <v>200084</v>
      </c>
      <c r="F43" s="19">
        <v>0</v>
      </c>
      <c r="G43" s="19">
        <v>0</v>
      </c>
      <c r="H43" s="19">
        <v>0</v>
      </c>
      <c r="I43" s="19">
        <v>0</v>
      </c>
      <c r="J43" s="19">
        <v>142477</v>
      </c>
      <c r="K43" s="19">
        <v>16368</v>
      </c>
      <c r="L43" s="19">
        <v>125948</v>
      </c>
      <c r="M43" s="19">
        <v>161</v>
      </c>
      <c r="N43" s="19">
        <v>15026</v>
      </c>
      <c r="O43" s="19">
        <v>4475</v>
      </c>
      <c r="P43" s="19">
        <v>10551</v>
      </c>
      <c r="Q43" s="19">
        <v>0</v>
      </c>
      <c r="R43" s="19">
        <v>40449</v>
      </c>
      <c r="S43" s="19">
        <v>11477</v>
      </c>
      <c r="T43" s="19">
        <v>28972</v>
      </c>
      <c r="U43" s="19">
        <v>0</v>
      </c>
      <c r="V43" s="19">
        <v>24</v>
      </c>
      <c r="W43" s="19">
        <v>10</v>
      </c>
      <c r="X43" s="19">
        <v>14</v>
      </c>
      <c r="Y43" s="19">
        <v>0</v>
      </c>
      <c r="Z43" s="19">
        <v>2108</v>
      </c>
      <c r="AA43" s="19">
        <v>1566</v>
      </c>
      <c r="AB43" s="19">
        <v>542</v>
      </c>
      <c r="AC43" s="19">
        <v>0</v>
      </c>
      <c r="AD43" s="19">
        <v>85209</v>
      </c>
      <c r="AE43" s="19">
        <v>0</v>
      </c>
      <c r="AF43" s="19">
        <v>0</v>
      </c>
      <c r="AG43" s="19">
        <v>0</v>
      </c>
      <c r="AH43" s="19">
        <v>0</v>
      </c>
      <c r="AI43" s="19">
        <v>82233</v>
      </c>
      <c r="AJ43" s="19">
        <v>1529</v>
      </c>
      <c r="AK43" s="19">
        <v>0</v>
      </c>
      <c r="AL43" s="19">
        <v>80704</v>
      </c>
      <c r="AM43" s="19">
        <v>2350</v>
      </c>
      <c r="AN43" s="19">
        <v>0</v>
      </c>
      <c r="AO43" s="19">
        <v>0</v>
      </c>
      <c r="AP43" s="19">
        <v>2350</v>
      </c>
      <c r="AQ43" s="19">
        <v>611</v>
      </c>
      <c r="AR43" s="19">
        <v>0</v>
      </c>
      <c r="AS43" s="19">
        <v>0</v>
      </c>
      <c r="AT43" s="19">
        <v>611</v>
      </c>
      <c r="AU43" s="19">
        <v>0</v>
      </c>
      <c r="AV43" s="19">
        <v>0</v>
      </c>
      <c r="AW43" s="19">
        <v>0</v>
      </c>
      <c r="AX43" s="19">
        <v>0</v>
      </c>
      <c r="AY43" s="19">
        <v>15</v>
      </c>
      <c r="AZ43" s="19">
        <v>0</v>
      </c>
      <c r="BA43" s="19">
        <v>0</v>
      </c>
      <c r="BB43" s="19">
        <v>15</v>
      </c>
      <c r="BC43" s="19">
        <v>13289</v>
      </c>
      <c r="BD43" s="19">
        <v>4175</v>
      </c>
      <c r="BE43" s="19">
        <v>0</v>
      </c>
      <c r="BF43" s="19">
        <v>1227</v>
      </c>
      <c r="BG43" s="19">
        <v>762</v>
      </c>
      <c r="BH43" s="19">
        <v>414</v>
      </c>
      <c r="BI43" s="19">
        <v>326</v>
      </c>
      <c r="BJ43" s="19">
        <v>1446</v>
      </c>
      <c r="BK43" s="19">
        <v>9114</v>
      </c>
      <c r="BL43" s="19">
        <v>0</v>
      </c>
      <c r="BM43" s="19">
        <v>5767</v>
      </c>
      <c r="BN43" s="19">
        <v>3261</v>
      </c>
      <c r="BO43" s="19">
        <v>55</v>
      </c>
      <c r="BP43" s="19">
        <v>10</v>
      </c>
      <c r="BQ43" s="19">
        <v>21</v>
      </c>
      <c r="BR43" s="19">
        <v>204259</v>
      </c>
      <c r="BS43" s="19">
        <v>0</v>
      </c>
      <c r="BT43" s="19">
        <v>143704</v>
      </c>
      <c r="BU43" s="19">
        <v>15788</v>
      </c>
      <c r="BV43" s="19">
        <v>40863</v>
      </c>
      <c r="BW43" s="19">
        <v>350</v>
      </c>
      <c r="BX43" s="19">
        <v>3554</v>
      </c>
      <c r="BY43" s="19">
        <v>200084</v>
      </c>
      <c r="BZ43" s="19">
        <v>0</v>
      </c>
      <c r="CA43" s="19">
        <v>142477</v>
      </c>
      <c r="CB43" s="19">
        <v>15026</v>
      </c>
      <c r="CC43" s="19">
        <v>40449</v>
      </c>
      <c r="CD43" s="19">
        <v>24</v>
      </c>
      <c r="CE43" s="19">
        <v>2108</v>
      </c>
      <c r="CF43" s="19">
        <v>4175</v>
      </c>
      <c r="CG43" s="19">
        <v>0</v>
      </c>
      <c r="CH43" s="19">
        <v>1227</v>
      </c>
      <c r="CI43" s="19">
        <v>762</v>
      </c>
      <c r="CJ43" s="19">
        <v>414</v>
      </c>
      <c r="CK43" s="19">
        <v>326</v>
      </c>
      <c r="CL43" s="19">
        <v>1446</v>
      </c>
      <c r="CM43" s="19">
        <v>94323</v>
      </c>
      <c r="CN43" s="19">
        <v>0</v>
      </c>
      <c r="CO43" s="19">
        <v>88000</v>
      </c>
      <c r="CP43" s="19">
        <v>5611</v>
      </c>
      <c r="CQ43" s="19">
        <v>666</v>
      </c>
      <c r="CR43" s="19">
        <v>10</v>
      </c>
      <c r="CS43" s="19">
        <v>36</v>
      </c>
      <c r="CT43" s="19">
        <v>85209</v>
      </c>
      <c r="CU43" s="19">
        <v>0</v>
      </c>
      <c r="CV43" s="19">
        <v>82233</v>
      </c>
      <c r="CW43" s="19">
        <v>2350</v>
      </c>
      <c r="CX43" s="19">
        <v>611</v>
      </c>
      <c r="CY43" s="19">
        <v>0</v>
      </c>
      <c r="CZ43" s="19">
        <v>15</v>
      </c>
      <c r="DA43" s="19">
        <v>9114</v>
      </c>
      <c r="DB43" s="19">
        <v>0</v>
      </c>
      <c r="DC43" s="19">
        <v>5767</v>
      </c>
      <c r="DD43" s="19">
        <v>3261</v>
      </c>
      <c r="DE43" s="19">
        <v>55</v>
      </c>
      <c r="DF43" s="19">
        <v>10</v>
      </c>
      <c r="DG43" s="19">
        <v>21</v>
      </c>
      <c r="DH43" s="19">
        <v>4</v>
      </c>
      <c r="DI43" s="19">
        <v>19</v>
      </c>
      <c r="DJ43" s="19">
        <v>12</v>
      </c>
      <c r="DK43" s="19">
        <v>0</v>
      </c>
      <c r="DL43" s="19">
        <v>0</v>
      </c>
      <c r="DM43" s="19">
        <v>7</v>
      </c>
    </row>
    <row r="44" spans="1:117" ht="13.5" customHeight="1">
      <c r="A44" s="17" t="s">
        <v>132</v>
      </c>
      <c r="B44" s="18" t="s">
        <v>133</v>
      </c>
      <c r="C44" s="17" t="s">
        <v>59</v>
      </c>
      <c r="D44" s="19">
        <v>425481</v>
      </c>
      <c r="E44" s="19">
        <v>283475</v>
      </c>
      <c r="F44" s="19">
        <v>0</v>
      </c>
      <c r="G44" s="19">
        <v>0</v>
      </c>
      <c r="H44" s="19">
        <v>0</v>
      </c>
      <c r="I44" s="19">
        <v>0</v>
      </c>
      <c r="J44" s="19">
        <v>226356</v>
      </c>
      <c r="K44" s="19">
        <v>19753</v>
      </c>
      <c r="L44" s="19">
        <v>206582</v>
      </c>
      <c r="M44" s="19">
        <v>21</v>
      </c>
      <c r="N44" s="19">
        <v>8635</v>
      </c>
      <c r="O44" s="19">
        <v>414</v>
      </c>
      <c r="P44" s="19">
        <v>8221</v>
      </c>
      <c r="Q44" s="19">
        <v>0</v>
      </c>
      <c r="R44" s="19">
        <v>41623</v>
      </c>
      <c r="S44" s="19">
        <v>2042</v>
      </c>
      <c r="T44" s="19">
        <v>39575</v>
      </c>
      <c r="U44" s="19">
        <v>6</v>
      </c>
      <c r="V44" s="19">
        <v>363</v>
      </c>
      <c r="W44" s="19">
        <v>183</v>
      </c>
      <c r="X44" s="19">
        <v>180</v>
      </c>
      <c r="Y44" s="19">
        <v>0</v>
      </c>
      <c r="Z44" s="19">
        <v>6498</v>
      </c>
      <c r="AA44" s="19">
        <v>3313</v>
      </c>
      <c r="AB44" s="19">
        <v>3171</v>
      </c>
      <c r="AC44" s="19">
        <v>14</v>
      </c>
      <c r="AD44" s="19">
        <v>71912</v>
      </c>
      <c r="AE44" s="19">
        <v>0</v>
      </c>
      <c r="AF44" s="19">
        <v>0</v>
      </c>
      <c r="AG44" s="19">
        <v>0</v>
      </c>
      <c r="AH44" s="19">
        <v>0</v>
      </c>
      <c r="AI44" s="19">
        <v>67609</v>
      </c>
      <c r="AJ44" s="19">
        <v>409</v>
      </c>
      <c r="AK44" s="19">
        <v>0</v>
      </c>
      <c r="AL44" s="19">
        <v>67200</v>
      </c>
      <c r="AM44" s="19">
        <v>1822</v>
      </c>
      <c r="AN44" s="19">
        <v>49</v>
      </c>
      <c r="AO44" s="19">
        <v>0</v>
      </c>
      <c r="AP44" s="19">
        <v>1773</v>
      </c>
      <c r="AQ44" s="19">
        <v>1946</v>
      </c>
      <c r="AR44" s="19">
        <v>0</v>
      </c>
      <c r="AS44" s="19">
        <v>0</v>
      </c>
      <c r="AT44" s="19">
        <v>1946</v>
      </c>
      <c r="AU44" s="19">
        <v>0</v>
      </c>
      <c r="AV44" s="19">
        <v>0</v>
      </c>
      <c r="AW44" s="19">
        <v>0</v>
      </c>
      <c r="AX44" s="19">
        <v>0</v>
      </c>
      <c r="AY44" s="19">
        <v>535</v>
      </c>
      <c r="AZ44" s="19">
        <v>0</v>
      </c>
      <c r="BA44" s="19">
        <v>0</v>
      </c>
      <c r="BB44" s="19">
        <v>535</v>
      </c>
      <c r="BC44" s="19">
        <v>70094</v>
      </c>
      <c r="BD44" s="19">
        <v>27059</v>
      </c>
      <c r="BE44" s="19">
        <v>0</v>
      </c>
      <c r="BF44" s="19">
        <v>11490</v>
      </c>
      <c r="BG44" s="19">
        <v>4538</v>
      </c>
      <c r="BH44" s="19">
        <v>1627</v>
      </c>
      <c r="BI44" s="19">
        <v>32</v>
      </c>
      <c r="BJ44" s="19">
        <v>9372</v>
      </c>
      <c r="BK44" s="19">
        <v>43035</v>
      </c>
      <c r="BL44" s="19">
        <v>0</v>
      </c>
      <c r="BM44" s="19">
        <v>38236</v>
      </c>
      <c r="BN44" s="19">
        <v>380</v>
      </c>
      <c r="BO44" s="19">
        <v>2725</v>
      </c>
      <c r="BP44" s="19">
        <v>0</v>
      </c>
      <c r="BQ44" s="19">
        <v>1694</v>
      </c>
      <c r="BR44" s="19">
        <v>310534</v>
      </c>
      <c r="BS44" s="19">
        <v>0</v>
      </c>
      <c r="BT44" s="19">
        <v>237846</v>
      </c>
      <c r="BU44" s="19">
        <v>13173</v>
      </c>
      <c r="BV44" s="19">
        <v>43250</v>
      </c>
      <c r="BW44" s="19">
        <v>395</v>
      </c>
      <c r="BX44" s="19">
        <v>15870</v>
      </c>
      <c r="BY44" s="19">
        <v>283475</v>
      </c>
      <c r="BZ44" s="19">
        <v>0</v>
      </c>
      <c r="CA44" s="19">
        <v>226356</v>
      </c>
      <c r="CB44" s="19">
        <v>8635</v>
      </c>
      <c r="CC44" s="19">
        <v>41623</v>
      </c>
      <c r="CD44" s="19">
        <v>363</v>
      </c>
      <c r="CE44" s="19">
        <v>6498</v>
      </c>
      <c r="CF44" s="19">
        <v>27059</v>
      </c>
      <c r="CG44" s="19">
        <v>0</v>
      </c>
      <c r="CH44" s="19">
        <v>11490</v>
      </c>
      <c r="CI44" s="19">
        <v>4538</v>
      </c>
      <c r="CJ44" s="19">
        <v>1627</v>
      </c>
      <c r="CK44" s="19">
        <v>32</v>
      </c>
      <c r="CL44" s="19">
        <v>9372</v>
      </c>
      <c r="CM44" s="19">
        <v>114947</v>
      </c>
      <c r="CN44" s="19">
        <v>0</v>
      </c>
      <c r="CO44" s="19">
        <v>105845</v>
      </c>
      <c r="CP44" s="19">
        <v>2202</v>
      </c>
      <c r="CQ44" s="19">
        <v>4671</v>
      </c>
      <c r="CR44" s="19">
        <v>0</v>
      </c>
      <c r="CS44" s="19">
        <v>2229</v>
      </c>
      <c r="CT44" s="19">
        <v>71912</v>
      </c>
      <c r="CU44" s="19">
        <v>0</v>
      </c>
      <c r="CV44" s="19">
        <v>67609</v>
      </c>
      <c r="CW44" s="19">
        <v>1822</v>
      </c>
      <c r="CX44" s="19">
        <v>1946</v>
      </c>
      <c r="CY44" s="19">
        <v>0</v>
      </c>
      <c r="CZ44" s="19">
        <v>535</v>
      </c>
      <c r="DA44" s="19">
        <v>43035</v>
      </c>
      <c r="DB44" s="19">
        <v>0</v>
      </c>
      <c r="DC44" s="19">
        <v>38236</v>
      </c>
      <c r="DD44" s="19">
        <v>380</v>
      </c>
      <c r="DE44" s="19">
        <v>2725</v>
      </c>
      <c r="DF44" s="19">
        <v>0</v>
      </c>
      <c r="DG44" s="19">
        <v>1694</v>
      </c>
      <c r="DH44" s="19">
        <v>0</v>
      </c>
      <c r="DI44" s="19">
        <v>28</v>
      </c>
      <c r="DJ44" s="19">
        <v>5</v>
      </c>
      <c r="DK44" s="19">
        <v>20</v>
      </c>
      <c r="DL44" s="19">
        <v>0</v>
      </c>
      <c r="DM44" s="19">
        <v>3</v>
      </c>
    </row>
    <row r="45" spans="1:117" ht="13.5" customHeight="1">
      <c r="A45" s="17" t="s">
        <v>134</v>
      </c>
      <c r="B45" s="18" t="s">
        <v>135</v>
      </c>
      <c r="C45" s="17" t="s">
        <v>59</v>
      </c>
      <c r="D45" s="19">
        <v>241890</v>
      </c>
      <c r="E45" s="19">
        <v>162679</v>
      </c>
      <c r="F45" s="19">
        <v>19295</v>
      </c>
      <c r="G45" s="19">
        <v>4115</v>
      </c>
      <c r="H45" s="19">
        <v>15180</v>
      </c>
      <c r="I45" s="19">
        <v>0</v>
      </c>
      <c r="J45" s="19">
        <v>109966</v>
      </c>
      <c r="K45" s="19">
        <v>63651</v>
      </c>
      <c r="L45" s="19">
        <v>46315</v>
      </c>
      <c r="M45" s="19">
        <v>0</v>
      </c>
      <c r="N45" s="19">
        <v>5570</v>
      </c>
      <c r="O45" s="19">
        <v>192</v>
      </c>
      <c r="P45" s="19">
        <v>4637</v>
      </c>
      <c r="Q45" s="19">
        <v>741</v>
      </c>
      <c r="R45" s="19">
        <v>20953</v>
      </c>
      <c r="S45" s="19">
        <v>3419</v>
      </c>
      <c r="T45" s="19">
        <v>17517</v>
      </c>
      <c r="U45" s="19">
        <v>17</v>
      </c>
      <c r="V45" s="19">
        <v>304</v>
      </c>
      <c r="W45" s="19">
        <v>100</v>
      </c>
      <c r="X45" s="19">
        <v>204</v>
      </c>
      <c r="Y45" s="19">
        <v>0</v>
      </c>
      <c r="Z45" s="19">
        <v>6591</v>
      </c>
      <c r="AA45" s="19">
        <v>3959</v>
      </c>
      <c r="AB45" s="19">
        <v>2595</v>
      </c>
      <c r="AC45" s="19">
        <v>37</v>
      </c>
      <c r="AD45" s="19">
        <v>50995</v>
      </c>
      <c r="AE45" s="19">
        <v>4591</v>
      </c>
      <c r="AF45" s="19">
        <v>0</v>
      </c>
      <c r="AG45" s="19">
        <v>0</v>
      </c>
      <c r="AH45" s="19">
        <v>4591</v>
      </c>
      <c r="AI45" s="19">
        <v>46080</v>
      </c>
      <c r="AJ45" s="19">
        <v>0</v>
      </c>
      <c r="AK45" s="19">
        <v>241</v>
      </c>
      <c r="AL45" s="19">
        <v>45839</v>
      </c>
      <c r="AM45" s="19">
        <v>52</v>
      </c>
      <c r="AN45" s="19">
        <v>0</v>
      </c>
      <c r="AO45" s="19">
        <v>0</v>
      </c>
      <c r="AP45" s="19">
        <v>52</v>
      </c>
      <c r="AQ45" s="19">
        <v>76</v>
      </c>
      <c r="AR45" s="19">
        <v>0</v>
      </c>
      <c r="AS45" s="19">
        <v>19</v>
      </c>
      <c r="AT45" s="19">
        <v>57</v>
      </c>
      <c r="AU45" s="19">
        <v>82</v>
      </c>
      <c r="AV45" s="19">
        <v>0</v>
      </c>
      <c r="AW45" s="19">
        <v>82</v>
      </c>
      <c r="AX45" s="19">
        <v>0</v>
      </c>
      <c r="AY45" s="19">
        <v>114</v>
      </c>
      <c r="AZ45" s="19">
        <v>0</v>
      </c>
      <c r="BA45" s="19">
        <v>0</v>
      </c>
      <c r="BB45" s="19">
        <v>114</v>
      </c>
      <c r="BC45" s="19">
        <v>28216</v>
      </c>
      <c r="BD45" s="19">
        <v>11158</v>
      </c>
      <c r="BE45" s="19">
        <v>1120</v>
      </c>
      <c r="BF45" s="19">
        <v>5085</v>
      </c>
      <c r="BG45" s="19">
        <v>1615</v>
      </c>
      <c r="BH45" s="19">
        <v>1102</v>
      </c>
      <c r="BI45" s="19">
        <v>91</v>
      </c>
      <c r="BJ45" s="19">
        <v>2145</v>
      </c>
      <c r="BK45" s="19">
        <v>17058</v>
      </c>
      <c r="BL45" s="19">
        <v>1178</v>
      </c>
      <c r="BM45" s="19">
        <v>15090</v>
      </c>
      <c r="BN45" s="19">
        <v>115</v>
      </c>
      <c r="BO45" s="19">
        <v>201</v>
      </c>
      <c r="BP45" s="19">
        <v>220</v>
      </c>
      <c r="BQ45" s="19">
        <v>254</v>
      </c>
      <c r="BR45" s="19">
        <v>173837</v>
      </c>
      <c r="BS45" s="19">
        <v>20415</v>
      </c>
      <c r="BT45" s="19">
        <v>115051</v>
      </c>
      <c r="BU45" s="19">
        <v>7185</v>
      </c>
      <c r="BV45" s="19">
        <v>22055</v>
      </c>
      <c r="BW45" s="19">
        <v>395</v>
      </c>
      <c r="BX45" s="19">
        <v>8736</v>
      </c>
      <c r="BY45" s="19">
        <v>162679</v>
      </c>
      <c r="BZ45" s="19">
        <v>19295</v>
      </c>
      <c r="CA45" s="19">
        <v>109966</v>
      </c>
      <c r="CB45" s="19">
        <v>5570</v>
      </c>
      <c r="CC45" s="19">
        <v>20953</v>
      </c>
      <c r="CD45" s="19">
        <v>304</v>
      </c>
      <c r="CE45" s="19">
        <v>6591</v>
      </c>
      <c r="CF45" s="19">
        <v>11158</v>
      </c>
      <c r="CG45" s="19">
        <v>1120</v>
      </c>
      <c r="CH45" s="19">
        <v>5085</v>
      </c>
      <c r="CI45" s="19">
        <v>1615</v>
      </c>
      <c r="CJ45" s="19">
        <v>1102</v>
      </c>
      <c r="CK45" s="19">
        <v>91</v>
      </c>
      <c r="CL45" s="19">
        <v>2145</v>
      </c>
      <c r="CM45" s="19">
        <v>68053</v>
      </c>
      <c r="CN45" s="19">
        <v>5769</v>
      </c>
      <c r="CO45" s="19">
        <v>61170</v>
      </c>
      <c r="CP45" s="19">
        <v>167</v>
      </c>
      <c r="CQ45" s="19">
        <v>277</v>
      </c>
      <c r="CR45" s="19">
        <v>302</v>
      </c>
      <c r="CS45" s="19">
        <v>368</v>
      </c>
      <c r="CT45" s="19">
        <v>50995</v>
      </c>
      <c r="CU45" s="19">
        <v>4591</v>
      </c>
      <c r="CV45" s="19">
        <v>46080</v>
      </c>
      <c r="CW45" s="19">
        <v>52</v>
      </c>
      <c r="CX45" s="19">
        <v>76</v>
      </c>
      <c r="CY45" s="19">
        <v>82</v>
      </c>
      <c r="CZ45" s="19">
        <v>114</v>
      </c>
      <c r="DA45" s="19">
        <v>17058</v>
      </c>
      <c r="DB45" s="19">
        <v>1178</v>
      </c>
      <c r="DC45" s="19">
        <v>15090</v>
      </c>
      <c r="DD45" s="19">
        <v>115</v>
      </c>
      <c r="DE45" s="19">
        <v>201</v>
      </c>
      <c r="DF45" s="19">
        <v>220</v>
      </c>
      <c r="DG45" s="19">
        <v>254</v>
      </c>
      <c r="DH45" s="19">
        <v>105</v>
      </c>
      <c r="DI45" s="19">
        <v>36</v>
      </c>
      <c r="DJ45" s="19">
        <v>5</v>
      </c>
      <c r="DK45" s="19">
        <v>2</v>
      </c>
      <c r="DL45" s="19">
        <v>0</v>
      </c>
      <c r="DM45" s="19">
        <v>29</v>
      </c>
    </row>
    <row r="46" spans="1:117" ht="13.5" customHeight="1">
      <c r="A46" s="17" t="s">
        <v>136</v>
      </c>
      <c r="B46" s="18" t="s">
        <v>137</v>
      </c>
      <c r="C46" s="17" t="s">
        <v>59</v>
      </c>
      <c r="D46" s="19">
        <v>1666046</v>
      </c>
      <c r="E46" s="19">
        <v>1030179</v>
      </c>
      <c r="F46" s="19">
        <v>152717</v>
      </c>
      <c r="G46" s="19">
        <v>266</v>
      </c>
      <c r="H46" s="19">
        <v>152451</v>
      </c>
      <c r="I46" s="19">
        <v>0</v>
      </c>
      <c r="J46" s="19">
        <v>743494</v>
      </c>
      <c r="K46" s="19">
        <v>39084</v>
      </c>
      <c r="L46" s="19">
        <v>703978</v>
      </c>
      <c r="M46" s="19">
        <v>432</v>
      </c>
      <c r="N46" s="19">
        <v>34236</v>
      </c>
      <c r="O46" s="19">
        <v>508</v>
      </c>
      <c r="P46" s="19">
        <v>33632</v>
      </c>
      <c r="Q46" s="19">
        <v>96</v>
      </c>
      <c r="R46" s="19">
        <v>76932</v>
      </c>
      <c r="S46" s="19">
        <v>3436</v>
      </c>
      <c r="T46" s="19">
        <v>72842</v>
      </c>
      <c r="U46" s="19">
        <v>654</v>
      </c>
      <c r="V46" s="19">
        <v>235</v>
      </c>
      <c r="W46" s="19">
        <v>6</v>
      </c>
      <c r="X46" s="19">
        <v>229</v>
      </c>
      <c r="Y46" s="19">
        <v>0</v>
      </c>
      <c r="Z46" s="19">
        <v>22565</v>
      </c>
      <c r="AA46" s="19">
        <v>2060</v>
      </c>
      <c r="AB46" s="19">
        <v>20230</v>
      </c>
      <c r="AC46" s="19">
        <v>275</v>
      </c>
      <c r="AD46" s="19">
        <v>304681</v>
      </c>
      <c r="AE46" s="19">
        <v>24500</v>
      </c>
      <c r="AF46" s="19">
        <v>873</v>
      </c>
      <c r="AG46" s="19">
        <v>23627</v>
      </c>
      <c r="AH46" s="19">
        <v>0</v>
      </c>
      <c r="AI46" s="19">
        <v>270520</v>
      </c>
      <c r="AJ46" s="19">
        <v>83</v>
      </c>
      <c r="AK46" s="19">
        <v>11150</v>
      </c>
      <c r="AL46" s="19">
        <v>259287</v>
      </c>
      <c r="AM46" s="19">
        <v>5859</v>
      </c>
      <c r="AN46" s="19">
        <v>4</v>
      </c>
      <c r="AO46" s="19">
        <v>421</v>
      </c>
      <c r="AP46" s="19">
        <v>5434</v>
      </c>
      <c r="AQ46" s="19">
        <v>2685</v>
      </c>
      <c r="AR46" s="19">
        <v>0</v>
      </c>
      <c r="AS46" s="19">
        <v>560</v>
      </c>
      <c r="AT46" s="19">
        <v>2125</v>
      </c>
      <c r="AU46" s="19">
        <v>20</v>
      </c>
      <c r="AV46" s="19">
        <v>0</v>
      </c>
      <c r="AW46" s="19">
        <v>1</v>
      </c>
      <c r="AX46" s="19">
        <v>19</v>
      </c>
      <c r="AY46" s="19">
        <v>1097</v>
      </c>
      <c r="AZ46" s="19">
        <v>29</v>
      </c>
      <c r="BA46" s="19">
        <v>231</v>
      </c>
      <c r="BB46" s="19">
        <v>837</v>
      </c>
      <c r="BC46" s="19">
        <v>331186</v>
      </c>
      <c r="BD46" s="19">
        <v>57730</v>
      </c>
      <c r="BE46" s="19">
        <v>122</v>
      </c>
      <c r="BF46" s="19">
        <v>20100</v>
      </c>
      <c r="BG46" s="19">
        <v>3186</v>
      </c>
      <c r="BH46" s="19">
        <v>16608</v>
      </c>
      <c r="BI46" s="19">
        <v>167</v>
      </c>
      <c r="BJ46" s="19">
        <v>17547</v>
      </c>
      <c r="BK46" s="19">
        <v>273456</v>
      </c>
      <c r="BL46" s="19">
        <v>132868</v>
      </c>
      <c r="BM46" s="19">
        <v>54286</v>
      </c>
      <c r="BN46" s="19">
        <v>12541</v>
      </c>
      <c r="BO46" s="19">
        <v>61316</v>
      </c>
      <c r="BP46" s="19">
        <v>1407</v>
      </c>
      <c r="BQ46" s="19">
        <v>11038</v>
      </c>
      <c r="BR46" s="19">
        <v>1087909</v>
      </c>
      <c r="BS46" s="19">
        <v>152839</v>
      </c>
      <c r="BT46" s="19">
        <v>763594</v>
      </c>
      <c r="BU46" s="19">
        <v>37422</v>
      </c>
      <c r="BV46" s="19">
        <v>93540</v>
      </c>
      <c r="BW46" s="19">
        <v>402</v>
      </c>
      <c r="BX46" s="19">
        <v>40112</v>
      </c>
      <c r="BY46" s="19">
        <v>1030179</v>
      </c>
      <c r="BZ46" s="19">
        <v>152717</v>
      </c>
      <c r="CA46" s="19">
        <v>743494</v>
      </c>
      <c r="CB46" s="19">
        <v>34236</v>
      </c>
      <c r="CC46" s="19">
        <v>76932</v>
      </c>
      <c r="CD46" s="19">
        <v>235</v>
      </c>
      <c r="CE46" s="19">
        <v>22565</v>
      </c>
      <c r="CF46" s="19">
        <v>57730</v>
      </c>
      <c r="CG46" s="19">
        <v>122</v>
      </c>
      <c r="CH46" s="19">
        <v>20100</v>
      </c>
      <c r="CI46" s="19">
        <v>3186</v>
      </c>
      <c r="CJ46" s="19">
        <v>16608</v>
      </c>
      <c r="CK46" s="19">
        <v>167</v>
      </c>
      <c r="CL46" s="19">
        <v>17547</v>
      </c>
      <c r="CM46" s="19">
        <v>578137</v>
      </c>
      <c r="CN46" s="19">
        <v>157368</v>
      </c>
      <c r="CO46" s="19">
        <v>324806</v>
      </c>
      <c r="CP46" s="19">
        <v>18400</v>
      </c>
      <c r="CQ46" s="19">
        <v>64001</v>
      </c>
      <c r="CR46" s="19">
        <v>1427</v>
      </c>
      <c r="CS46" s="19">
        <v>12135</v>
      </c>
      <c r="CT46" s="19">
        <v>304681</v>
      </c>
      <c r="CU46" s="19">
        <v>24500</v>
      </c>
      <c r="CV46" s="19">
        <v>270520</v>
      </c>
      <c r="CW46" s="19">
        <v>5859</v>
      </c>
      <c r="CX46" s="19">
        <v>2685</v>
      </c>
      <c r="CY46" s="19">
        <v>20</v>
      </c>
      <c r="CZ46" s="19">
        <v>1097</v>
      </c>
      <c r="DA46" s="19">
        <v>273456</v>
      </c>
      <c r="DB46" s="19">
        <v>132868</v>
      </c>
      <c r="DC46" s="19">
        <v>54286</v>
      </c>
      <c r="DD46" s="19">
        <v>12541</v>
      </c>
      <c r="DE46" s="19">
        <v>61316</v>
      </c>
      <c r="DF46" s="19">
        <v>1407</v>
      </c>
      <c r="DG46" s="19">
        <v>11038</v>
      </c>
      <c r="DH46" s="19">
        <v>685</v>
      </c>
      <c r="DI46" s="19">
        <v>357</v>
      </c>
      <c r="DJ46" s="19">
        <v>18</v>
      </c>
      <c r="DK46" s="19">
        <v>291</v>
      </c>
      <c r="DL46" s="19">
        <v>25</v>
      </c>
      <c r="DM46" s="19">
        <v>23</v>
      </c>
    </row>
    <row r="47" spans="1:117" ht="13.5" customHeight="1">
      <c r="A47" s="17" t="s">
        <v>138</v>
      </c>
      <c r="B47" s="18" t="s">
        <v>139</v>
      </c>
      <c r="C47" s="17" t="s">
        <v>59</v>
      </c>
      <c r="D47" s="19">
        <v>256724</v>
      </c>
      <c r="E47" s="19">
        <v>165338</v>
      </c>
      <c r="F47" s="19">
        <v>0</v>
      </c>
      <c r="G47" s="19">
        <v>0</v>
      </c>
      <c r="H47" s="19">
        <v>0</v>
      </c>
      <c r="I47" s="19">
        <v>0</v>
      </c>
      <c r="J47" s="19">
        <v>140046</v>
      </c>
      <c r="K47" s="19">
        <v>18697</v>
      </c>
      <c r="L47" s="19">
        <v>115798</v>
      </c>
      <c r="M47" s="19">
        <v>5551</v>
      </c>
      <c r="N47" s="19">
        <v>7518</v>
      </c>
      <c r="O47" s="19">
        <v>900</v>
      </c>
      <c r="P47" s="19">
        <v>6165</v>
      </c>
      <c r="Q47" s="19">
        <v>453</v>
      </c>
      <c r="R47" s="19">
        <v>15179</v>
      </c>
      <c r="S47" s="19">
        <v>3492</v>
      </c>
      <c r="T47" s="19">
        <v>11397</v>
      </c>
      <c r="U47" s="19">
        <v>290</v>
      </c>
      <c r="V47" s="19">
        <v>199</v>
      </c>
      <c r="W47" s="19">
        <v>67</v>
      </c>
      <c r="X47" s="19">
        <v>122</v>
      </c>
      <c r="Y47" s="19">
        <v>10</v>
      </c>
      <c r="Z47" s="19">
        <v>2396</v>
      </c>
      <c r="AA47" s="19">
        <v>294</v>
      </c>
      <c r="AB47" s="19">
        <v>1900</v>
      </c>
      <c r="AC47" s="19">
        <v>202</v>
      </c>
      <c r="AD47" s="19">
        <v>61242</v>
      </c>
      <c r="AE47" s="19">
        <v>0</v>
      </c>
      <c r="AF47" s="19">
        <v>0</v>
      </c>
      <c r="AG47" s="19">
        <v>0</v>
      </c>
      <c r="AH47" s="19">
        <v>0</v>
      </c>
      <c r="AI47" s="19">
        <v>54884</v>
      </c>
      <c r="AJ47" s="19">
        <v>0</v>
      </c>
      <c r="AK47" s="19">
        <v>2497</v>
      </c>
      <c r="AL47" s="19">
        <v>52387</v>
      </c>
      <c r="AM47" s="19">
        <v>235</v>
      </c>
      <c r="AN47" s="19">
        <v>0</v>
      </c>
      <c r="AO47" s="19">
        <v>25</v>
      </c>
      <c r="AP47" s="19">
        <v>210</v>
      </c>
      <c r="AQ47" s="19">
        <v>5427</v>
      </c>
      <c r="AR47" s="19">
        <v>45</v>
      </c>
      <c r="AS47" s="19">
        <v>42</v>
      </c>
      <c r="AT47" s="19">
        <v>5340</v>
      </c>
      <c r="AU47" s="19">
        <v>0</v>
      </c>
      <c r="AV47" s="19">
        <v>0</v>
      </c>
      <c r="AW47" s="19">
        <v>0</v>
      </c>
      <c r="AX47" s="19">
        <v>0</v>
      </c>
      <c r="AY47" s="19">
        <v>696</v>
      </c>
      <c r="AZ47" s="19">
        <v>0</v>
      </c>
      <c r="BA47" s="19">
        <v>0</v>
      </c>
      <c r="BB47" s="19">
        <v>696</v>
      </c>
      <c r="BC47" s="19">
        <v>30144</v>
      </c>
      <c r="BD47" s="19">
        <v>14970</v>
      </c>
      <c r="BE47" s="19">
        <v>0</v>
      </c>
      <c r="BF47" s="19">
        <v>3175</v>
      </c>
      <c r="BG47" s="19">
        <v>1912</v>
      </c>
      <c r="BH47" s="19">
        <v>778</v>
      </c>
      <c r="BI47" s="19">
        <v>67</v>
      </c>
      <c r="BJ47" s="19">
        <v>9038</v>
      </c>
      <c r="BK47" s="19">
        <v>15174</v>
      </c>
      <c r="BL47" s="19">
        <v>0</v>
      </c>
      <c r="BM47" s="19">
        <v>12264</v>
      </c>
      <c r="BN47" s="19">
        <v>271</v>
      </c>
      <c r="BO47" s="19">
        <v>1494</v>
      </c>
      <c r="BP47" s="19">
        <v>0</v>
      </c>
      <c r="BQ47" s="19">
        <v>1145</v>
      </c>
      <c r="BR47" s="19">
        <v>180308</v>
      </c>
      <c r="BS47" s="19">
        <v>0</v>
      </c>
      <c r="BT47" s="19">
        <v>143221</v>
      </c>
      <c r="BU47" s="19">
        <v>9430</v>
      </c>
      <c r="BV47" s="19">
        <v>15957</v>
      </c>
      <c r="BW47" s="19">
        <v>266</v>
      </c>
      <c r="BX47" s="19">
        <v>11434</v>
      </c>
      <c r="BY47" s="19">
        <v>165338</v>
      </c>
      <c r="BZ47" s="19">
        <v>0</v>
      </c>
      <c r="CA47" s="19">
        <v>140046</v>
      </c>
      <c r="CB47" s="19">
        <v>7518</v>
      </c>
      <c r="CC47" s="19">
        <v>15179</v>
      </c>
      <c r="CD47" s="19">
        <v>199</v>
      </c>
      <c r="CE47" s="19">
        <v>2396</v>
      </c>
      <c r="CF47" s="19">
        <v>14970</v>
      </c>
      <c r="CG47" s="19">
        <v>0</v>
      </c>
      <c r="CH47" s="19">
        <v>3175</v>
      </c>
      <c r="CI47" s="19">
        <v>1912</v>
      </c>
      <c r="CJ47" s="19">
        <v>778</v>
      </c>
      <c r="CK47" s="19">
        <v>67</v>
      </c>
      <c r="CL47" s="19">
        <v>9038</v>
      </c>
      <c r="CM47" s="19">
        <v>76416</v>
      </c>
      <c r="CN47" s="19">
        <v>0</v>
      </c>
      <c r="CO47" s="19">
        <v>67148</v>
      </c>
      <c r="CP47" s="19">
        <v>506</v>
      </c>
      <c r="CQ47" s="19">
        <v>6921</v>
      </c>
      <c r="CR47" s="19">
        <v>0</v>
      </c>
      <c r="CS47" s="19">
        <v>1841</v>
      </c>
      <c r="CT47" s="19">
        <v>61242</v>
      </c>
      <c r="CU47" s="19">
        <v>0</v>
      </c>
      <c r="CV47" s="19">
        <v>54884</v>
      </c>
      <c r="CW47" s="19">
        <v>235</v>
      </c>
      <c r="CX47" s="19">
        <v>5427</v>
      </c>
      <c r="CY47" s="19">
        <v>0</v>
      </c>
      <c r="CZ47" s="19">
        <v>696</v>
      </c>
      <c r="DA47" s="19">
        <v>15174</v>
      </c>
      <c r="DB47" s="19">
        <v>0</v>
      </c>
      <c r="DC47" s="19">
        <v>12264</v>
      </c>
      <c r="DD47" s="19">
        <v>271</v>
      </c>
      <c r="DE47" s="19">
        <v>1494</v>
      </c>
      <c r="DF47" s="19">
        <v>0</v>
      </c>
      <c r="DG47" s="19">
        <v>1145</v>
      </c>
      <c r="DH47" s="19">
        <v>0</v>
      </c>
      <c r="DI47" s="19">
        <v>13</v>
      </c>
      <c r="DJ47" s="19">
        <v>5</v>
      </c>
      <c r="DK47" s="19">
        <v>8</v>
      </c>
      <c r="DL47" s="19">
        <v>0</v>
      </c>
      <c r="DM47" s="19">
        <v>0</v>
      </c>
    </row>
    <row r="48" spans="1:117" ht="13.5" customHeight="1">
      <c r="A48" s="17" t="s">
        <v>140</v>
      </c>
      <c r="B48" s="18" t="s">
        <v>141</v>
      </c>
      <c r="C48" s="17" t="s">
        <v>59</v>
      </c>
      <c r="D48" s="19">
        <v>449125</v>
      </c>
      <c r="E48" s="19">
        <v>275937</v>
      </c>
      <c r="F48" s="19">
        <v>0</v>
      </c>
      <c r="G48" s="19">
        <v>0</v>
      </c>
      <c r="H48" s="19">
        <v>0</v>
      </c>
      <c r="I48" s="19">
        <v>0</v>
      </c>
      <c r="J48" s="19">
        <v>231209</v>
      </c>
      <c r="K48" s="19">
        <v>34513</v>
      </c>
      <c r="L48" s="19">
        <v>196633</v>
      </c>
      <c r="M48" s="19">
        <v>63</v>
      </c>
      <c r="N48" s="19">
        <v>12176</v>
      </c>
      <c r="O48" s="19">
        <v>2457</v>
      </c>
      <c r="P48" s="19">
        <v>9709</v>
      </c>
      <c r="Q48" s="19">
        <v>10</v>
      </c>
      <c r="R48" s="19">
        <v>29710</v>
      </c>
      <c r="S48" s="19">
        <v>6747</v>
      </c>
      <c r="T48" s="19">
        <v>22905</v>
      </c>
      <c r="U48" s="19">
        <v>58</v>
      </c>
      <c r="V48" s="19">
        <v>455</v>
      </c>
      <c r="W48" s="19">
        <v>167</v>
      </c>
      <c r="X48" s="19">
        <v>288</v>
      </c>
      <c r="Y48" s="19">
        <v>0</v>
      </c>
      <c r="Z48" s="19">
        <v>2387</v>
      </c>
      <c r="AA48" s="19">
        <v>91</v>
      </c>
      <c r="AB48" s="19">
        <v>2184</v>
      </c>
      <c r="AC48" s="19">
        <v>112</v>
      </c>
      <c r="AD48" s="19">
        <v>101338</v>
      </c>
      <c r="AE48" s="19">
        <v>0</v>
      </c>
      <c r="AF48" s="19">
        <v>0</v>
      </c>
      <c r="AG48" s="19">
        <v>0</v>
      </c>
      <c r="AH48" s="19">
        <v>0</v>
      </c>
      <c r="AI48" s="19">
        <v>93814</v>
      </c>
      <c r="AJ48" s="19">
        <v>981</v>
      </c>
      <c r="AK48" s="19">
        <v>128</v>
      </c>
      <c r="AL48" s="19">
        <v>92705</v>
      </c>
      <c r="AM48" s="19">
        <v>4589</v>
      </c>
      <c r="AN48" s="19">
        <v>0</v>
      </c>
      <c r="AO48" s="19">
        <v>22</v>
      </c>
      <c r="AP48" s="19">
        <v>4567</v>
      </c>
      <c r="AQ48" s="19">
        <v>2831</v>
      </c>
      <c r="AR48" s="19">
        <v>0</v>
      </c>
      <c r="AS48" s="19">
        <v>981</v>
      </c>
      <c r="AT48" s="19">
        <v>1850</v>
      </c>
      <c r="AU48" s="19">
        <v>1</v>
      </c>
      <c r="AV48" s="19">
        <v>0</v>
      </c>
      <c r="AW48" s="19">
        <v>0</v>
      </c>
      <c r="AX48" s="19">
        <v>1</v>
      </c>
      <c r="AY48" s="19">
        <v>103</v>
      </c>
      <c r="AZ48" s="19">
        <v>0</v>
      </c>
      <c r="BA48" s="19">
        <v>0</v>
      </c>
      <c r="BB48" s="19">
        <v>103</v>
      </c>
      <c r="BC48" s="19">
        <v>71850</v>
      </c>
      <c r="BD48" s="19">
        <v>26694</v>
      </c>
      <c r="BE48" s="19">
        <v>0</v>
      </c>
      <c r="BF48" s="19">
        <v>19607</v>
      </c>
      <c r="BG48" s="19">
        <v>3057</v>
      </c>
      <c r="BH48" s="19">
        <v>1330</v>
      </c>
      <c r="BI48" s="19">
        <v>1585</v>
      </c>
      <c r="BJ48" s="19">
        <v>1115</v>
      </c>
      <c r="BK48" s="19">
        <v>45156</v>
      </c>
      <c r="BL48" s="19">
        <v>0</v>
      </c>
      <c r="BM48" s="19">
        <v>41582</v>
      </c>
      <c r="BN48" s="19">
        <v>1114</v>
      </c>
      <c r="BO48" s="19">
        <v>1102</v>
      </c>
      <c r="BP48" s="19">
        <v>1</v>
      </c>
      <c r="BQ48" s="19">
        <v>1357</v>
      </c>
      <c r="BR48" s="19">
        <v>302631</v>
      </c>
      <c r="BS48" s="19">
        <v>0</v>
      </c>
      <c r="BT48" s="19">
        <v>250816</v>
      </c>
      <c r="BU48" s="19">
        <v>15233</v>
      </c>
      <c r="BV48" s="19">
        <v>31040</v>
      </c>
      <c r="BW48" s="19">
        <v>2040</v>
      </c>
      <c r="BX48" s="19">
        <v>3502</v>
      </c>
      <c r="BY48" s="19">
        <v>275937</v>
      </c>
      <c r="BZ48" s="19">
        <v>0</v>
      </c>
      <c r="CA48" s="19">
        <v>231209</v>
      </c>
      <c r="CB48" s="19">
        <v>12176</v>
      </c>
      <c r="CC48" s="19">
        <v>29710</v>
      </c>
      <c r="CD48" s="19">
        <v>455</v>
      </c>
      <c r="CE48" s="19">
        <v>2387</v>
      </c>
      <c r="CF48" s="19">
        <v>26694</v>
      </c>
      <c r="CG48" s="19">
        <v>0</v>
      </c>
      <c r="CH48" s="19">
        <v>19607</v>
      </c>
      <c r="CI48" s="19">
        <v>3057</v>
      </c>
      <c r="CJ48" s="19">
        <v>1330</v>
      </c>
      <c r="CK48" s="19">
        <v>1585</v>
      </c>
      <c r="CL48" s="19">
        <v>1115</v>
      </c>
      <c r="CM48" s="19">
        <v>146494</v>
      </c>
      <c r="CN48" s="19">
        <v>0</v>
      </c>
      <c r="CO48" s="19">
        <v>135396</v>
      </c>
      <c r="CP48" s="19">
        <v>5703</v>
      </c>
      <c r="CQ48" s="19">
        <v>3933</v>
      </c>
      <c r="CR48" s="19">
        <v>2</v>
      </c>
      <c r="CS48" s="19">
        <v>1460</v>
      </c>
      <c r="CT48" s="19">
        <v>101338</v>
      </c>
      <c r="CU48" s="19">
        <v>0</v>
      </c>
      <c r="CV48" s="19">
        <v>93814</v>
      </c>
      <c r="CW48" s="19">
        <v>4589</v>
      </c>
      <c r="CX48" s="19">
        <v>2831</v>
      </c>
      <c r="CY48" s="19">
        <v>1</v>
      </c>
      <c r="CZ48" s="19">
        <v>103</v>
      </c>
      <c r="DA48" s="19">
        <v>45156</v>
      </c>
      <c r="DB48" s="19">
        <v>0</v>
      </c>
      <c r="DC48" s="19">
        <v>41582</v>
      </c>
      <c r="DD48" s="19">
        <v>1114</v>
      </c>
      <c r="DE48" s="19">
        <v>1102</v>
      </c>
      <c r="DF48" s="19">
        <v>1</v>
      </c>
      <c r="DG48" s="19">
        <v>1357</v>
      </c>
      <c r="DH48" s="19">
        <v>8</v>
      </c>
      <c r="DI48" s="19">
        <v>135</v>
      </c>
      <c r="DJ48" s="19">
        <v>2</v>
      </c>
      <c r="DK48" s="19">
        <v>0</v>
      </c>
      <c r="DL48" s="19">
        <v>133</v>
      </c>
      <c r="DM48" s="19">
        <v>0</v>
      </c>
    </row>
    <row r="49" spans="1:117" ht="13.5" customHeight="1">
      <c r="A49" s="17" t="s">
        <v>142</v>
      </c>
      <c r="B49" s="18" t="s">
        <v>143</v>
      </c>
      <c r="C49" s="17" t="s">
        <v>59</v>
      </c>
      <c r="D49" s="19">
        <v>543006</v>
      </c>
      <c r="E49" s="19">
        <v>350716</v>
      </c>
      <c r="F49" s="19">
        <v>0</v>
      </c>
      <c r="G49" s="19">
        <v>0</v>
      </c>
      <c r="H49" s="19">
        <v>0</v>
      </c>
      <c r="I49" s="19">
        <v>0</v>
      </c>
      <c r="J49" s="19">
        <v>278373</v>
      </c>
      <c r="K49" s="19">
        <v>47638</v>
      </c>
      <c r="L49" s="19">
        <v>228769</v>
      </c>
      <c r="M49" s="19">
        <v>1966</v>
      </c>
      <c r="N49" s="19">
        <v>9384</v>
      </c>
      <c r="O49" s="19">
        <v>1319</v>
      </c>
      <c r="P49" s="19">
        <v>8029</v>
      </c>
      <c r="Q49" s="19">
        <v>36</v>
      </c>
      <c r="R49" s="19">
        <v>58978</v>
      </c>
      <c r="S49" s="19">
        <v>6902</v>
      </c>
      <c r="T49" s="19">
        <v>52076</v>
      </c>
      <c r="U49" s="19">
        <v>0</v>
      </c>
      <c r="V49" s="19">
        <v>461</v>
      </c>
      <c r="W49" s="19">
        <v>0</v>
      </c>
      <c r="X49" s="19">
        <v>461</v>
      </c>
      <c r="Y49" s="19">
        <v>0</v>
      </c>
      <c r="Z49" s="19">
        <v>3520</v>
      </c>
      <c r="AA49" s="19">
        <v>1464</v>
      </c>
      <c r="AB49" s="19">
        <v>2041</v>
      </c>
      <c r="AC49" s="19">
        <v>15</v>
      </c>
      <c r="AD49" s="19">
        <v>132400</v>
      </c>
      <c r="AE49" s="19">
        <v>0</v>
      </c>
      <c r="AF49" s="19">
        <v>0</v>
      </c>
      <c r="AG49" s="19">
        <v>0</v>
      </c>
      <c r="AH49" s="19">
        <v>0</v>
      </c>
      <c r="AI49" s="19">
        <v>130681</v>
      </c>
      <c r="AJ49" s="19">
        <v>24</v>
      </c>
      <c r="AK49" s="19">
        <v>268</v>
      </c>
      <c r="AL49" s="19">
        <v>130389</v>
      </c>
      <c r="AM49" s="19">
        <v>1127</v>
      </c>
      <c r="AN49" s="19">
        <v>3</v>
      </c>
      <c r="AO49" s="19">
        <v>2</v>
      </c>
      <c r="AP49" s="19">
        <v>1122</v>
      </c>
      <c r="AQ49" s="19">
        <v>450</v>
      </c>
      <c r="AR49" s="19">
        <v>0</v>
      </c>
      <c r="AS49" s="19">
        <v>39</v>
      </c>
      <c r="AT49" s="19">
        <v>411</v>
      </c>
      <c r="AU49" s="19">
        <v>0</v>
      </c>
      <c r="AV49" s="19">
        <v>0</v>
      </c>
      <c r="AW49" s="19">
        <v>0</v>
      </c>
      <c r="AX49" s="19">
        <v>0</v>
      </c>
      <c r="AY49" s="19">
        <v>142</v>
      </c>
      <c r="AZ49" s="19">
        <v>0</v>
      </c>
      <c r="BA49" s="19">
        <v>0</v>
      </c>
      <c r="BB49" s="19">
        <v>142</v>
      </c>
      <c r="BC49" s="19">
        <v>59890</v>
      </c>
      <c r="BD49" s="19">
        <v>20125</v>
      </c>
      <c r="BE49" s="19">
        <v>0</v>
      </c>
      <c r="BF49" s="19">
        <v>11026</v>
      </c>
      <c r="BG49" s="19">
        <v>2496</v>
      </c>
      <c r="BH49" s="19">
        <v>4067</v>
      </c>
      <c r="BI49" s="19">
        <v>0</v>
      </c>
      <c r="BJ49" s="19">
        <v>2536</v>
      </c>
      <c r="BK49" s="19">
        <v>39765</v>
      </c>
      <c r="BL49" s="19">
        <v>0</v>
      </c>
      <c r="BM49" s="19">
        <v>26328</v>
      </c>
      <c r="BN49" s="19">
        <v>2087</v>
      </c>
      <c r="BO49" s="19">
        <v>11179</v>
      </c>
      <c r="BP49" s="19">
        <v>55</v>
      </c>
      <c r="BQ49" s="19">
        <v>116</v>
      </c>
      <c r="BR49" s="19">
        <v>370841</v>
      </c>
      <c r="BS49" s="19">
        <v>0</v>
      </c>
      <c r="BT49" s="19">
        <v>289399</v>
      </c>
      <c r="BU49" s="19">
        <v>11880</v>
      </c>
      <c r="BV49" s="19">
        <v>63045</v>
      </c>
      <c r="BW49" s="19">
        <v>461</v>
      </c>
      <c r="BX49" s="19">
        <v>6056</v>
      </c>
      <c r="BY49" s="19">
        <v>350716</v>
      </c>
      <c r="BZ49" s="19">
        <v>0</v>
      </c>
      <c r="CA49" s="19">
        <v>278373</v>
      </c>
      <c r="CB49" s="19">
        <v>9384</v>
      </c>
      <c r="CC49" s="19">
        <v>58978</v>
      </c>
      <c r="CD49" s="19">
        <v>461</v>
      </c>
      <c r="CE49" s="19">
        <v>3520</v>
      </c>
      <c r="CF49" s="19">
        <v>20125</v>
      </c>
      <c r="CG49" s="19">
        <v>0</v>
      </c>
      <c r="CH49" s="19">
        <v>11026</v>
      </c>
      <c r="CI49" s="19">
        <v>2496</v>
      </c>
      <c r="CJ49" s="19">
        <v>4067</v>
      </c>
      <c r="CK49" s="19">
        <v>0</v>
      </c>
      <c r="CL49" s="19">
        <v>2536</v>
      </c>
      <c r="CM49" s="19">
        <v>172165</v>
      </c>
      <c r="CN49" s="19">
        <v>0</v>
      </c>
      <c r="CO49" s="19">
        <v>157009</v>
      </c>
      <c r="CP49" s="19">
        <v>3214</v>
      </c>
      <c r="CQ49" s="19">
        <v>11629</v>
      </c>
      <c r="CR49" s="19">
        <v>55</v>
      </c>
      <c r="CS49" s="19">
        <v>258</v>
      </c>
      <c r="CT49" s="19">
        <v>132400</v>
      </c>
      <c r="CU49" s="19">
        <v>0</v>
      </c>
      <c r="CV49" s="19">
        <v>130681</v>
      </c>
      <c r="CW49" s="19">
        <v>1127</v>
      </c>
      <c r="CX49" s="19">
        <v>450</v>
      </c>
      <c r="CY49" s="19">
        <v>0</v>
      </c>
      <c r="CZ49" s="19">
        <v>142</v>
      </c>
      <c r="DA49" s="19">
        <v>39765</v>
      </c>
      <c r="DB49" s="19">
        <v>0</v>
      </c>
      <c r="DC49" s="19">
        <v>26328</v>
      </c>
      <c r="DD49" s="19">
        <v>2087</v>
      </c>
      <c r="DE49" s="19">
        <v>11179</v>
      </c>
      <c r="DF49" s="19">
        <v>55</v>
      </c>
      <c r="DG49" s="19">
        <v>116</v>
      </c>
      <c r="DH49" s="19">
        <v>1041</v>
      </c>
      <c r="DI49" s="19">
        <v>3437</v>
      </c>
      <c r="DJ49" s="19">
        <v>1</v>
      </c>
      <c r="DK49" s="19">
        <v>3432</v>
      </c>
      <c r="DL49" s="19">
        <v>0</v>
      </c>
      <c r="DM49" s="19">
        <v>4</v>
      </c>
    </row>
    <row r="50" spans="1:117" ht="13.5" customHeight="1">
      <c r="A50" s="17" t="s">
        <v>144</v>
      </c>
      <c r="B50" s="18" t="s">
        <v>145</v>
      </c>
      <c r="C50" s="17" t="s">
        <v>59</v>
      </c>
      <c r="D50" s="19">
        <v>387177</v>
      </c>
      <c r="E50" s="19">
        <v>239531</v>
      </c>
      <c r="F50" s="19">
        <v>0</v>
      </c>
      <c r="G50" s="19">
        <v>0</v>
      </c>
      <c r="H50" s="19">
        <v>0</v>
      </c>
      <c r="I50" s="19">
        <v>0</v>
      </c>
      <c r="J50" s="19">
        <v>186076</v>
      </c>
      <c r="K50" s="19">
        <v>7520</v>
      </c>
      <c r="L50" s="19">
        <v>178556</v>
      </c>
      <c r="M50" s="19">
        <v>0</v>
      </c>
      <c r="N50" s="19">
        <v>10595</v>
      </c>
      <c r="O50" s="19">
        <v>2430</v>
      </c>
      <c r="P50" s="19">
        <v>8165</v>
      </c>
      <c r="Q50" s="19">
        <v>0</v>
      </c>
      <c r="R50" s="19">
        <v>40365</v>
      </c>
      <c r="S50" s="19">
        <v>1393</v>
      </c>
      <c r="T50" s="19">
        <v>38972</v>
      </c>
      <c r="U50" s="19">
        <v>0</v>
      </c>
      <c r="V50" s="19">
        <v>21</v>
      </c>
      <c r="W50" s="19">
        <v>12</v>
      </c>
      <c r="X50" s="19">
        <v>9</v>
      </c>
      <c r="Y50" s="19">
        <v>0</v>
      </c>
      <c r="Z50" s="19">
        <v>2474</v>
      </c>
      <c r="AA50" s="19">
        <v>1543</v>
      </c>
      <c r="AB50" s="19">
        <v>931</v>
      </c>
      <c r="AC50" s="19">
        <v>0</v>
      </c>
      <c r="AD50" s="19">
        <v>101433</v>
      </c>
      <c r="AE50" s="19">
        <v>0</v>
      </c>
      <c r="AF50" s="19">
        <v>0</v>
      </c>
      <c r="AG50" s="19">
        <v>0</v>
      </c>
      <c r="AH50" s="19">
        <v>0</v>
      </c>
      <c r="AI50" s="19">
        <v>96974</v>
      </c>
      <c r="AJ50" s="19">
        <v>0</v>
      </c>
      <c r="AK50" s="19">
        <v>0</v>
      </c>
      <c r="AL50" s="19">
        <v>96974</v>
      </c>
      <c r="AM50" s="19">
        <v>1154</v>
      </c>
      <c r="AN50" s="19">
        <v>0</v>
      </c>
      <c r="AO50" s="19">
        <v>0</v>
      </c>
      <c r="AP50" s="19">
        <v>1154</v>
      </c>
      <c r="AQ50" s="19">
        <v>2244</v>
      </c>
      <c r="AR50" s="19">
        <v>0</v>
      </c>
      <c r="AS50" s="19">
        <v>0</v>
      </c>
      <c r="AT50" s="19">
        <v>2244</v>
      </c>
      <c r="AU50" s="19">
        <v>0</v>
      </c>
      <c r="AV50" s="19">
        <v>0</v>
      </c>
      <c r="AW50" s="19">
        <v>0</v>
      </c>
      <c r="AX50" s="19">
        <v>0</v>
      </c>
      <c r="AY50" s="19">
        <v>1061</v>
      </c>
      <c r="AZ50" s="19">
        <v>0</v>
      </c>
      <c r="BA50" s="19">
        <v>0</v>
      </c>
      <c r="BB50" s="19">
        <v>1061</v>
      </c>
      <c r="BC50" s="19">
        <v>46213</v>
      </c>
      <c r="BD50" s="19">
        <v>23461</v>
      </c>
      <c r="BE50" s="19">
        <v>0</v>
      </c>
      <c r="BF50" s="19">
        <v>14074</v>
      </c>
      <c r="BG50" s="19">
        <v>3214</v>
      </c>
      <c r="BH50" s="19">
        <v>1640</v>
      </c>
      <c r="BI50" s="19">
        <v>44</v>
      </c>
      <c r="BJ50" s="19">
        <v>4489</v>
      </c>
      <c r="BK50" s="19">
        <v>22752</v>
      </c>
      <c r="BL50" s="19">
        <v>0</v>
      </c>
      <c r="BM50" s="19">
        <v>20369</v>
      </c>
      <c r="BN50" s="19">
        <v>1290</v>
      </c>
      <c r="BO50" s="19">
        <v>346</v>
      </c>
      <c r="BP50" s="19">
        <v>4</v>
      </c>
      <c r="BQ50" s="19">
        <v>743</v>
      </c>
      <c r="BR50" s="19">
        <v>262992</v>
      </c>
      <c r="BS50" s="19">
        <v>0</v>
      </c>
      <c r="BT50" s="19">
        <v>200150</v>
      </c>
      <c r="BU50" s="19">
        <v>13809</v>
      </c>
      <c r="BV50" s="19">
        <v>42005</v>
      </c>
      <c r="BW50" s="19">
        <v>65</v>
      </c>
      <c r="BX50" s="19">
        <v>6963</v>
      </c>
      <c r="BY50" s="19">
        <v>239531</v>
      </c>
      <c r="BZ50" s="19">
        <v>0</v>
      </c>
      <c r="CA50" s="19">
        <v>186076</v>
      </c>
      <c r="CB50" s="19">
        <v>10595</v>
      </c>
      <c r="CC50" s="19">
        <v>40365</v>
      </c>
      <c r="CD50" s="19">
        <v>21</v>
      </c>
      <c r="CE50" s="19">
        <v>2474</v>
      </c>
      <c r="CF50" s="19">
        <v>23461</v>
      </c>
      <c r="CG50" s="19">
        <v>0</v>
      </c>
      <c r="CH50" s="19">
        <v>14074</v>
      </c>
      <c r="CI50" s="19">
        <v>3214</v>
      </c>
      <c r="CJ50" s="19">
        <v>1640</v>
      </c>
      <c r="CK50" s="19">
        <v>44</v>
      </c>
      <c r="CL50" s="19">
        <v>4489</v>
      </c>
      <c r="CM50" s="19">
        <v>124185</v>
      </c>
      <c r="CN50" s="19">
        <v>0</v>
      </c>
      <c r="CO50" s="19">
        <v>117343</v>
      </c>
      <c r="CP50" s="19">
        <v>2444</v>
      </c>
      <c r="CQ50" s="19">
        <v>2590</v>
      </c>
      <c r="CR50" s="19">
        <v>4</v>
      </c>
      <c r="CS50" s="19">
        <v>1804</v>
      </c>
      <c r="CT50" s="19">
        <v>101433</v>
      </c>
      <c r="CU50" s="19">
        <v>0</v>
      </c>
      <c r="CV50" s="19">
        <v>96974</v>
      </c>
      <c r="CW50" s="19">
        <v>1154</v>
      </c>
      <c r="CX50" s="19">
        <v>2244</v>
      </c>
      <c r="CY50" s="19">
        <v>0</v>
      </c>
      <c r="CZ50" s="19">
        <v>1061</v>
      </c>
      <c r="DA50" s="19">
        <v>22752</v>
      </c>
      <c r="DB50" s="19">
        <v>0</v>
      </c>
      <c r="DC50" s="19">
        <v>20369</v>
      </c>
      <c r="DD50" s="19">
        <v>1290</v>
      </c>
      <c r="DE50" s="19">
        <v>346</v>
      </c>
      <c r="DF50" s="19">
        <v>4</v>
      </c>
      <c r="DG50" s="19">
        <v>743</v>
      </c>
      <c r="DH50" s="19">
        <v>0</v>
      </c>
      <c r="DI50" s="19">
        <v>55</v>
      </c>
      <c r="DJ50" s="19">
        <v>10</v>
      </c>
      <c r="DK50" s="19">
        <v>8</v>
      </c>
      <c r="DL50" s="19">
        <v>0</v>
      </c>
      <c r="DM50" s="19">
        <v>37</v>
      </c>
    </row>
    <row r="51" spans="1:117" ht="13.5" customHeight="1">
      <c r="A51" s="17" t="s">
        <v>146</v>
      </c>
      <c r="B51" s="18" t="s">
        <v>147</v>
      </c>
      <c r="C51" s="17" t="s">
        <v>59</v>
      </c>
      <c r="D51" s="19">
        <v>376667</v>
      </c>
      <c r="E51" s="19">
        <v>231994</v>
      </c>
      <c r="F51" s="19">
        <v>3</v>
      </c>
      <c r="G51" s="19">
        <v>2</v>
      </c>
      <c r="H51" s="19">
        <v>1</v>
      </c>
      <c r="I51" s="19">
        <v>0</v>
      </c>
      <c r="J51" s="19">
        <v>178864</v>
      </c>
      <c r="K51" s="19">
        <v>1754</v>
      </c>
      <c r="L51" s="19">
        <v>177103</v>
      </c>
      <c r="M51" s="19">
        <v>7</v>
      </c>
      <c r="N51" s="19">
        <v>9511</v>
      </c>
      <c r="O51" s="19">
        <v>116</v>
      </c>
      <c r="P51" s="19">
        <v>9392</v>
      </c>
      <c r="Q51" s="19">
        <v>3</v>
      </c>
      <c r="R51" s="19">
        <v>42371</v>
      </c>
      <c r="S51" s="19">
        <v>870</v>
      </c>
      <c r="T51" s="19">
        <v>41501</v>
      </c>
      <c r="U51" s="19">
        <v>0</v>
      </c>
      <c r="V51" s="19">
        <v>195</v>
      </c>
      <c r="W51" s="19">
        <v>17</v>
      </c>
      <c r="X51" s="19">
        <v>178</v>
      </c>
      <c r="Y51" s="19">
        <v>0</v>
      </c>
      <c r="Z51" s="19">
        <v>1050</v>
      </c>
      <c r="AA51" s="19">
        <v>55</v>
      </c>
      <c r="AB51" s="19">
        <v>995</v>
      </c>
      <c r="AC51" s="19">
        <v>0</v>
      </c>
      <c r="AD51" s="19">
        <v>87649</v>
      </c>
      <c r="AE51" s="19">
        <v>0</v>
      </c>
      <c r="AF51" s="19">
        <v>0</v>
      </c>
      <c r="AG51" s="19">
        <v>0</v>
      </c>
      <c r="AH51" s="19">
        <v>0</v>
      </c>
      <c r="AI51" s="19">
        <v>70619</v>
      </c>
      <c r="AJ51" s="19">
        <v>0</v>
      </c>
      <c r="AK51" s="19">
        <v>23</v>
      </c>
      <c r="AL51" s="19">
        <v>70596</v>
      </c>
      <c r="AM51" s="19">
        <v>202</v>
      </c>
      <c r="AN51" s="19">
        <v>0</v>
      </c>
      <c r="AO51" s="19">
        <v>4</v>
      </c>
      <c r="AP51" s="19">
        <v>198</v>
      </c>
      <c r="AQ51" s="19">
        <v>16628</v>
      </c>
      <c r="AR51" s="19">
        <v>752</v>
      </c>
      <c r="AS51" s="19">
        <v>187</v>
      </c>
      <c r="AT51" s="19">
        <v>15689</v>
      </c>
      <c r="AU51" s="19">
        <v>3</v>
      </c>
      <c r="AV51" s="19">
        <v>0</v>
      </c>
      <c r="AW51" s="19">
        <v>3</v>
      </c>
      <c r="AX51" s="19">
        <v>0</v>
      </c>
      <c r="AY51" s="19">
        <v>197</v>
      </c>
      <c r="AZ51" s="19">
        <v>0</v>
      </c>
      <c r="BA51" s="19">
        <v>0</v>
      </c>
      <c r="BB51" s="19">
        <v>197</v>
      </c>
      <c r="BC51" s="19">
        <v>57024</v>
      </c>
      <c r="BD51" s="19">
        <v>31425</v>
      </c>
      <c r="BE51" s="19">
        <v>0</v>
      </c>
      <c r="BF51" s="19">
        <v>13603</v>
      </c>
      <c r="BG51" s="19">
        <v>6010</v>
      </c>
      <c r="BH51" s="19">
        <v>3493</v>
      </c>
      <c r="BI51" s="19">
        <v>1220</v>
      </c>
      <c r="BJ51" s="19">
        <v>7099</v>
      </c>
      <c r="BK51" s="19">
        <v>25599</v>
      </c>
      <c r="BL51" s="19">
        <v>0</v>
      </c>
      <c r="BM51" s="19">
        <v>23093</v>
      </c>
      <c r="BN51" s="19">
        <v>1454</v>
      </c>
      <c r="BO51" s="19">
        <v>609</v>
      </c>
      <c r="BP51" s="19">
        <v>45</v>
      </c>
      <c r="BQ51" s="19">
        <v>398</v>
      </c>
      <c r="BR51" s="19">
        <v>263419</v>
      </c>
      <c r="BS51" s="19">
        <v>3</v>
      </c>
      <c r="BT51" s="19">
        <v>192467</v>
      </c>
      <c r="BU51" s="19">
        <v>15521</v>
      </c>
      <c r="BV51" s="19">
        <v>45864</v>
      </c>
      <c r="BW51" s="19">
        <v>1415</v>
      </c>
      <c r="BX51" s="19">
        <v>8149</v>
      </c>
      <c r="BY51" s="19">
        <v>231994</v>
      </c>
      <c r="BZ51" s="19">
        <v>3</v>
      </c>
      <c r="CA51" s="19">
        <v>178864</v>
      </c>
      <c r="CB51" s="19">
        <v>9511</v>
      </c>
      <c r="CC51" s="19">
        <v>42371</v>
      </c>
      <c r="CD51" s="19">
        <v>195</v>
      </c>
      <c r="CE51" s="19">
        <v>1050</v>
      </c>
      <c r="CF51" s="19">
        <v>31425</v>
      </c>
      <c r="CG51" s="19">
        <v>0</v>
      </c>
      <c r="CH51" s="19">
        <v>13603</v>
      </c>
      <c r="CI51" s="19">
        <v>6010</v>
      </c>
      <c r="CJ51" s="19">
        <v>3493</v>
      </c>
      <c r="CK51" s="19">
        <v>1220</v>
      </c>
      <c r="CL51" s="19">
        <v>7099</v>
      </c>
      <c r="CM51" s="19">
        <v>113248</v>
      </c>
      <c r="CN51" s="19">
        <v>0</v>
      </c>
      <c r="CO51" s="19">
        <v>93712</v>
      </c>
      <c r="CP51" s="19">
        <v>1656</v>
      </c>
      <c r="CQ51" s="19">
        <v>17237</v>
      </c>
      <c r="CR51" s="19">
        <v>48</v>
      </c>
      <c r="CS51" s="19">
        <v>595</v>
      </c>
      <c r="CT51" s="19">
        <v>87649</v>
      </c>
      <c r="CU51" s="19">
        <v>0</v>
      </c>
      <c r="CV51" s="19">
        <v>70619</v>
      </c>
      <c r="CW51" s="19">
        <v>202</v>
      </c>
      <c r="CX51" s="19">
        <v>16628</v>
      </c>
      <c r="CY51" s="19">
        <v>3</v>
      </c>
      <c r="CZ51" s="19">
        <v>197</v>
      </c>
      <c r="DA51" s="19">
        <v>25599</v>
      </c>
      <c r="DB51" s="19">
        <v>0</v>
      </c>
      <c r="DC51" s="19">
        <v>23093</v>
      </c>
      <c r="DD51" s="19">
        <v>1454</v>
      </c>
      <c r="DE51" s="19">
        <v>609</v>
      </c>
      <c r="DF51" s="19">
        <v>45</v>
      </c>
      <c r="DG51" s="19">
        <v>398</v>
      </c>
      <c r="DH51" s="19">
        <v>0</v>
      </c>
      <c r="DI51" s="19">
        <v>979</v>
      </c>
      <c r="DJ51" s="19">
        <v>3</v>
      </c>
      <c r="DK51" s="19">
        <v>943</v>
      </c>
      <c r="DL51" s="19">
        <v>33</v>
      </c>
      <c r="DM51" s="19">
        <v>0</v>
      </c>
    </row>
    <row r="52" spans="1:117" ht="13.5" customHeight="1">
      <c r="A52" s="17" t="s">
        <v>148</v>
      </c>
      <c r="B52" s="18" t="s">
        <v>149</v>
      </c>
      <c r="C52" s="17" t="s">
        <v>59</v>
      </c>
      <c r="D52" s="19">
        <v>525330</v>
      </c>
      <c r="E52" s="19">
        <v>335343</v>
      </c>
      <c r="F52" s="19">
        <v>410</v>
      </c>
      <c r="G52" s="19">
        <v>14</v>
      </c>
      <c r="H52" s="19">
        <v>396</v>
      </c>
      <c r="I52" s="19">
        <v>0</v>
      </c>
      <c r="J52" s="19">
        <v>263246</v>
      </c>
      <c r="K52" s="19">
        <v>60327</v>
      </c>
      <c r="L52" s="19">
        <v>202277</v>
      </c>
      <c r="M52" s="19">
        <v>642</v>
      </c>
      <c r="N52" s="19">
        <v>10104</v>
      </c>
      <c r="O52" s="19">
        <v>1078</v>
      </c>
      <c r="P52" s="19">
        <v>8769</v>
      </c>
      <c r="Q52" s="19">
        <v>257</v>
      </c>
      <c r="R52" s="19">
        <v>57250</v>
      </c>
      <c r="S52" s="19">
        <v>9905</v>
      </c>
      <c r="T52" s="19">
        <v>47345</v>
      </c>
      <c r="U52" s="19">
        <v>0</v>
      </c>
      <c r="V52" s="19">
        <v>204</v>
      </c>
      <c r="W52" s="19">
        <v>55</v>
      </c>
      <c r="X52" s="19">
        <v>149</v>
      </c>
      <c r="Y52" s="19">
        <v>0</v>
      </c>
      <c r="Z52" s="19">
        <v>4129</v>
      </c>
      <c r="AA52" s="19">
        <v>1298</v>
      </c>
      <c r="AB52" s="19">
        <v>2730</v>
      </c>
      <c r="AC52" s="19">
        <v>101</v>
      </c>
      <c r="AD52" s="19">
        <v>125596</v>
      </c>
      <c r="AE52" s="19">
        <v>4273</v>
      </c>
      <c r="AF52" s="19">
        <v>0</v>
      </c>
      <c r="AG52" s="19">
        <v>0</v>
      </c>
      <c r="AH52" s="19">
        <v>4273</v>
      </c>
      <c r="AI52" s="19">
        <v>107933</v>
      </c>
      <c r="AJ52" s="19">
        <v>398</v>
      </c>
      <c r="AK52" s="19">
        <v>409</v>
      </c>
      <c r="AL52" s="19">
        <v>107126</v>
      </c>
      <c r="AM52" s="19">
        <v>3233</v>
      </c>
      <c r="AN52" s="19">
        <v>27</v>
      </c>
      <c r="AO52" s="19">
        <v>0</v>
      </c>
      <c r="AP52" s="19">
        <v>3206</v>
      </c>
      <c r="AQ52" s="19">
        <v>6586</v>
      </c>
      <c r="AR52" s="19">
        <v>0</v>
      </c>
      <c r="AS52" s="19">
        <v>0</v>
      </c>
      <c r="AT52" s="19">
        <v>6586</v>
      </c>
      <c r="AU52" s="19">
        <v>0</v>
      </c>
      <c r="AV52" s="19">
        <v>0</v>
      </c>
      <c r="AW52" s="19">
        <v>0</v>
      </c>
      <c r="AX52" s="19">
        <v>0</v>
      </c>
      <c r="AY52" s="19">
        <v>3571</v>
      </c>
      <c r="AZ52" s="19">
        <v>4</v>
      </c>
      <c r="BA52" s="19">
        <v>0</v>
      </c>
      <c r="BB52" s="19">
        <v>3567</v>
      </c>
      <c r="BC52" s="19">
        <v>64391</v>
      </c>
      <c r="BD52" s="19">
        <v>30651</v>
      </c>
      <c r="BE52" s="19">
        <v>1005</v>
      </c>
      <c r="BF52" s="19">
        <v>11915</v>
      </c>
      <c r="BG52" s="19">
        <v>5106</v>
      </c>
      <c r="BH52" s="19">
        <v>2877</v>
      </c>
      <c r="BI52" s="19">
        <v>265</v>
      </c>
      <c r="BJ52" s="19">
        <v>9483</v>
      </c>
      <c r="BK52" s="19">
        <v>33740</v>
      </c>
      <c r="BL52" s="19">
        <v>418</v>
      </c>
      <c r="BM52" s="19">
        <v>21503</v>
      </c>
      <c r="BN52" s="19">
        <v>3664</v>
      </c>
      <c r="BO52" s="19">
        <v>3595</v>
      </c>
      <c r="BP52" s="19">
        <v>158</v>
      </c>
      <c r="BQ52" s="19">
        <v>4402</v>
      </c>
      <c r="BR52" s="19">
        <v>365994</v>
      </c>
      <c r="BS52" s="19">
        <v>1415</v>
      </c>
      <c r="BT52" s="19">
        <v>275161</v>
      </c>
      <c r="BU52" s="19">
        <v>15210</v>
      </c>
      <c r="BV52" s="19">
        <v>60127</v>
      </c>
      <c r="BW52" s="19">
        <v>469</v>
      </c>
      <c r="BX52" s="19">
        <v>13612</v>
      </c>
      <c r="BY52" s="19">
        <v>335343</v>
      </c>
      <c r="BZ52" s="19">
        <v>410</v>
      </c>
      <c r="CA52" s="19">
        <v>263246</v>
      </c>
      <c r="CB52" s="19">
        <v>10104</v>
      </c>
      <c r="CC52" s="19">
        <v>57250</v>
      </c>
      <c r="CD52" s="19">
        <v>204</v>
      </c>
      <c r="CE52" s="19">
        <v>4129</v>
      </c>
      <c r="CF52" s="19">
        <v>30651</v>
      </c>
      <c r="CG52" s="19">
        <v>1005</v>
      </c>
      <c r="CH52" s="19">
        <v>11915</v>
      </c>
      <c r="CI52" s="19">
        <v>5106</v>
      </c>
      <c r="CJ52" s="19">
        <v>2877</v>
      </c>
      <c r="CK52" s="19">
        <v>265</v>
      </c>
      <c r="CL52" s="19">
        <v>9483</v>
      </c>
      <c r="CM52" s="19">
        <v>159336</v>
      </c>
      <c r="CN52" s="19">
        <v>4691</v>
      </c>
      <c r="CO52" s="19">
        <v>129436</v>
      </c>
      <c r="CP52" s="19">
        <v>6897</v>
      </c>
      <c r="CQ52" s="19">
        <v>10181</v>
      </c>
      <c r="CR52" s="19">
        <v>158</v>
      </c>
      <c r="CS52" s="19">
        <v>7973</v>
      </c>
      <c r="CT52" s="19">
        <v>125596</v>
      </c>
      <c r="CU52" s="19">
        <v>4273</v>
      </c>
      <c r="CV52" s="19">
        <v>107933</v>
      </c>
      <c r="CW52" s="19">
        <v>3233</v>
      </c>
      <c r="CX52" s="19">
        <v>6586</v>
      </c>
      <c r="CY52" s="19">
        <v>0</v>
      </c>
      <c r="CZ52" s="19">
        <v>3571</v>
      </c>
      <c r="DA52" s="19">
        <v>33740</v>
      </c>
      <c r="DB52" s="19">
        <v>418</v>
      </c>
      <c r="DC52" s="19">
        <v>21503</v>
      </c>
      <c r="DD52" s="19">
        <v>3664</v>
      </c>
      <c r="DE52" s="19">
        <v>3595</v>
      </c>
      <c r="DF52" s="19">
        <v>158</v>
      </c>
      <c r="DG52" s="19">
        <v>4402</v>
      </c>
      <c r="DH52" s="19">
        <v>25</v>
      </c>
      <c r="DI52" s="19">
        <v>377</v>
      </c>
      <c r="DJ52" s="19">
        <v>14</v>
      </c>
      <c r="DK52" s="19">
        <v>4</v>
      </c>
      <c r="DL52" s="19">
        <v>357</v>
      </c>
      <c r="DM52" s="19">
        <v>2</v>
      </c>
    </row>
    <row r="53" spans="1:117" ht="13.5" customHeight="1">
      <c r="A53" s="17" t="s">
        <v>150</v>
      </c>
      <c r="B53" s="18" t="s">
        <v>151</v>
      </c>
      <c r="C53" s="17" t="s">
        <v>59</v>
      </c>
      <c r="D53" s="19">
        <v>476952</v>
      </c>
      <c r="E53" s="19">
        <v>312136</v>
      </c>
      <c r="F53" s="19">
        <v>0</v>
      </c>
      <c r="G53" s="19">
        <v>0</v>
      </c>
      <c r="H53" s="19">
        <v>0</v>
      </c>
      <c r="I53" s="19">
        <v>0</v>
      </c>
      <c r="J53" s="19">
        <v>246206</v>
      </c>
      <c r="K53" s="19">
        <v>17421</v>
      </c>
      <c r="L53" s="19">
        <v>220617</v>
      </c>
      <c r="M53" s="19">
        <v>8168</v>
      </c>
      <c r="N53" s="19">
        <v>9682</v>
      </c>
      <c r="O53" s="19">
        <v>839</v>
      </c>
      <c r="P53" s="19">
        <v>8523</v>
      </c>
      <c r="Q53" s="19">
        <v>320</v>
      </c>
      <c r="R53" s="19">
        <v>46679</v>
      </c>
      <c r="S53" s="19">
        <v>3159</v>
      </c>
      <c r="T53" s="19">
        <v>42669</v>
      </c>
      <c r="U53" s="19">
        <v>851</v>
      </c>
      <c r="V53" s="19">
        <v>902</v>
      </c>
      <c r="W53" s="19">
        <v>44</v>
      </c>
      <c r="X53" s="19">
        <v>858</v>
      </c>
      <c r="Y53" s="19">
        <v>0</v>
      </c>
      <c r="Z53" s="19">
        <v>8667</v>
      </c>
      <c r="AA53" s="19">
        <v>1452</v>
      </c>
      <c r="AB53" s="19">
        <v>7215</v>
      </c>
      <c r="AC53" s="19">
        <v>0</v>
      </c>
      <c r="AD53" s="19">
        <v>142949</v>
      </c>
      <c r="AE53" s="19">
        <v>0</v>
      </c>
      <c r="AF53" s="19">
        <v>0</v>
      </c>
      <c r="AG53" s="19">
        <v>0</v>
      </c>
      <c r="AH53" s="19">
        <v>0</v>
      </c>
      <c r="AI53" s="19">
        <v>134653</v>
      </c>
      <c r="AJ53" s="19">
        <v>484</v>
      </c>
      <c r="AK53" s="19">
        <v>984</v>
      </c>
      <c r="AL53" s="19">
        <v>133185</v>
      </c>
      <c r="AM53" s="19">
        <v>1290</v>
      </c>
      <c r="AN53" s="19">
        <v>25</v>
      </c>
      <c r="AO53" s="19">
        <v>10</v>
      </c>
      <c r="AP53" s="19">
        <v>1255</v>
      </c>
      <c r="AQ53" s="19">
        <v>5839</v>
      </c>
      <c r="AR53" s="19">
        <v>78</v>
      </c>
      <c r="AS53" s="19">
        <v>506</v>
      </c>
      <c r="AT53" s="19">
        <v>5255</v>
      </c>
      <c r="AU53" s="19">
        <v>1064</v>
      </c>
      <c r="AV53" s="19">
        <v>0</v>
      </c>
      <c r="AW53" s="19">
        <v>0</v>
      </c>
      <c r="AX53" s="19">
        <v>1064</v>
      </c>
      <c r="AY53" s="19">
        <v>103</v>
      </c>
      <c r="AZ53" s="19">
        <v>1</v>
      </c>
      <c r="BA53" s="19">
        <v>49</v>
      </c>
      <c r="BB53" s="19">
        <v>53</v>
      </c>
      <c r="BC53" s="19">
        <v>21867</v>
      </c>
      <c r="BD53" s="19">
        <v>15177</v>
      </c>
      <c r="BE53" s="19">
        <v>0</v>
      </c>
      <c r="BF53" s="19">
        <v>6844</v>
      </c>
      <c r="BG53" s="19">
        <v>933</v>
      </c>
      <c r="BH53" s="19">
        <v>3602</v>
      </c>
      <c r="BI53" s="19">
        <v>584</v>
      </c>
      <c r="BJ53" s="19">
        <v>3214</v>
      </c>
      <c r="BK53" s="19">
        <v>6690</v>
      </c>
      <c r="BL53" s="19">
        <v>0</v>
      </c>
      <c r="BM53" s="19">
        <v>5627</v>
      </c>
      <c r="BN53" s="19">
        <v>211</v>
      </c>
      <c r="BO53" s="19">
        <v>413</v>
      </c>
      <c r="BP53" s="19">
        <v>0</v>
      </c>
      <c r="BQ53" s="19">
        <v>439</v>
      </c>
      <c r="BR53" s="19">
        <v>327313</v>
      </c>
      <c r="BS53" s="19">
        <v>0</v>
      </c>
      <c r="BT53" s="19">
        <v>253050</v>
      </c>
      <c r="BU53" s="19">
        <v>10615</v>
      </c>
      <c r="BV53" s="19">
        <v>50281</v>
      </c>
      <c r="BW53" s="19">
        <v>1486</v>
      </c>
      <c r="BX53" s="19">
        <v>11881</v>
      </c>
      <c r="BY53" s="19">
        <v>312136</v>
      </c>
      <c r="BZ53" s="19">
        <v>0</v>
      </c>
      <c r="CA53" s="19">
        <v>246206</v>
      </c>
      <c r="CB53" s="19">
        <v>9682</v>
      </c>
      <c r="CC53" s="19">
        <v>46679</v>
      </c>
      <c r="CD53" s="19">
        <v>902</v>
      </c>
      <c r="CE53" s="19">
        <v>8667</v>
      </c>
      <c r="CF53" s="19">
        <v>15177</v>
      </c>
      <c r="CG53" s="19">
        <v>0</v>
      </c>
      <c r="CH53" s="19">
        <v>6844</v>
      </c>
      <c r="CI53" s="19">
        <v>933</v>
      </c>
      <c r="CJ53" s="19">
        <v>3602</v>
      </c>
      <c r="CK53" s="19">
        <v>584</v>
      </c>
      <c r="CL53" s="19">
        <v>3214</v>
      </c>
      <c r="CM53" s="19">
        <v>149639</v>
      </c>
      <c r="CN53" s="19">
        <v>0</v>
      </c>
      <c r="CO53" s="19">
        <v>140280</v>
      </c>
      <c r="CP53" s="19">
        <v>1501</v>
      </c>
      <c r="CQ53" s="19">
        <v>6252</v>
      </c>
      <c r="CR53" s="19">
        <v>1064</v>
      </c>
      <c r="CS53" s="19">
        <v>542</v>
      </c>
      <c r="CT53" s="19">
        <v>142949</v>
      </c>
      <c r="CU53" s="19">
        <v>0</v>
      </c>
      <c r="CV53" s="19">
        <v>134653</v>
      </c>
      <c r="CW53" s="19">
        <v>1290</v>
      </c>
      <c r="CX53" s="19">
        <v>5839</v>
      </c>
      <c r="CY53" s="19">
        <v>1064</v>
      </c>
      <c r="CZ53" s="19">
        <v>103</v>
      </c>
      <c r="DA53" s="19">
        <v>6690</v>
      </c>
      <c r="DB53" s="19">
        <v>0</v>
      </c>
      <c r="DC53" s="19">
        <v>5627</v>
      </c>
      <c r="DD53" s="19">
        <v>211</v>
      </c>
      <c r="DE53" s="19">
        <v>413</v>
      </c>
      <c r="DF53" s="19">
        <v>0</v>
      </c>
      <c r="DG53" s="19">
        <v>439</v>
      </c>
      <c r="DH53" s="19">
        <v>2</v>
      </c>
      <c r="DI53" s="19">
        <v>4102</v>
      </c>
      <c r="DJ53" s="19">
        <v>3748</v>
      </c>
      <c r="DK53" s="19">
        <v>345</v>
      </c>
      <c r="DL53" s="19">
        <v>5</v>
      </c>
      <c r="DM53" s="19">
        <v>4</v>
      </c>
    </row>
    <row r="54" spans="1:117" ht="13.5" customHeight="1">
      <c r="A54" s="17" t="s">
        <v>152</v>
      </c>
      <c r="B54" s="18" t="s">
        <v>153</v>
      </c>
      <c r="C54" s="17" t="s">
        <v>59</v>
      </c>
      <c r="D54" s="19">
        <v>39359760.090000004</v>
      </c>
      <c r="E54" s="19">
        <v>26143817</v>
      </c>
      <c r="F54" s="19">
        <v>1620351</v>
      </c>
      <c r="G54" s="19">
        <v>717656</v>
      </c>
      <c r="H54" s="19">
        <v>901907</v>
      </c>
      <c r="I54" s="19">
        <v>788</v>
      </c>
      <c r="J54" s="19">
        <v>18946161</v>
      </c>
      <c r="K54" s="19">
        <v>4959104</v>
      </c>
      <c r="L54" s="19">
        <v>13958616</v>
      </c>
      <c r="M54" s="19">
        <v>28441</v>
      </c>
      <c r="N54" s="19">
        <v>915522</v>
      </c>
      <c r="O54" s="19">
        <v>180708</v>
      </c>
      <c r="P54" s="19">
        <v>728529</v>
      </c>
      <c r="Q54" s="19">
        <v>6285</v>
      </c>
      <c r="R54" s="19">
        <v>4069600</v>
      </c>
      <c r="S54" s="19">
        <v>829214</v>
      </c>
      <c r="T54" s="19">
        <v>3234768</v>
      </c>
      <c r="U54" s="19">
        <v>5618</v>
      </c>
      <c r="V54" s="19">
        <v>42428</v>
      </c>
      <c r="W54" s="19">
        <v>13794</v>
      </c>
      <c r="X54" s="19">
        <v>28598</v>
      </c>
      <c r="Y54" s="19">
        <v>36</v>
      </c>
      <c r="Z54" s="19">
        <v>549755</v>
      </c>
      <c r="AA54" s="19">
        <v>178082</v>
      </c>
      <c r="AB54" s="19">
        <v>363203</v>
      </c>
      <c r="AC54" s="19">
        <v>8470</v>
      </c>
      <c r="AD54" s="19">
        <v>9513782.0899999999</v>
      </c>
      <c r="AE54" s="19">
        <v>847514</v>
      </c>
      <c r="AF54" s="19">
        <v>1727</v>
      </c>
      <c r="AG54" s="19">
        <v>32190</v>
      </c>
      <c r="AH54" s="19">
        <v>813597</v>
      </c>
      <c r="AI54" s="19">
        <v>8182444.0899999999</v>
      </c>
      <c r="AJ54" s="19">
        <v>23464.09</v>
      </c>
      <c r="AK54" s="19">
        <v>84157</v>
      </c>
      <c r="AL54" s="19">
        <v>8074823</v>
      </c>
      <c r="AM54" s="19">
        <v>110590</v>
      </c>
      <c r="AN54" s="19">
        <v>817</v>
      </c>
      <c r="AO54" s="19">
        <v>3462</v>
      </c>
      <c r="AP54" s="19">
        <v>106311</v>
      </c>
      <c r="AQ54" s="19">
        <v>303627</v>
      </c>
      <c r="AR54" s="19">
        <v>2765</v>
      </c>
      <c r="AS54" s="19">
        <v>10664</v>
      </c>
      <c r="AT54" s="19">
        <v>290198</v>
      </c>
      <c r="AU54" s="19">
        <v>14365</v>
      </c>
      <c r="AV54" s="19">
        <v>2526</v>
      </c>
      <c r="AW54" s="19">
        <v>7186</v>
      </c>
      <c r="AX54" s="19">
        <v>4653</v>
      </c>
      <c r="AY54" s="19">
        <v>55242</v>
      </c>
      <c r="AZ54" s="19">
        <v>662</v>
      </c>
      <c r="BA54" s="19">
        <v>1760</v>
      </c>
      <c r="BB54" s="19">
        <v>52820</v>
      </c>
      <c r="BC54" s="19">
        <v>3702161</v>
      </c>
      <c r="BD54" s="19">
        <v>1509601</v>
      </c>
      <c r="BE54" s="19">
        <v>29136</v>
      </c>
      <c r="BF54" s="19">
        <v>631844</v>
      </c>
      <c r="BG54" s="19">
        <v>218226</v>
      </c>
      <c r="BH54" s="19">
        <v>194202</v>
      </c>
      <c r="BI54" s="19">
        <v>24637</v>
      </c>
      <c r="BJ54" s="19">
        <v>411556</v>
      </c>
      <c r="BK54" s="19">
        <v>2192560</v>
      </c>
      <c r="BL54" s="19">
        <v>202881</v>
      </c>
      <c r="BM54" s="19">
        <v>1401374</v>
      </c>
      <c r="BN54" s="19">
        <v>126561</v>
      </c>
      <c r="BO54" s="19">
        <v>263238</v>
      </c>
      <c r="BP54" s="19">
        <v>26697</v>
      </c>
      <c r="BQ54" s="19">
        <v>171809</v>
      </c>
      <c r="BR54" s="19">
        <v>27653418</v>
      </c>
      <c r="BS54" s="19">
        <v>1649487</v>
      </c>
      <c r="BT54" s="19">
        <v>19578005</v>
      </c>
      <c r="BU54" s="19">
        <v>1133748</v>
      </c>
      <c r="BV54" s="19">
        <v>4263802</v>
      </c>
      <c r="BW54" s="19">
        <v>67065</v>
      </c>
      <c r="BX54" s="19">
        <v>961311</v>
      </c>
      <c r="BY54" s="19">
        <v>26143817</v>
      </c>
      <c r="BZ54" s="19">
        <v>1620351</v>
      </c>
      <c r="CA54" s="19">
        <v>18946161</v>
      </c>
      <c r="CB54" s="19">
        <v>915522</v>
      </c>
      <c r="CC54" s="19">
        <v>4069600</v>
      </c>
      <c r="CD54" s="19">
        <v>42428</v>
      </c>
      <c r="CE54" s="19">
        <v>549755</v>
      </c>
      <c r="CF54" s="19">
        <v>1509601</v>
      </c>
      <c r="CG54" s="19">
        <v>29136</v>
      </c>
      <c r="CH54" s="19">
        <v>631844</v>
      </c>
      <c r="CI54" s="19">
        <v>218226</v>
      </c>
      <c r="CJ54" s="19">
        <v>194202</v>
      </c>
      <c r="CK54" s="19">
        <v>24637</v>
      </c>
      <c r="CL54" s="19">
        <v>411556</v>
      </c>
      <c r="CM54" s="19">
        <v>11706342.09</v>
      </c>
      <c r="CN54" s="19">
        <v>1050395</v>
      </c>
      <c r="CO54" s="19">
        <v>9583818.0899999999</v>
      </c>
      <c r="CP54" s="19">
        <v>237151</v>
      </c>
      <c r="CQ54" s="19">
        <v>566865</v>
      </c>
      <c r="CR54" s="19">
        <v>41062</v>
      </c>
      <c r="CS54" s="19">
        <v>227051</v>
      </c>
      <c r="CT54" s="19">
        <v>9513782.0899999999</v>
      </c>
      <c r="CU54" s="19">
        <v>847514</v>
      </c>
      <c r="CV54" s="19">
        <v>8182444.0899999999</v>
      </c>
      <c r="CW54" s="19">
        <v>110590</v>
      </c>
      <c r="CX54" s="19">
        <v>303627</v>
      </c>
      <c r="CY54" s="19">
        <v>14365</v>
      </c>
      <c r="CZ54" s="19">
        <v>55242</v>
      </c>
      <c r="DA54" s="19">
        <v>2192560</v>
      </c>
      <c r="DB54" s="19">
        <v>202881</v>
      </c>
      <c r="DC54" s="19">
        <v>1401374</v>
      </c>
      <c r="DD54" s="19">
        <v>126561</v>
      </c>
      <c r="DE54" s="19">
        <v>263238</v>
      </c>
      <c r="DF54" s="19">
        <v>26697</v>
      </c>
      <c r="DG54" s="19">
        <v>171809</v>
      </c>
      <c r="DH54" s="19">
        <v>6276</v>
      </c>
      <c r="DI54" s="19">
        <v>13817.449000000001</v>
      </c>
      <c r="DJ54" s="19">
        <v>5472.4490000000005</v>
      </c>
      <c r="DK54" s="19">
        <v>5506</v>
      </c>
      <c r="DL54" s="19">
        <v>1386</v>
      </c>
      <c r="DM54" s="19">
        <v>1453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75" orientation="landscape" r:id="rId1"/>
  <headerFooter alignWithMargins="0">
    <oddHeader>&amp;Lごみ搬入量の状況（令和2年度実績）</oddHeader>
  </headerFooter>
  <colBreaks count="5" manualBreakCount="5">
    <brk id="13" min="1" max="23" man="1"/>
    <brk id="25" min="1" max="23" man="1"/>
    <brk id="38" min="1" max="23" man="1"/>
    <brk id="50" min="1" max="23" man="1"/>
    <brk id="62" min="1" max="2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N54"/>
  <sheetViews>
    <sheetView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/>
  <cols>
    <col min="1" max="1" width="10.75" style="10" customWidth="1"/>
    <col min="2" max="2" width="8.75" style="13" customWidth="1"/>
    <col min="3" max="3" width="12.625" style="10" customWidth="1"/>
    <col min="4" max="144" width="9.875" style="14" customWidth="1"/>
    <col min="145" max="16384" width="9" style="10"/>
  </cols>
  <sheetData>
    <row r="1" spans="1:144" s="3" customFormat="1" ht="17.25">
      <c r="A1" s="1" t="s">
        <v>195</v>
      </c>
      <c r="B1" s="2"/>
      <c r="C1" s="2"/>
    </row>
    <row r="2" spans="1:144" ht="25.5" customHeight="1">
      <c r="A2" s="7" t="s">
        <v>1</v>
      </c>
      <c r="B2" s="7" t="s">
        <v>2</v>
      </c>
      <c r="C2" s="8" t="s">
        <v>3</v>
      </c>
      <c r="D2" s="11" t="s">
        <v>196</v>
      </c>
      <c r="E2" s="11" t="s">
        <v>196</v>
      </c>
      <c r="F2" s="11" t="s">
        <v>196</v>
      </c>
      <c r="G2" s="11" t="s">
        <v>196</v>
      </c>
      <c r="H2" s="11" t="s">
        <v>196</v>
      </c>
      <c r="I2" s="11" t="s">
        <v>196</v>
      </c>
      <c r="J2" s="11" t="s">
        <v>196</v>
      </c>
      <c r="K2" s="11" t="s">
        <v>196</v>
      </c>
      <c r="L2" s="11" t="s">
        <v>196</v>
      </c>
      <c r="M2" s="11" t="s">
        <v>197</v>
      </c>
      <c r="N2" s="11" t="s">
        <v>196</v>
      </c>
      <c r="O2" s="11" t="s">
        <v>196</v>
      </c>
      <c r="P2" s="11" t="s">
        <v>196</v>
      </c>
      <c r="Q2" s="11" t="s">
        <v>196</v>
      </c>
      <c r="R2" s="11" t="s">
        <v>196</v>
      </c>
      <c r="S2" s="11" t="s">
        <v>196</v>
      </c>
      <c r="T2" s="11" t="s">
        <v>196</v>
      </c>
      <c r="U2" s="11" t="s">
        <v>196</v>
      </c>
      <c r="V2" s="11" t="s">
        <v>196</v>
      </c>
      <c r="W2" s="11" t="s">
        <v>196</v>
      </c>
      <c r="X2" s="11" t="s">
        <v>196</v>
      </c>
      <c r="Y2" s="11" t="s">
        <v>196</v>
      </c>
      <c r="Z2" s="11" t="s">
        <v>196</v>
      </c>
      <c r="AA2" s="11" t="s">
        <v>196</v>
      </c>
      <c r="AB2" s="11" t="s">
        <v>196</v>
      </c>
      <c r="AC2" s="11" t="s">
        <v>196</v>
      </c>
      <c r="AD2" s="11" t="s">
        <v>196</v>
      </c>
      <c r="AE2" s="11" t="s">
        <v>196</v>
      </c>
      <c r="AF2" s="11" t="s">
        <v>196</v>
      </c>
      <c r="AG2" s="11" t="s">
        <v>196</v>
      </c>
      <c r="AH2" s="11" t="s">
        <v>196</v>
      </c>
      <c r="AI2" s="11" t="s">
        <v>196</v>
      </c>
      <c r="AJ2" s="11" t="s">
        <v>196</v>
      </c>
      <c r="AK2" s="11" t="s">
        <v>196</v>
      </c>
      <c r="AL2" s="11" t="s">
        <v>196</v>
      </c>
      <c r="AM2" s="11" t="s">
        <v>196</v>
      </c>
      <c r="AN2" s="11" t="s">
        <v>196</v>
      </c>
      <c r="AO2" s="11" t="s">
        <v>196</v>
      </c>
      <c r="AP2" s="11" t="s">
        <v>196</v>
      </c>
      <c r="AQ2" s="11" t="s">
        <v>198</v>
      </c>
      <c r="AR2" s="11" t="s">
        <v>196</v>
      </c>
      <c r="AS2" s="11" t="s">
        <v>196</v>
      </c>
      <c r="AT2" s="11" t="s">
        <v>196</v>
      </c>
      <c r="AU2" s="11" t="s">
        <v>196</v>
      </c>
      <c r="AV2" s="11" t="s">
        <v>196</v>
      </c>
      <c r="AW2" s="11" t="s">
        <v>196</v>
      </c>
      <c r="AX2" s="11" t="s">
        <v>197</v>
      </c>
      <c r="AY2" s="11" t="s">
        <v>196</v>
      </c>
      <c r="AZ2" s="11" t="s">
        <v>196</v>
      </c>
      <c r="BA2" s="11" t="s">
        <v>196</v>
      </c>
      <c r="BB2" s="11" t="s">
        <v>196</v>
      </c>
      <c r="BC2" s="11" t="s">
        <v>196</v>
      </c>
      <c r="BD2" s="11" t="s">
        <v>198</v>
      </c>
      <c r="BE2" s="11" t="s">
        <v>196</v>
      </c>
      <c r="BF2" s="11" t="s">
        <v>196</v>
      </c>
      <c r="BG2" s="11" t="s">
        <v>196</v>
      </c>
      <c r="BH2" s="11" t="s">
        <v>196</v>
      </c>
      <c r="BI2" s="11" t="s">
        <v>196</v>
      </c>
      <c r="BJ2" s="11" t="s">
        <v>196</v>
      </c>
      <c r="BK2" s="11" t="s">
        <v>196</v>
      </c>
      <c r="BL2" s="11" t="s">
        <v>196</v>
      </c>
      <c r="BM2" s="11" t="s">
        <v>196</v>
      </c>
      <c r="BN2" s="11" t="s">
        <v>196</v>
      </c>
      <c r="BO2" s="11" t="s">
        <v>196</v>
      </c>
      <c r="BP2" s="11" t="s">
        <v>196</v>
      </c>
      <c r="BQ2" s="11" t="s">
        <v>196</v>
      </c>
      <c r="BR2" s="11" t="s">
        <v>196</v>
      </c>
      <c r="BS2" s="11" t="s">
        <v>196</v>
      </c>
      <c r="BT2" s="11" t="s">
        <v>196</v>
      </c>
      <c r="BU2" s="11" t="s">
        <v>196</v>
      </c>
      <c r="BV2" s="11" t="s">
        <v>196</v>
      </c>
      <c r="BW2" s="11" t="s">
        <v>196</v>
      </c>
      <c r="BX2" s="11" t="s">
        <v>198</v>
      </c>
      <c r="BY2" s="11" t="s">
        <v>196</v>
      </c>
      <c r="BZ2" s="11" t="s">
        <v>196</v>
      </c>
      <c r="CA2" s="11" t="s">
        <v>196</v>
      </c>
      <c r="CB2" s="11" t="s">
        <v>196</v>
      </c>
      <c r="CC2" s="11" t="s">
        <v>199</v>
      </c>
      <c r="CD2" s="11" t="s">
        <v>196</v>
      </c>
      <c r="CE2" s="11" t="s">
        <v>198</v>
      </c>
      <c r="CF2" s="11" t="s">
        <v>196</v>
      </c>
      <c r="CG2" s="11" t="s">
        <v>196</v>
      </c>
      <c r="CH2" s="11" t="s">
        <v>196</v>
      </c>
      <c r="CI2" s="11" t="s">
        <v>196</v>
      </c>
      <c r="CJ2" s="11" t="s">
        <v>196</v>
      </c>
      <c r="CK2" s="11" t="s">
        <v>196</v>
      </c>
      <c r="CL2" s="11" t="s">
        <v>196</v>
      </c>
      <c r="CM2" s="11" t="s">
        <v>196</v>
      </c>
      <c r="CN2" s="11" t="s">
        <v>196</v>
      </c>
      <c r="CO2" s="11" t="s">
        <v>196</v>
      </c>
      <c r="CP2" s="11" t="s">
        <v>196</v>
      </c>
      <c r="CQ2" s="11" t="s">
        <v>196</v>
      </c>
      <c r="CR2" s="11" t="s">
        <v>196</v>
      </c>
      <c r="CS2" s="11" t="s">
        <v>196</v>
      </c>
      <c r="CT2" s="11" t="s">
        <v>196</v>
      </c>
      <c r="CU2" s="11" t="s">
        <v>196</v>
      </c>
      <c r="CV2" s="11" t="s">
        <v>196</v>
      </c>
      <c r="CW2" s="11" t="s">
        <v>196</v>
      </c>
      <c r="CX2" s="11" t="s">
        <v>196</v>
      </c>
      <c r="CY2" s="11" t="s">
        <v>199</v>
      </c>
      <c r="CZ2" s="11" t="s">
        <v>196</v>
      </c>
      <c r="DA2" s="11" t="s">
        <v>196</v>
      </c>
      <c r="DB2" s="11" t="s">
        <v>196</v>
      </c>
      <c r="DC2" s="11" t="s">
        <v>200</v>
      </c>
      <c r="DD2" s="11" t="s">
        <v>196</v>
      </c>
      <c r="DE2" s="11" t="s">
        <v>196</v>
      </c>
      <c r="DF2" s="11" t="s">
        <v>196</v>
      </c>
      <c r="DG2" s="11" t="s">
        <v>196</v>
      </c>
      <c r="DH2" s="11" t="s">
        <v>196</v>
      </c>
      <c r="DI2" s="11" t="s">
        <v>196</v>
      </c>
      <c r="DJ2" s="11" t="s">
        <v>196</v>
      </c>
      <c r="DK2" s="11" t="s">
        <v>196</v>
      </c>
      <c r="DL2" s="11" t="s">
        <v>196</v>
      </c>
      <c r="DM2" s="11" t="s">
        <v>196</v>
      </c>
      <c r="DN2" s="11" t="s">
        <v>196</v>
      </c>
      <c r="DO2" s="11" t="s">
        <v>196</v>
      </c>
      <c r="DP2" s="11" t="s">
        <v>196</v>
      </c>
      <c r="DQ2" s="11" t="s">
        <v>196</v>
      </c>
      <c r="DR2" s="11" t="s">
        <v>196</v>
      </c>
      <c r="DS2" s="11" t="s">
        <v>196</v>
      </c>
      <c r="DT2" s="11" t="s">
        <v>196</v>
      </c>
      <c r="DU2" s="11" t="s">
        <v>196</v>
      </c>
      <c r="DV2" s="11" t="s">
        <v>196</v>
      </c>
      <c r="DW2" s="11" t="s">
        <v>196</v>
      </c>
      <c r="DX2" s="11" t="s">
        <v>196</v>
      </c>
      <c r="DY2" s="11" t="s">
        <v>198</v>
      </c>
      <c r="DZ2" s="11" t="s">
        <v>196</v>
      </c>
      <c r="EA2" s="11" t="s">
        <v>196</v>
      </c>
      <c r="EB2" s="11" t="s">
        <v>196</v>
      </c>
      <c r="EC2" s="11" t="s">
        <v>196</v>
      </c>
      <c r="ED2" s="11" t="s">
        <v>200</v>
      </c>
      <c r="EE2" s="11" t="s">
        <v>196</v>
      </c>
      <c r="EF2" s="11" t="s">
        <v>196</v>
      </c>
      <c r="EG2" s="11" t="s">
        <v>196</v>
      </c>
      <c r="EH2" s="11" t="s">
        <v>196</v>
      </c>
      <c r="EI2" s="11" t="s">
        <v>196</v>
      </c>
      <c r="EJ2" s="11" t="s">
        <v>200</v>
      </c>
      <c r="EK2" s="11" t="s">
        <v>196</v>
      </c>
      <c r="EL2" s="11" t="s">
        <v>196</v>
      </c>
      <c r="EM2" s="11" t="s">
        <v>196</v>
      </c>
      <c r="EN2" s="11" t="s">
        <v>196</v>
      </c>
    </row>
    <row r="3" spans="1:144" ht="25.5" customHeight="1">
      <c r="A3" s="7"/>
      <c r="B3" s="7"/>
      <c r="C3" s="8"/>
      <c r="D3" s="11" t="s">
        <v>23</v>
      </c>
      <c r="E3" s="11" t="s">
        <v>201</v>
      </c>
      <c r="F3" s="11" t="s">
        <v>201</v>
      </c>
      <c r="G3" s="11" t="s">
        <v>202</v>
      </c>
      <c r="H3" s="11" t="s">
        <v>201</v>
      </c>
      <c r="I3" s="11" t="s">
        <v>201</v>
      </c>
      <c r="J3" s="11" t="s">
        <v>201</v>
      </c>
      <c r="K3" s="11" t="s">
        <v>201</v>
      </c>
      <c r="L3" s="11" t="s">
        <v>201</v>
      </c>
      <c r="M3" s="11" t="s">
        <v>201</v>
      </c>
      <c r="N3" s="11" t="s">
        <v>201</v>
      </c>
      <c r="O3" s="11" t="s">
        <v>201</v>
      </c>
      <c r="P3" s="11" t="s">
        <v>201</v>
      </c>
      <c r="Q3" s="11" t="s">
        <v>201</v>
      </c>
      <c r="R3" s="11" t="s">
        <v>201</v>
      </c>
      <c r="S3" s="11" t="s">
        <v>201</v>
      </c>
      <c r="T3" s="11" t="s">
        <v>203</v>
      </c>
      <c r="U3" s="11" t="s">
        <v>204</v>
      </c>
      <c r="V3" s="11" t="s">
        <v>204</v>
      </c>
      <c r="W3" s="11" t="s">
        <v>204</v>
      </c>
      <c r="X3" s="11" t="s">
        <v>204</v>
      </c>
      <c r="Y3" s="11" t="s">
        <v>205</v>
      </c>
      <c r="Z3" s="11" t="s">
        <v>204</v>
      </c>
      <c r="AA3" s="11" t="s">
        <v>204</v>
      </c>
      <c r="AB3" s="11" t="s">
        <v>204</v>
      </c>
      <c r="AC3" s="11" t="s">
        <v>204</v>
      </c>
      <c r="AD3" s="11" t="s">
        <v>204</v>
      </c>
      <c r="AE3" s="11" t="s">
        <v>204</v>
      </c>
      <c r="AF3" s="11" t="s">
        <v>206</v>
      </c>
      <c r="AG3" s="11" t="s">
        <v>204</v>
      </c>
      <c r="AH3" s="11" t="s">
        <v>204</v>
      </c>
      <c r="AI3" s="11" t="s">
        <v>207</v>
      </c>
      <c r="AJ3" s="11" t="s">
        <v>207</v>
      </c>
      <c r="AK3" s="11" t="s">
        <v>207</v>
      </c>
      <c r="AL3" s="11" t="s">
        <v>207</v>
      </c>
      <c r="AM3" s="11" t="s">
        <v>207</v>
      </c>
      <c r="AN3" s="11" t="s">
        <v>207</v>
      </c>
      <c r="AO3" s="11" t="s">
        <v>207</v>
      </c>
      <c r="AP3" s="11" t="s">
        <v>207</v>
      </c>
      <c r="AQ3" s="11" t="s">
        <v>207</v>
      </c>
      <c r="AR3" s="11" t="s">
        <v>208</v>
      </c>
      <c r="AS3" s="11" t="s">
        <v>207</v>
      </c>
      <c r="AT3" s="11" t="s">
        <v>207</v>
      </c>
      <c r="AU3" s="11" t="s">
        <v>207</v>
      </c>
      <c r="AV3" s="11" t="s">
        <v>207</v>
      </c>
      <c r="AW3" s="11" t="s">
        <v>207</v>
      </c>
      <c r="AX3" s="11" t="s">
        <v>209</v>
      </c>
      <c r="AY3" s="11" t="s">
        <v>209</v>
      </c>
      <c r="AZ3" s="11" t="s">
        <v>210</v>
      </c>
      <c r="BA3" s="11" t="s">
        <v>209</v>
      </c>
      <c r="BB3" s="11" t="s">
        <v>209</v>
      </c>
      <c r="BC3" s="11" t="s">
        <v>209</v>
      </c>
      <c r="BD3" s="11" t="s">
        <v>209</v>
      </c>
      <c r="BE3" s="11" t="s">
        <v>209</v>
      </c>
      <c r="BF3" s="11" t="s">
        <v>209</v>
      </c>
      <c r="BG3" s="11" t="s">
        <v>209</v>
      </c>
      <c r="BH3" s="11" t="s">
        <v>209</v>
      </c>
      <c r="BI3" s="11" t="s">
        <v>209</v>
      </c>
      <c r="BJ3" s="11" t="s">
        <v>211</v>
      </c>
      <c r="BK3" s="11" t="s">
        <v>209</v>
      </c>
      <c r="BL3" s="11" t="s">
        <v>209</v>
      </c>
      <c r="BM3" s="11" t="s">
        <v>212</v>
      </c>
      <c r="BN3" s="11" t="s">
        <v>212</v>
      </c>
      <c r="BO3" s="11" t="s">
        <v>212</v>
      </c>
      <c r="BP3" s="11" t="s">
        <v>212</v>
      </c>
      <c r="BQ3" s="11" t="s">
        <v>212</v>
      </c>
      <c r="BR3" s="11" t="s">
        <v>212</v>
      </c>
      <c r="BS3" s="11" t="s">
        <v>212</v>
      </c>
      <c r="BT3" s="11" t="s">
        <v>212</v>
      </c>
      <c r="BU3" s="11" t="s">
        <v>212</v>
      </c>
      <c r="BV3" s="11" t="s">
        <v>212</v>
      </c>
      <c r="BW3" s="11" t="s">
        <v>212</v>
      </c>
      <c r="BX3" s="11" t="s">
        <v>213</v>
      </c>
      <c r="BY3" s="11" t="s">
        <v>214</v>
      </c>
      <c r="BZ3" s="11" t="s">
        <v>212</v>
      </c>
      <c r="CA3" s="11" t="s">
        <v>212</v>
      </c>
      <c r="CB3" s="11" t="s">
        <v>215</v>
      </c>
      <c r="CC3" s="11" t="s">
        <v>215</v>
      </c>
      <c r="CD3" s="11" t="s">
        <v>215</v>
      </c>
      <c r="CE3" s="11" t="s">
        <v>216</v>
      </c>
      <c r="CF3" s="11" t="s">
        <v>215</v>
      </c>
      <c r="CG3" s="11" t="s">
        <v>215</v>
      </c>
      <c r="CH3" s="11" t="s">
        <v>215</v>
      </c>
      <c r="CI3" s="11" t="s">
        <v>215</v>
      </c>
      <c r="CJ3" s="11" t="s">
        <v>215</v>
      </c>
      <c r="CK3" s="11" t="s">
        <v>215</v>
      </c>
      <c r="CL3" s="11" t="s">
        <v>215</v>
      </c>
      <c r="CM3" s="11" t="s">
        <v>215</v>
      </c>
      <c r="CN3" s="11" t="s">
        <v>215</v>
      </c>
      <c r="CO3" s="11" t="s">
        <v>215</v>
      </c>
      <c r="CP3" s="11" t="s">
        <v>215</v>
      </c>
      <c r="CQ3" s="11" t="s">
        <v>217</v>
      </c>
      <c r="CR3" s="11" t="s">
        <v>217</v>
      </c>
      <c r="CS3" s="11" t="s">
        <v>217</v>
      </c>
      <c r="CT3" s="11" t="s">
        <v>217</v>
      </c>
      <c r="CU3" s="11" t="s">
        <v>217</v>
      </c>
      <c r="CV3" s="11" t="s">
        <v>217</v>
      </c>
      <c r="CW3" s="11" t="s">
        <v>217</v>
      </c>
      <c r="CX3" s="11" t="s">
        <v>217</v>
      </c>
      <c r="CY3" s="11" t="s">
        <v>217</v>
      </c>
      <c r="CZ3" s="11" t="s">
        <v>217</v>
      </c>
      <c r="DA3" s="11" t="s">
        <v>217</v>
      </c>
      <c r="DB3" s="11" t="s">
        <v>217</v>
      </c>
      <c r="DC3" s="11" t="s">
        <v>217</v>
      </c>
      <c r="DD3" s="11" t="s">
        <v>217</v>
      </c>
      <c r="DE3" s="11" t="s">
        <v>217</v>
      </c>
      <c r="DF3" s="11" t="s">
        <v>218</v>
      </c>
      <c r="DG3" s="11" t="s">
        <v>218</v>
      </c>
      <c r="DH3" s="11" t="s">
        <v>218</v>
      </c>
      <c r="DI3" s="11" t="s">
        <v>218</v>
      </c>
      <c r="DJ3" s="11" t="s">
        <v>218</v>
      </c>
      <c r="DK3" s="11" t="s">
        <v>218</v>
      </c>
      <c r="DL3" s="11" t="s">
        <v>218</v>
      </c>
      <c r="DM3" s="11" t="s">
        <v>218</v>
      </c>
      <c r="DN3" s="11" t="s">
        <v>218</v>
      </c>
      <c r="DO3" s="11" t="s">
        <v>218</v>
      </c>
      <c r="DP3" s="11" t="s">
        <v>218</v>
      </c>
      <c r="DQ3" s="11" t="s">
        <v>218</v>
      </c>
      <c r="DR3" s="11" t="s">
        <v>218</v>
      </c>
      <c r="DS3" s="11" t="s">
        <v>218</v>
      </c>
      <c r="DT3" s="11" t="s">
        <v>218</v>
      </c>
      <c r="DU3" s="11" t="s">
        <v>219</v>
      </c>
      <c r="DV3" s="11" t="s">
        <v>219</v>
      </c>
      <c r="DW3" s="11" t="s">
        <v>219</v>
      </c>
      <c r="DX3" s="11" t="s">
        <v>219</v>
      </c>
      <c r="DY3" s="11" t="s">
        <v>219</v>
      </c>
      <c r="DZ3" s="11" t="s">
        <v>220</v>
      </c>
      <c r="EA3" s="11" t="s">
        <v>221</v>
      </c>
      <c r="EB3" s="11" t="s">
        <v>220</v>
      </c>
      <c r="EC3" s="11" t="s">
        <v>220</v>
      </c>
      <c r="ED3" s="11" t="s">
        <v>221</v>
      </c>
      <c r="EE3" s="11" t="s">
        <v>220</v>
      </c>
      <c r="EF3" s="11" t="s">
        <v>222</v>
      </c>
      <c r="EG3" s="11" t="s">
        <v>220</v>
      </c>
      <c r="EH3" s="11" t="s">
        <v>220</v>
      </c>
      <c r="EI3" s="11" t="s">
        <v>220</v>
      </c>
      <c r="EJ3" s="11" t="s">
        <v>220</v>
      </c>
      <c r="EK3" s="11" t="s">
        <v>220</v>
      </c>
      <c r="EL3" s="11" t="s">
        <v>220</v>
      </c>
      <c r="EM3" s="11" t="s">
        <v>220</v>
      </c>
      <c r="EN3" s="11" t="s">
        <v>220</v>
      </c>
    </row>
    <row r="4" spans="1:144" ht="25.5" customHeight="1">
      <c r="A4" s="7"/>
      <c r="B4" s="7"/>
      <c r="C4" s="8"/>
      <c r="D4" s="11"/>
      <c r="E4" s="11" t="s">
        <v>23</v>
      </c>
      <c r="F4" s="11" t="s">
        <v>223</v>
      </c>
      <c r="G4" s="11" t="s">
        <v>224</v>
      </c>
      <c r="H4" s="11" t="s">
        <v>224</v>
      </c>
      <c r="I4" s="11" t="s">
        <v>224</v>
      </c>
      <c r="J4" s="11" t="s">
        <v>224</v>
      </c>
      <c r="K4" s="11" t="s">
        <v>224</v>
      </c>
      <c r="L4" s="11" t="s">
        <v>224</v>
      </c>
      <c r="M4" s="11" t="s">
        <v>225</v>
      </c>
      <c r="N4" s="11" t="s">
        <v>225</v>
      </c>
      <c r="O4" s="11" t="s">
        <v>225</v>
      </c>
      <c r="P4" s="11" t="s">
        <v>225</v>
      </c>
      <c r="Q4" s="11" t="s">
        <v>225</v>
      </c>
      <c r="R4" s="11" t="s">
        <v>225</v>
      </c>
      <c r="S4" s="11" t="s">
        <v>225</v>
      </c>
      <c r="T4" s="11" t="s">
        <v>23</v>
      </c>
      <c r="U4" s="11" t="s">
        <v>224</v>
      </c>
      <c r="V4" s="11" t="s">
        <v>224</v>
      </c>
      <c r="W4" s="11" t="s">
        <v>224</v>
      </c>
      <c r="X4" s="11" t="s">
        <v>224</v>
      </c>
      <c r="Y4" s="11" t="s">
        <v>224</v>
      </c>
      <c r="Z4" s="11" t="s">
        <v>224</v>
      </c>
      <c r="AA4" s="11" t="s">
        <v>224</v>
      </c>
      <c r="AB4" s="11" t="s">
        <v>225</v>
      </c>
      <c r="AC4" s="11" t="s">
        <v>225</v>
      </c>
      <c r="AD4" s="11" t="s">
        <v>225</v>
      </c>
      <c r="AE4" s="11" t="s">
        <v>225</v>
      </c>
      <c r="AF4" s="11" t="s">
        <v>225</v>
      </c>
      <c r="AG4" s="11" t="s">
        <v>225</v>
      </c>
      <c r="AH4" s="11" t="s">
        <v>225</v>
      </c>
      <c r="AI4" s="11" t="s">
        <v>23</v>
      </c>
      <c r="AJ4" s="11" t="s">
        <v>224</v>
      </c>
      <c r="AK4" s="11" t="s">
        <v>224</v>
      </c>
      <c r="AL4" s="11" t="s">
        <v>224</v>
      </c>
      <c r="AM4" s="11" t="s">
        <v>224</v>
      </c>
      <c r="AN4" s="11" t="s">
        <v>224</v>
      </c>
      <c r="AO4" s="11" t="s">
        <v>224</v>
      </c>
      <c r="AP4" s="11" t="s">
        <v>224</v>
      </c>
      <c r="AQ4" s="11" t="s">
        <v>225</v>
      </c>
      <c r="AR4" s="11" t="s">
        <v>225</v>
      </c>
      <c r="AS4" s="11" t="s">
        <v>225</v>
      </c>
      <c r="AT4" s="11" t="s">
        <v>225</v>
      </c>
      <c r="AU4" s="11" t="s">
        <v>225</v>
      </c>
      <c r="AV4" s="11" t="s">
        <v>225</v>
      </c>
      <c r="AW4" s="11" t="s">
        <v>225</v>
      </c>
      <c r="AX4" s="11" t="s">
        <v>23</v>
      </c>
      <c r="AY4" s="11" t="s">
        <v>224</v>
      </c>
      <c r="AZ4" s="11" t="s">
        <v>224</v>
      </c>
      <c r="BA4" s="11" t="s">
        <v>224</v>
      </c>
      <c r="BB4" s="11" t="s">
        <v>224</v>
      </c>
      <c r="BC4" s="11" t="s">
        <v>224</v>
      </c>
      <c r="BD4" s="11" t="s">
        <v>224</v>
      </c>
      <c r="BE4" s="11" t="s">
        <v>224</v>
      </c>
      <c r="BF4" s="11" t="s">
        <v>225</v>
      </c>
      <c r="BG4" s="11" t="s">
        <v>225</v>
      </c>
      <c r="BH4" s="11" t="s">
        <v>225</v>
      </c>
      <c r="BI4" s="11" t="s">
        <v>225</v>
      </c>
      <c r="BJ4" s="11" t="s">
        <v>225</v>
      </c>
      <c r="BK4" s="11" t="s">
        <v>225</v>
      </c>
      <c r="BL4" s="11" t="s">
        <v>225</v>
      </c>
      <c r="BM4" s="11" t="s">
        <v>23</v>
      </c>
      <c r="BN4" s="11" t="s">
        <v>224</v>
      </c>
      <c r="BO4" s="11" t="s">
        <v>224</v>
      </c>
      <c r="BP4" s="11" t="s">
        <v>224</v>
      </c>
      <c r="BQ4" s="11" t="s">
        <v>224</v>
      </c>
      <c r="BR4" s="11" t="s">
        <v>224</v>
      </c>
      <c r="BS4" s="11" t="s">
        <v>224</v>
      </c>
      <c r="BT4" s="11" t="s">
        <v>224</v>
      </c>
      <c r="BU4" s="11" t="s">
        <v>225</v>
      </c>
      <c r="BV4" s="11" t="s">
        <v>225</v>
      </c>
      <c r="BW4" s="11" t="s">
        <v>225</v>
      </c>
      <c r="BX4" s="11" t="s">
        <v>225</v>
      </c>
      <c r="BY4" s="11" t="s">
        <v>225</v>
      </c>
      <c r="BZ4" s="11" t="s">
        <v>225</v>
      </c>
      <c r="CA4" s="11" t="s">
        <v>225</v>
      </c>
      <c r="CB4" s="11" t="s">
        <v>23</v>
      </c>
      <c r="CC4" s="11" t="s">
        <v>224</v>
      </c>
      <c r="CD4" s="11" t="s">
        <v>224</v>
      </c>
      <c r="CE4" s="11" t="s">
        <v>224</v>
      </c>
      <c r="CF4" s="11" t="s">
        <v>224</v>
      </c>
      <c r="CG4" s="11" t="s">
        <v>224</v>
      </c>
      <c r="CH4" s="11" t="s">
        <v>224</v>
      </c>
      <c r="CI4" s="11" t="s">
        <v>224</v>
      </c>
      <c r="CJ4" s="11" t="s">
        <v>225</v>
      </c>
      <c r="CK4" s="11" t="s">
        <v>225</v>
      </c>
      <c r="CL4" s="11" t="s">
        <v>225</v>
      </c>
      <c r="CM4" s="11" t="s">
        <v>225</v>
      </c>
      <c r="CN4" s="11" t="s">
        <v>225</v>
      </c>
      <c r="CO4" s="11" t="s">
        <v>225</v>
      </c>
      <c r="CP4" s="11" t="s">
        <v>225</v>
      </c>
      <c r="CQ4" s="11" t="s">
        <v>23</v>
      </c>
      <c r="CR4" s="11" t="s">
        <v>224</v>
      </c>
      <c r="CS4" s="11" t="s">
        <v>224</v>
      </c>
      <c r="CT4" s="11" t="s">
        <v>224</v>
      </c>
      <c r="CU4" s="11" t="s">
        <v>224</v>
      </c>
      <c r="CV4" s="11" t="s">
        <v>224</v>
      </c>
      <c r="CW4" s="11" t="s">
        <v>224</v>
      </c>
      <c r="CX4" s="11" t="s">
        <v>224</v>
      </c>
      <c r="CY4" s="11" t="s">
        <v>225</v>
      </c>
      <c r="CZ4" s="11" t="s">
        <v>225</v>
      </c>
      <c r="DA4" s="11" t="s">
        <v>225</v>
      </c>
      <c r="DB4" s="11" t="s">
        <v>225</v>
      </c>
      <c r="DC4" s="11" t="s">
        <v>225</v>
      </c>
      <c r="DD4" s="11" t="s">
        <v>225</v>
      </c>
      <c r="DE4" s="11" t="s">
        <v>225</v>
      </c>
      <c r="DF4" s="11" t="s">
        <v>23</v>
      </c>
      <c r="DG4" s="11" t="s">
        <v>224</v>
      </c>
      <c r="DH4" s="11" t="s">
        <v>224</v>
      </c>
      <c r="DI4" s="11" t="s">
        <v>224</v>
      </c>
      <c r="DJ4" s="11" t="s">
        <v>224</v>
      </c>
      <c r="DK4" s="11" t="s">
        <v>224</v>
      </c>
      <c r="DL4" s="11" t="s">
        <v>224</v>
      </c>
      <c r="DM4" s="11" t="s">
        <v>224</v>
      </c>
      <c r="DN4" s="11" t="s">
        <v>225</v>
      </c>
      <c r="DO4" s="11" t="s">
        <v>225</v>
      </c>
      <c r="DP4" s="11" t="s">
        <v>225</v>
      </c>
      <c r="DQ4" s="11" t="s">
        <v>225</v>
      </c>
      <c r="DR4" s="11" t="s">
        <v>225</v>
      </c>
      <c r="DS4" s="11" t="s">
        <v>225</v>
      </c>
      <c r="DT4" s="11" t="s">
        <v>225</v>
      </c>
      <c r="DU4" s="11" t="s">
        <v>226</v>
      </c>
      <c r="DV4" s="7" t="s">
        <v>227</v>
      </c>
      <c r="DW4" s="7" t="s">
        <v>228</v>
      </c>
      <c r="DX4" s="11" t="s">
        <v>229</v>
      </c>
      <c r="DY4" s="11" t="s">
        <v>230</v>
      </c>
      <c r="DZ4" s="11" t="s">
        <v>23</v>
      </c>
      <c r="EA4" s="11" t="s">
        <v>224</v>
      </c>
      <c r="EB4" s="11" t="s">
        <v>224</v>
      </c>
      <c r="EC4" s="11" t="s">
        <v>224</v>
      </c>
      <c r="ED4" s="11" t="s">
        <v>224</v>
      </c>
      <c r="EE4" s="11" t="s">
        <v>224</v>
      </c>
      <c r="EF4" s="11" t="s">
        <v>224</v>
      </c>
      <c r="EG4" s="11" t="s">
        <v>224</v>
      </c>
      <c r="EH4" s="11" t="s">
        <v>225</v>
      </c>
      <c r="EI4" s="11" t="s">
        <v>225</v>
      </c>
      <c r="EJ4" s="11" t="s">
        <v>225</v>
      </c>
      <c r="EK4" s="11" t="s">
        <v>225</v>
      </c>
      <c r="EL4" s="11" t="s">
        <v>225</v>
      </c>
      <c r="EM4" s="11" t="s">
        <v>225</v>
      </c>
      <c r="EN4" s="11" t="s">
        <v>225</v>
      </c>
    </row>
    <row r="5" spans="1:144" ht="22.5" customHeight="1">
      <c r="A5" s="7"/>
      <c r="B5" s="7"/>
      <c r="C5" s="8"/>
      <c r="D5" s="11"/>
      <c r="E5" s="11"/>
      <c r="F5" s="11" t="s">
        <v>23</v>
      </c>
      <c r="G5" s="11" t="s">
        <v>182</v>
      </c>
      <c r="H5" s="11" t="s">
        <v>183</v>
      </c>
      <c r="I5" s="11" t="s">
        <v>184</v>
      </c>
      <c r="J5" s="11" t="s">
        <v>185</v>
      </c>
      <c r="K5" s="11" t="s">
        <v>231</v>
      </c>
      <c r="L5" s="11" t="s">
        <v>232</v>
      </c>
      <c r="M5" s="11" t="s">
        <v>23</v>
      </c>
      <c r="N5" s="11" t="s">
        <v>182</v>
      </c>
      <c r="O5" s="11" t="s">
        <v>183</v>
      </c>
      <c r="P5" s="11" t="s">
        <v>184</v>
      </c>
      <c r="Q5" s="11" t="s">
        <v>185</v>
      </c>
      <c r="R5" s="11" t="s">
        <v>231</v>
      </c>
      <c r="S5" s="11" t="s">
        <v>187</v>
      </c>
      <c r="T5" s="11"/>
      <c r="U5" s="11" t="s">
        <v>23</v>
      </c>
      <c r="V5" s="11" t="s">
        <v>182</v>
      </c>
      <c r="W5" s="11" t="s">
        <v>183</v>
      </c>
      <c r="X5" s="11" t="s">
        <v>233</v>
      </c>
      <c r="Y5" s="11" t="s">
        <v>185</v>
      </c>
      <c r="Z5" s="11" t="s">
        <v>231</v>
      </c>
      <c r="AA5" s="11" t="s">
        <v>187</v>
      </c>
      <c r="AB5" s="11" t="s">
        <v>23</v>
      </c>
      <c r="AC5" s="11" t="s">
        <v>234</v>
      </c>
      <c r="AD5" s="11" t="s">
        <v>183</v>
      </c>
      <c r="AE5" s="11" t="s">
        <v>184</v>
      </c>
      <c r="AF5" s="11" t="s">
        <v>185</v>
      </c>
      <c r="AG5" s="11" t="s">
        <v>231</v>
      </c>
      <c r="AH5" s="11" t="s">
        <v>187</v>
      </c>
      <c r="AI5" s="11"/>
      <c r="AJ5" s="11" t="s">
        <v>23</v>
      </c>
      <c r="AK5" s="11" t="s">
        <v>235</v>
      </c>
      <c r="AL5" s="11" t="s">
        <v>183</v>
      </c>
      <c r="AM5" s="11" t="s">
        <v>184</v>
      </c>
      <c r="AN5" s="11" t="s">
        <v>185</v>
      </c>
      <c r="AO5" s="11" t="s">
        <v>231</v>
      </c>
      <c r="AP5" s="11" t="s">
        <v>187</v>
      </c>
      <c r="AQ5" s="11" t="s">
        <v>23</v>
      </c>
      <c r="AR5" s="11" t="s">
        <v>182</v>
      </c>
      <c r="AS5" s="11" t="s">
        <v>183</v>
      </c>
      <c r="AT5" s="11" t="s">
        <v>184</v>
      </c>
      <c r="AU5" s="11" t="s">
        <v>185</v>
      </c>
      <c r="AV5" s="11" t="s">
        <v>231</v>
      </c>
      <c r="AW5" s="11" t="s">
        <v>187</v>
      </c>
      <c r="AX5" s="11"/>
      <c r="AY5" s="11" t="s">
        <v>23</v>
      </c>
      <c r="AZ5" s="11" t="s">
        <v>182</v>
      </c>
      <c r="BA5" s="11" t="s">
        <v>183</v>
      </c>
      <c r="BB5" s="11" t="s">
        <v>184</v>
      </c>
      <c r="BC5" s="11" t="s">
        <v>185</v>
      </c>
      <c r="BD5" s="11" t="s">
        <v>231</v>
      </c>
      <c r="BE5" s="11" t="s">
        <v>187</v>
      </c>
      <c r="BF5" s="11" t="s">
        <v>236</v>
      </c>
      <c r="BG5" s="11" t="s">
        <v>182</v>
      </c>
      <c r="BH5" s="11" t="s">
        <v>183</v>
      </c>
      <c r="BI5" s="11" t="s">
        <v>184</v>
      </c>
      <c r="BJ5" s="11" t="s">
        <v>237</v>
      </c>
      <c r="BK5" s="11" t="s">
        <v>231</v>
      </c>
      <c r="BL5" s="11" t="s">
        <v>187</v>
      </c>
      <c r="BM5" s="11"/>
      <c r="BN5" s="11" t="s">
        <v>23</v>
      </c>
      <c r="BO5" s="11" t="s">
        <v>182</v>
      </c>
      <c r="BP5" s="11" t="s">
        <v>183</v>
      </c>
      <c r="BQ5" s="11" t="s">
        <v>184</v>
      </c>
      <c r="BR5" s="11" t="s">
        <v>185</v>
      </c>
      <c r="BS5" s="11" t="s">
        <v>231</v>
      </c>
      <c r="BT5" s="11" t="s">
        <v>187</v>
      </c>
      <c r="BU5" s="11" t="s">
        <v>23</v>
      </c>
      <c r="BV5" s="11" t="s">
        <v>182</v>
      </c>
      <c r="BW5" s="11" t="s">
        <v>238</v>
      </c>
      <c r="BX5" s="11" t="s">
        <v>184</v>
      </c>
      <c r="BY5" s="11" t="s">
        <v>237</v>
      </c>
      <c r="BZ5" s="11" t="s">
        <v>231</v>
      </c>
      <c r="CA5" s="11" t="s">
        <v>187</v>
      </c>
      <c r="CB5" s="11"/>
      <c r="CC5" s="11" t="s">
        <v>23</v>
      </c>
      <c r="CD5" s="11" t="s">
        <v>182</v>
      </c>
      <c r="CE5" s="11" t="s">
        <v>183</v>
      </c>
      <c r="CF5" s="11" t="s">
        <v>184</v>
      </c>
      <c r="CG5" s="11" t="s">
        <v>185</v>
      </c>
      <c r="CH5" s="11" t="s">
        <v>231</v>
      </c>
      <c r="CI5" s="11" t="s">
        <v>187</v>
      </c>
      <c r="CJ5" s="11" t="s">
        <v>239</v>
      </c>
      <c r="CK5" s="11" t="s">
        <v>182</v>
      </c>
      <c r="CL5" s="11" t="s">
        <v>183</v>
      </c>
      <c r="CM5" s="11" t="s">
        <v>184</v>
      </c>
      <c r="CN5" s="11" t="s">
        <v>185</v>
      </c>
      <c r="CO5" s="11" t="s">
        <v>231</v>
      </c>
      <c r="CP5" s="11" t="s">
        <v>187</v>
      </c>
      <c r="CQ5" s="11"/>
      <c r="CR5" s="11" t="s">
        <v>23</v>
      </c>
      <c r="CS5" s="11" t="s">
        <v>182</v>
      </c>
      <c r="CT5" s="11" t="s">
        <v>183</v>
      </c>
      <c r="CU5" s="11" t="s">
        <v>184</v>
      </c>
      <c r="CV5" s="11" t="s">
        <v>185</v>
      </c>
      <c r="CW5" s="11" t="s">
        <v>231</v>
      </c>
      <c r="CX5" s="11" t="s">
        <v>187</v>
      </c>
      <c r="CY5" s="11" t="s">
        <v>23</v>
      </c>
      <c r="CZ5" s="11" t="s">
        <v>182</v>
      </c>
      <c r="DA5" s="11" t="s">
        <v>183</v>
      </c>
      <c r="DB5" s="11" t="s">
        <v>184</v>
      </c>
      <c r="DC5" s="11" t="s">
        <v>185</v>
      </c>
      <c r="DD5" s="11" t="s">
        <v>231</v>
      </c>
      <c r="DE5" s="11" t="s">
        <v>187</v>
      </c>
      <c r="DF5" s="11"/>
      <c r="DG5" s="11" t="s">
        <v>23</v>
      </c>
      <c r="DH5" s="11" t="s">
        <v>182</v>
      </c>
      <c r="DI5" s="11" t="s">
        <v>183</v>
      </c>
      <c r="DJ5" s="11" t="s">
        <v>184</v>
      </c>
      <c r="DK5" s="11" t="s">
        <v>185</v>
      </c>
      <c r="DL5" s="11" t="s">
        <v>231</v>
      </c>
      <c r="DM5" s="11" t="s">
        <v>187</v>
      </c>
      <c r="DN5" s="11" t="s">
        <v>23</v>
      </c>
      <c r="DO5" s="11" t="s">
        <v>182</v>
      </c>
      <c r="DP5" s="11" t="s">
        <v>183</v>
      </c>
      <c r="DQ5" s="11" t="s">
        <v>184</v>
      </c>
      <c r="DR5" s="11" t="s">
        <v>185</v>
      </c>
      <c r="DS5" s="11" t="s">
        <v>231</v>
      </c>
      <c r="DT5" s="11" t="s">
        <v>187</v>
      </c>
      <c r="DU5" s="11"/>
      <c r="DV5" s="11" t="s">
        <v>185</v>
      </c>
      <c r="DW5" s="11" t="s">
        <v>231</v>
      </c>
      <c r="DX5" s="11" t="s">
        <v>185</v>
      </c>
      <c r="DY5" s="11" t="s">
        <v>231</v>
      </c>
      <c r="DZ5" s="11"/>
      <c r="EA5" s="11" t="s">
        <v>23</v>
      </c>
      <c r="EB5" s="11" t="s">
        <v>182</v>
      </c>
      <c r="EC5" s="11" t="s">
        <v>183</v>
      </c>
      <c r="ED5" s="11" t="s">
        <v>184</v>
      </c>
      <c r="EE5" s="11" t="s">
        <v>185</v>
      </c>
      <c r="EF5" s="11" t="s">
        <v>231</v>
      </c>
      <c r="EG5" s="11" t="s">
        <v>187</v>
      </c>
      <c r="EH5" s="11" t="s">
        <v>23</v>
      </c>
      <c r="EI5" s="11" t="s">
        <v>182</v>
      </c>
      <c r="EJ5" s="11" t="s">
        <v>240</v>
      </c>
      <c r="EK5" s="11" t="s">
        <v>184</v>
      </c>
      <c r="EL5" s="11" t="s">
        <v>185</v>
      </c>
      <c r="EM5" s="11" t="s">
        <v>231</v>
      </c>
      <c r="EN5" s="11" t="s">
        <v>187</v>
      </c>
    </row>
    <row r="6" spans="1:144" s="12" customFormat="1" ht="13.5" customHeight="1">
      <c r="A6" s="7"/>
      <c r="B6" s="7"/>
      <c r="C6" s="8"/>
      <c r="D6" s="11" t="s">
        <v>51</v>
      </c>
      <c r="E6" s="11" t="s">
        <v>51</v>
      </c>
      <c r="F6" s="11" t="s">
        <v>241</v>
      </c>
      <c r="G6" s="11" t="s">
        <v>51</v>
      </c>
      <c r="H6" s="11" t="s">
        <v>51</v>
      </c>
      <c r="I6" s="11" t="s">
        <v>51</v>
      </c>
      <c r="J6" s="11" t="s">
        <v>51</v>
      </c>
      <c r="K6" s="11" t="s">
        <v>54</v>
      </c>
      <c r="L6" s="11" t="s">
        <v>51</v>
      </c>
      <c r="M6" s="11" t="s">
        <v>51</v>
      </c>
      <c r="N6" s="11" t="s">
        <v>51</v>
      </c>
      <c r="O6" s="11" t="s">
        <v>51</v>
      </c>
      <c r="P6" s="11" t="s">
        <v>51</v>
      </c>
      <c r="Q6" s="11" t="s">
        <v>51</v>
      </c>
      <c r="R6" s="11" t="s">
        <v>54</v>
      </c>
      <c r="S6" s="11" t="s">
        <v>51</v>
      </c>
      <c r="T6" s="11" t="s">
        <v>241</v>
      </c>
      <c r="U6" s="11" t="s">
        <v>54</v>
      </c>
      <c r="V6" s="11" t="s">
        <v>54</v>
      </c>
      <c r="W6" s="11" t="s">
        <v>54</v>
      </c>
      <c r="X6" s="11" t="s">
        <v>51</v>
      </c>
      <c r="Y6" s="11" t="s">
        <v>51</v>
      </c>
      <c r="Z6" s="11" t="s">
        <v>51</v>
      </c>
      <c r="AA6" s="11" t="s">
        <v>54</v>
      </c>
      <c r="AB6" s="11" t="s">
        <v>51</v>
      </c>
      <c r="AC6" s="11" t="s">
        <v>54</v>
      </c>
      <c r="AD6" s="11" t="s">
        <v>241</v>
      </c>
      <c r="AE6" s="11" t="s">
        <v>54</v>
      </c>
      <c r="AF6" s="11" t="s">
        <v>54</v>
      </c>
      <c r="AG6" s="11" t="s">
        <v>54</v>
      </c>
      <c r="AH6" s="11" t="s">
        <v>54</v>
      </c>
      <c r="AI6" s="11" t="s">
        <v>54</v>
      </c>
      <c r="AJ6" s="11" t="s">
        <v>51</v>
      </c>
      <c r="AK6" s="11" t="s">
        <v>54</v>
      </c>
      <c r="AL6" s="11" t="s">
        <v>51</v>
      </c>
      <c r="AM6" s="11" t="s">
        <v>54</v>
      </c>
      <c r="AN6" s="11" t="s">
        <v>51</v>
      </c>
      <c r="AO6" s="11" t="s">
        <v>54</v>
      </c>
      <c r="AP6" s="11" t="s">
        <v>54</v>
      </c>
      <c r="AQ6" s="11" t="s">
        <v>54</v>
      </c>
      <c r="AR6" s="11" t="s">
        <v>54</v>
      </c>
      <c r="AS6" s="11" t="s">
        <v>54</v>
      </c>
      <c r="AT6" s="11" t="s">
        <v>54</v>
      </c>
      <c r="AU6" s="11" t="s">
        <v>54</v>
      </c>
      <c r="AV6" s="11" t="s">
        <v>54</v>
      </c>
      <c r="AW6" s="11" t="s">
        <v>54</v>
      </c>
      <c r="AX6" s="11" t="s">
        <v>54</v>
      </c>
      <c r="AY6" s="11" t="s">
        <v>54</v>
      </c>
      <c r="AZ6" s="11" t="s">
        <v>54</v>
      </c>
      <c r="BA6" s="11" t="s">
        <v>54</v>
      </c>
      <c r="BB6" s="11" t="s">
        <v>54</v>
      </c>
      <c r="BC6" s="11" t="s">
        <v>242</v>
      </c>
      <c r="BD6" s="11" t="s">
        <v>54</v>
      </c>
      <c r="BE6" s="11" t="s">
        <v>54</v>
      </c>
      <c r="BF6" s="11" t="s">
        <v>54</v>
      </c>
      <c r="BG6" s="11" t="s">
        <v>54</v>
      </c>
      <c r="BH6" s="11" t="s">
        <v>54</v>
      </c>
      <c r="BI6" s="11" t="s">
        <v>54</v>
      </c>
      <c r="BJ6" s="11" t="s">
        <v>51</v>
      </c>
      <c r="BK6" s="11" t="s">
        <v>54</v>
      </c>
      <c r="BL6" s="11" t="s">
        <v>54</v>
      </c>
      <c r="BM6" s="11" t="s">
        <v>54</v>
      </c>
      <c r="BN6" s="11" t="s">
        <v>54</v>
      </c>
      <c r="BO6" s="11" t="s">
        <v>54</v>
      </c>
      <c r="BP6" s="11" t="s">
        <v>54</v>
      </c>
      <c r="BQ6" s="11" t="s">
        <v>54</v>
      </c>
      <c r="BR6" s="11" t="s">
        <v>54</v>
      </c>
      <c r="BS6" s="11" t="s">
        <v>54</v>
      </c>
      <c r="BT6" s="11" t="s">
        <v>54</v>
      </c>
      <c r="BU6" s="11" t="s">
        <v>54</v>
      </c>
      <c r="BV6" s="11" t="s">
        <v>54</v>
      </c>
      <c r="BW6" s="11" t="s">
        <v>54</v>
      </c>
      <c r="BX6" s="11" t="s">
        <v>54</v>
      </c>
      <c r="BY6" s="11" t="s">
        <v>54</v>
      </c>
      <c r="BZ6" s="11" t="s">
        <v>54</v>
      </c>
      <c r="CA6" s="11" t="s">
        <v>54</v>
      </c>
      <c r="CB6" s="11" t="s">
        <v>54</v>
      </c>
      <c r="CC6" s="11" t="s">
        <v>54</v>
      </c>
      <c r="CD6" s="11" t="s">
        <v>54</v>
      </c>
      <c r="CE6" s="11" t="s">
        <v>54</v>
      </c>
      <c r="CF6" s="11" t="s">
        <v>54</v>
      </c>
      <c r="CG6" s="11" t="s">
        <v>54</v>
      </c>
      <c r="CH6" s="11" t="s">
        <v>54</v>
      </c>
      <c r="CI6" s="11" t="s">
        <v>54</v>
      </c>
      <c r="CJ6" s="11" t="s">
        <v>54</v>
      </c>
      <c r="CK6" s="11" t="s">
        <v>54</v>
      </c>
      <c r="CL6" s="11" t="s">
        <v>54</v>
      </c>
      <c r="CM6" s="11" t="s">
        <v>54</v>
      </c>
      <c r="CN6" s="11" t="s">
        <v>54</v>
      </c>
      <c r="CO6" s="11" t="s">
        <v>54</v>
      </c>
      <c r="CP6" s="11" t="s">
        <v>54</v>
      </c>
      <c r="CQ6" s="11" t="s">
        <v>54</v>
      </c>
      <c r="CR6" s="11" t="s">
        <v>54</v>
      </c>
      <c r="CS6" s="11" t="s">
        <v>54</v>
      </c>
      <c r="CT6" s="11" t="s">
        <v>54</v>
      </c>
      <c r="CU6" s="11" t="s">
        <v>54</v>
      </c>
      <c r="CV6" s="11" t="s">
        <v>54</v>
      </c>
      <c r="CW6" s="11" t="s">
        <v>54</v>
      </c>
      <c r="CX6" s="11" t="s">
        <v>54</v>
      </c>
      <c r="CY6" s="11" t="s">
        <v>54</v>
      </c>
      <c r="CZ6" s="11" t="s">
        <v>54</v>
      </c>
      <c r="DA6" s="11" t="s">
        <v>54</v>
      </c>
      <c r="DB6" s="11" t="s">
        <v>54</v>
      </c>
      <c r="DC6" s="11" t="s">
        <v>54</v>
      </c>
      <c r="DD6" s="11" t="s">
        <v>54</v>
      </c>
      <c r="DE6" s="11" t="s">
        <v>54</v>
      </c>
      <c r="DF6" s="11" t="s">
        <v>54</v>
      </c>
      <c r="DG6" s="11" t="s">
        <v>54</v>
      </c>
      <c r="DH6" s="11" t="s">
        <v>54</v>
      </c>
      <c r="DI6" s="11" t="s">
        <v>54</v>
      </c>
      <c r="DJ6" s="11" t="s">
        <v>54</v>
      </c>
      <c r="DK6" s="11" t="s">
        <v>54</v>
      </c>
      <c r="DL6" s="11" t="s">
        <v>54</v>
      </c>
      <c r="DM6" s="11" t="s">
        <v>54</v>
      </c>
      <c r="DN6" s="11" t="s">
        <v>54</v>
      </c>
      <c r="DO6" s="11" t="s">
        <v>54</v>
      </c>
      <c r="DP6" s="11" t="s">
        <v>54</v>
      </c>
      <c r="DQ6" s="11" t="s">
        <v>54</v>
      </c>
      <c r="DR6" s="11" t="s">
        <v>54</v>
      </c>
      <c r="DS6" s="11" t="s">
        <v>54</v>
      </c>
      <c r="DT6" s="11" t="s">
        <v>54</v>
      </c>
      <c r="DU6" s="11" t="s">
        <v>54</v>
      </c>
      <c r="DV6" s="11" t="s">
        <v>54</v>
      </c>
      <c r="DW6" s="11" t="s">
        <v>54</v>
      </c>
      <c r="DX6" s="11" t="s">
        <v>54</v>
      </c>
      <c r="DY6" s="11" t="s">
        <v>54</v>
      </c>
      <c r="DZ6" s="11" t="s">
        <v>54</v>
      </c>
      <c r="EA6" s="11" t="s">
        <v>54</v>
      </c>
      <c r="EB6" s="11" t="s">
        <v>54</v>
      </c>
      <c r="EC6" s="11" t="s">
        <v>54</v>
      </c>
      <c r="ED6" s="11" t="s">
        <v>54</v>
      </c>
      <c r="EE6" s="11" t="s">
        <v>54</v>
      </c>
      <c r="EF6" s="11" t="s">
        <v>54</v>
      </c>
      <c r="EG6" s="11" t="s">
        <v>54</v>
      </c>
      <c r="EH6" s="11" t="s">
        <v>54</v>
      </c>
      <c r="EI6" s="11" t="s">
        <v>54</v>
      </c>
      <c r="EJ6" s="11" t="s">
        <v>54</v>
      </c>
      <c r="EK6" s="11" t="s">
        <v>54</v>
      </c>
      <c r="EL6" s="11" t="s">
        <v>54</v>
      </c>
      <c r="EM6" s="11" t="s">
        <v>54</v>
      </c>
      <c r="EN6" s="11" t="s">
        <v>54</v>
      </c>
    </row>
    <row r="7" spans="1:144" ht="13.5" customHeight="1">
      <c r="A7" s="17" t="s">
        <v>57</v>
      </c>
      <c r="B7" s="18" t="s">
        <v>58</v>
      </c>
      <c r="C7" s="17" t="s">
        <v>59</v>
      </c>
      <c r="D7" s="19">
        <v>1672680</v>
      </c>
      <c r="E7" s="19">
        <v>1077330</v>
      </c>
      <c r="F7" s="19">
        <v>994103</v>
      </c>
      <c r="G7" s="19">
        <v>0</v>
      </c>
      <c r="H7" s="19">
        <v>990591</v>
      </c>
      <c r="I7" s="19">
        <v>468</v>
      </c>
      <c r="J7" s="19">
        <v>1199</v>
      </c>
      <c r="K7" s="19">
        <v>581</v>
      </c>
      <c r="L7" s="19">
        <v>1264</v>
      </c>
      <c r="M7" s="19">
        <v>83227</v>
      </c>
      <c r="N7" s="19">
        <v>1874</v>
      </c>
      <c r="O7" s="19">
        <v>78370</v>
      </c>
      <c r="P7" s="19">
        <v>509</v>
      </c>
      <c r="Q7" s="19">
        <v>52</v>
      </c>
      <c r="R7" s="19">
        <v>255</v>
      </c>
      <c r="S7" s="19">
        <v>2167</v>
      </c>
      <c r="T7" s="19">
        <v>122585</v>
      </c>
      <c r="U7" s="19">
        <v>72381</v>
      </c>
      <c r="V7" s="19">
        <v>2265</v>
      </c>
      <c r="W7" s="19">
        <v>0</v>
      </c>
      <c r="X7" s="19">
        <v>39619</v>
      </c>
      <c r="Y7" s="19">
        <v>1283</v>
      </c>
      <c r="Z7" s="19">
        <v>1950</v>
      </c>
      <c r="AA7" s="19">
        <v>27264</v>
      </c>
      <c r="AB7" s="19">
        <v>50204</v>
      </c>
      <c r="AC7" s="19">
        <v>1349</v>
      </c>
      <c r="AD7" s="19">
        <v>270</v>
      </c>
      <c r="AE7" s="19">
        <v>18519</v>
      </c>
      <c r="AF7" s="19">
        <v>38</v>
      </c>
      <c r="AG7" s="19">
        <v>198</v>
      </c>
      <c r="AH7" s="19">
        <v>29830</v>
      </c>
      <c r="AI7" s="19">
        <v>31741</v>
      </c>
      <c r="AJ7" s="19">
        <v>26854</v>
      </c>
      <c r="AK7" s="19">
        <v>0</v>
      </c>
      <c r="AL7" s="19">
        <v>0</v>
      </c>
      <c r="AM7" s="19">
        <v>2891</v>
      </c>
      <c r="AN7" s="19">
        <v>17360</v>
      </c>
      <c r="AO7" s="19">
        <v>6603</v>
      </c>
      <c r="AP7" s="19">
        <v>0</v>
      </c>
      <c r="AQ7" s="19">
        <v>4887</v>
      </c>
      <c r="AR7" s="19">
        <v>0</v>
      </c>
      <c r="AS7" s="19">
        <v>0</v>
      </c>
      <c r="AT7" s="19">
        <v>74</v>
      </c>
      <c r="AU7" s="19">
        <v>4803</v>
      </c>
      <c r="AV7" s="19">
        <v>10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15518</v>
      </c>
      <c r="BN7" s="19">
        <v>13820</v>
      </c>
      <c r="BO7" s="19">
        <v>0</v>
      </c>
      <c r="BP7" s="19">
        <v>0</v>
      </c>
      <c r="BQ7" s="19">
        <v>0</v>
      </c>
      <c r="BR7" s="19">
        <v>11056</v>
      </c>
      <c r="BS7" s="19">
        <v>2764</v>
      </c>
      <c r="BT7" s="19">
        <v>0</v>
      </c>
      <c r="BU7" s="19">
        <v>1698</v>
      </c>
      <c r="BV7" s="19">
        <v>0</v>
      </c>
      <c r="BW7" s="19">
        <v>0</v>
      </c>
      <c r="BX7" s="19">
        <v>0</v>
      </c>
      <c r="BY7" s="19">
        <v>1055</v>
      </c>
      <c r="BZ7" s="19">
        <v>643</v>
      </c>
      <c r="CA7" s="19">
        <v>0</v>
      </c>
      <c r="CB7" s="19">
        <v>21163</v>
      </c>
      <c r="CC7" s="19">
        <v>18138</v>
      </c>
      <c r="CD7" s="19">
        <v>1317</v>
      </c>
      <c r="CE7" s="19">
        <v>5475</v>
      </c>
      <c r="CF7" s="19">
        <v>166</v>
      </c>
      <c r="CG7" s="19">
        <v>10921</v>
      </c>
      <c r="CH7" s="19">
        <v>110</v>
      </c>
      <c r="CI7" s="19">
        <v>149</v>
      </c>
      <c r="CJ7" s="19">
        <v>3025</v>
      </c>
      <c r="CK7" s="19">
        <v>163</v>
      </c>
      <c r="CL7" s="19">
        <v>979</v>
      </c>
      <c r="CM7" s="19">
        <v>141</v>
      </c>
      <c r="CN7" s="19">
        <v>1559</v>
      </c>
      <c r="CO7" s="19">
        <v>31</v>
      </c>
      <c r="CP7" s="19">
        <v>152</v>
      </c>
      <c r="CQ7" s="19">
        <v>241676</v>
      </c>
      <c r="CR7" s="19">
        <v>233415</v>
      </c>
      <c r="CS7" s="19">
        <v>1344</v>
      </c>
      <c r="CT7" s="19">
        <v>10</v>
      </c>
      <c r="CU7" s="19">
        <v>2690</v>
      </c>
      <c r="CV7" s="19">
        <v>226028</v>
      </c>
      <c r="CW7" s="19">
        <v>2015</v>
      </c>
      <c r="CX7" s="19">
        <v>1328</v>
      </c>
      <c r="CY7" s="19">
        <v>8261</v>
      </c>
      <c r="CZ7" s="19">
        <v>227</v>
      </c>
      <c r="DA7" s="19">
        <v>0</v>
      </c>
      <c r="DB7" s="19">
        <v>2085</v>
      </c>
      <c r="DC7" s="19">
        <v>4559</v>
      </c>
      <c r="DD7" s="19">
        <v>119</v>
      </c>
      <c r="DE7" s="19">
        <v>1271</v>
      </c>
      <c r="DF7" s="19">
        <v>4609</v>
      </c>
      <c r="DG7" s="19">
        <v>3603</v>
      </c>
      <c r="DH7" s="19">
        <v>0</v>
      </c>
      <c r="DI7" s="19">
        <v>129</v>
      </c>
      <c r="DJ7" s="19">
        <v>2718</v>
      </c>
      <c r="DK7" s="19">
        <v>345</v>
      </c>
      <c r="DL7" s="19">
        <v>333</v>
      </c>
      <c r="DM7" s="19">
        <v>78</v>
      </c>
      <c r="DN7" s="19">
        <v>1006</v>
      </c>
      <c r="DO7" s="19">
        <v>249</v>
      </c>
      <c r="DP7" s="19">
        <v>0</v>
      </c>
      <c r="DQ7" s="19">
        <v>195</v>
      </c>
      <c r="DR7" s="19">
        <v>126</v>
      </c>
      <c r="DS7" s="19">
        <v>109</v>
      </c>
      <c r="DT7" s="19">
        <v>327</v>
      </c>
      <c r="DU7" s="19">
        <v>33234</v>
      </c>
      <c r="DV7" s="19">
        <v>20175</v>
      </c>
      <c r="DW7" s="19">
        <v>322</v>
      </c>
      <c r="DX7" s="19">
        <v>12609</v>
      </c>
      <c r="DY7" s="19">
        <v>128</v>
      </c>
      <c r="DZ7" s="19">
        <v>124824</v>
      </c>
      <c r="EA7" s="19">
        <v>79052</v>
      </c>
      <c r="EB7" s="19">
        <v>29536</v>
      </c>
      <c r="EC7" s="19">
        <v>4947</v>
      </c>
      <c r="ED7" s="19">
        <v>38414</v>
      </c>
      <c r="EE7" s="19">
        <v>148</v>
      </c>
      <c r="EF7" s="19">
        <v>3321</v>
      </c>
      <c r="EG7" s="19">
        <v>2686</v>
      </c>
      <c r="EH7" s="19">
        <v>45772</v>
      </c>
      <c r="EI7" s="19">
        <v>13299</v>
      </c>
      <c r="EJ7" s="19">
        <v>4027</v>
      </c>
      <c r="EK7" s="19">
        <v>22837</v>
      </c>
      <c r="EL7" s="19">
        <v>561</v>
      </c>
      <c r="EM7" s="19">
        <v>2651</v>
      </c>
      <c r="EN7" s="19">
        <v>2397</v>
      </c>
    </row>
    <row r="8" spans="1:144" ht="13.5" customHeight="1">
      <c r="A8" s="17" t="s">
        <v>60</v>
      </c>
      <c r="B8" s="18" t="s">
        <v>61</v>
      </c>
      <c r="C8" s="17" t="s">
        <v>59</v>
      </c>
      <c r="D8" s="19">
        <v>446995</v>
      </c>
      <c r="E8" s="19">
        <v>369338</v>
      </c>
      <c r="F8" s="19">
        <v>347930</v>
      </c>
      <c r="G8" s="19">
        <v>0</v>
      </c>
      <c r="H8" s="19">
        <v>347294</v>
      </c>
      <c r="I8" s="19">
        <v>0</v>
      </c>
      <c r="J8" s="19">
        <v>599</v>
      </c>
      <c r="K8" s="19">
        <v>0</v>
      </c>
      <c r="L8" s="19">
        <v>37</v>
      </c>
      <c r="M8" s="19">
        <v>21408</v>
      </c>
      <c r="N8" s="19">
        <v>0</v>
      </c>
      <c r="O8" s="19">
        <v>21285</v>
      </c>
      <c r="P8" s="19">
        <v>0</v>
      </c>
      <c r="Q8" s="19">
        <v>0</v>
      </c>
      <c r="R8" s="19">
        <v>15</v>
      </c>
      <c r="S8" s="19">
        <v>108</v>
      </c>
      <c r="T8" s="19">
        <v>17242</v>
      </c>
      <c r="U8" s="19">
        <v>12031</v>
      </c>
      <c r="V8" s="19">
        <v>0</v>
      </c>
      <c r="W8" s="19">
        <v>0</v>
      </c>
      <c r="X8" s="19">
        <v>6609</v>
      </c>
      <c r="Y8" s="19">
        <v>1</v>
      </c>
      <c r="Z8" s="19">
        <v>0</v>
      </c>
      <c r="AA8" s="19">
        <v>5421</v>
      </c>
      <c r="AB8" s="19">
        <v>5211</v>
      </c>
      <c r="AC8" s="19">
        <v>0</v>
      </c>
      <c r="AD8" s="19">
        <v>52</v>
      </c>
      <c r="AE8" s="19">
        <v>895</v>
      </c>
      <c r="AF8" s="19">
        <v>28</v>
      </c>
      <c r="AG8" s="19">
        <v>0</v>
      </c>
      <c r="AH8" s="19">
        <v>4236</v>
      </c>
      <c r="AI8" s="19">
        <v>690</v>
      </c>
      <c r="AJ8" s="19">
        <v>4</v>
      </c>
      <c r="AK8" s="19">
        <v>0</v>
      </c>
      <c r="AL8" s="19">
        <v>0</v>
      </c>
      <c r="AM8" s="19">
        <v>0</v>
      </c>
      <c r="AN8" s="19">
        <v>4</v>
      </c>
      <c r="AO8" s="19">
        <v>0</v>
      </c>
      <c r="AP8" s="19">
        <v>0</v>
      </c>
      <c r="AQ8" s="19">
        <v>686</v>
      </c>
      <c r="AR8" s="19">
        <v>0</v>
      </c>
      <c r="AS8" s="19">
        <v>0</v>
      </c>
      <c r="AT8" s="19">
        <v>0</v>
      </c>
      <c r="AU8" s="19">
        <v>686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36</v>
      </c>
      <c r="CC8" s="19">
        <v>36</v>
      </c>
      <c r="CD8" s="19">
        <v>0</v>
      </c>
      <c r="CE8" s="19">
        <v>0</v>
      </c>
      <c r="CF8" s="19">
        <v>0</v>
      </c>
      <c r="CG8" s="19">
        <v>36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35070</v>
      </c>
      <c r="CR8" s="19">
        <v>31729</v>
      </c>
      <c r="CS8" s="19">
        <v>0</v>
      </c>
      <c r="CT8" s="19">
        <v>59</v>
      </c>
      <c r="CU8" s="19">
        <v>4627</v>
      </c>
      <c r="CV8" s="19">
        <v>25989</v>
      </c>
      <c r="CW8" s="19">
        <v>80</v>
      </c>
      <c r="CX8" s="19">
        <v>974</v>
      </c>
      <c r="CY8" s="19">
        <v>3341</v>
      </c>
      <c r="CZ8" s="19">
        <v>0</v>
      </c>
      <c r="DA8" s="19">
        <v>3</v>
      </c>
      <c r="DB8" s="19">
        <v>2079</v>
      </c>
      <c r="DC8" s="19">
        <v>249</v>
      </c>
      <c r="DD8" s="19">
        <v>16</v>
      </c>
      <c r="DE8" s="19">
        <v>994</v>
      </c>
      <c r="DF8" s="19">
        <v>82</v>
      </c>
      <c r="DG8" s="19">
        <v>66</v>
      </c>
      <c r="DH8" s="19">
        <v>0</v>
      </c>
      <c r="DI8" s="19">
        <v>0</v>
      </c>
      <c r="DJ8" s="19">
        <v>0</v>
      </c>
      <c r="DK8" s="19">
        <v>0</v>
      </c>
      <c r="DL8" s="19">
        <v>0</v>
      </c>
      <c r="DM8" s="19">
        <v>66</v>
      </c>
      <c r="DN8" s="19">
        <v>16</v>
      </c>
      <c r="DO8" s="19">
        <v>0</v>
      </c>
      <c r="DP8" s="19">
        <v>0</v>
      </c>
      <c r="DQ8" s="19">
        <v>0</v>
      </c>
      <c r="DR8" s="19">
        <v>0</v>
      </c>
      <c r="DS8" s="19">
        <v>0</v>
      </c>
      <c r="DT8" s="19">
        <v>16</v>
      </c>
      <c r="DU8" s="19">
        <v>10081</v>
      </c>
      <c r="DV8" s="19">
        <v>9762</v>
      </c>
      <c r="DW8" s="19">
        <v>5</v>
      </c>
      <c r="DX8" s="19">
        <v>310</v>
      </c>
      <c r="DY8" s="19">
        <v>4</v>
      </c>
      <c r="DZ8" s="19">
        <v>14456</v>
      </c>
      <c r="EA8" s="19">
        <v>7914</v>
      </c>
      <c r="EB8" s="19">
        <v>0</v>
      </c>
      <c r="EC8" s="19">
        <v>67</v>
      </c>
      <c r="ED8" s="19">
        <v>7457</v>
      </c>
      <c r="EE8" s="19">
        <v>0</v>
      </c>
      <c r="EF8" s="19">
        <v>0</v>
      </c>
      <c r="EG8" s="19">
        <v>390</v>
      </c>
      <c r="EH8" s="19">
        <v>6542</v>
      </c>
      <c r="EI8" s="19">
        <v>0</v>
      </c>
      <c r="EJ8" s="19">
        <v>41</v>
      </c>
      <c r="EK8" s="19">
        <v>6082</v>
      </c>
      <c r="EL8" s="19">
        <v>0</v>
      </c>
      <c r="EM8" s="19">
        <v>0</v>
      </c>
      <c r="EN8" s="19">
        <v>419</v>
      </c>
    </row>
    <row r="9" spans="1:144" ht="13.5" customHeight="1">
      <c r="A9" s="17" t="s">
        <v>62</v>
      </c>
      <c r="B9" s="18" t="s">
        <v>63</v>
      </c>
      <c r="C9" s="17" t="s">
        <v>59</v>
      </c>
      <c r="D9" s="19">
        <v>387452</v>
      </c>
      <c r="E9" s="19">
        <v>323116</v>
      </c>
      <c r="F9" s="19">
        <v>296664</v>
      </c>
      <c r="G9" s="19">
        <v>9678</v>
      </c>
      <c r="H9" s="19">
        <v>286566</v>
      </c>
      <c r="I9" s="19">
        <v>74</v>
      </c>
      <c r="J9" s="19">
        <v>5</v>
      </c>
      <c r="K9" s="19">
        <v>6</v>
      </c>
      <c r="L9" s="19">
        <v>335</v>
      </c>
      <c r="M9" s="19">
        <v>26452</v>
      </c>
      <c r="N9" s="19">
        <v>0</v>
      </c>
      <c r="O9" s="19">
        <v>24855</v>
      </c>
      <c r="P9" s="19">
        <v>147</v>
      </c>
      <c r="Q9" s="19">
        <v>90</v>
      </c>
      <c r="R9" s="19">
        <v>84</v>
      </c>
      <c r="S9" s="19">
        <v>1276</v>
      </c>
      <c r="T9" s="19">
        <v>17457</v>
      </c>
      <c r="U9" s="19">
        <v>11295</v>
      </c>
      <c r="V9" s="19">
        <v>0</v>
      </c>
      <c r="W9" s="19">
        <v>0</v>
      </c>
      <c r="X9" s="19">
        <v>9025</v>
      </c>
      <c r="Y9" s="19">
        <v>292</v>
      </c>
      <c r="Z9" s="19">
        <v>0</v>
      </c>
      <c r="AA9" s="19">
        <v>1978</v>
      </c>
      <c r="AB9" s="19">
        <v>6162</v>
      </c>
      <c r="AC9" s="19">
        <v>0</v>
      </c>
      <c r="AD9" s="19">
        <v>0</v>
      </c>
      <c r="AE9" s="19">
        <v>3556</v>
      </c>
      <c r="AF9" s="19">
        <v>5</v>
      </c>
      <c r="AG9" s="19">
        <v>2</v>
      </c>
      <c r="AH9" s="19">
        <v>2599</v>
      </c>
      <c r="AI9" s="19">
        <v>3357</v>
      </c>
      <c r="AJ9" s="19">
        <v>3282</v>
      </c>
      <c r="AK9" s="19">
        <v>0</v>
      </c>
      <c r="AL9" s="19">
        <v>0</v>
      </c>
      <c r="AM9" s="19">
        <v>0</v>
      </c>
      <c r="AN9" s="19">
        <v>3282</v>
      </c>
      <c r="AO9" s="19">
        <v>0</v>
      </c>
      <c r="AP9" s="19">
        <v>0</v>
      </c>
      <c r="AQ9" s="19">
        <v>75</v>
      </c>
      <c r="AR9" s="19">
        <v>0</v>
      </c>
      <c r="AS9" s="19">
        <v>0</v>
      </c>
      <c r="AT9" s="19">
        <v>0</v>
      </c>
      <c r="AU9" s="19">
        <v>75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167</v>
      </c>
      <c r="BN9" s="19">
        <v>125</v>
      </c>
      <c r="BO9" s="19">
        <v>0</v>
      </c>
      <c r="BP9" s="19">
        <v>0</v>
      </c>
      <c r="BQ9" s="19">
        <v>0</v>
      </c>
      <c r="BR9" s="19">
        <v>125</v>
      </c>
      <c r="BS9" s="19">
        <v>0</v>
      </c>
      <c r="BT9" s="19">
        <v>0</v>
      </c>
      <c r="BU9" s="19">
        <v>42</v>
      </c>
      <c r="BV9" s="19">
        <v>0</v>
      </c>
      <c r="BW9" s="19">
        <v>0</v>
      </c>
      <c r="BX9" s="19">
        <v>0</v>
      </c>
      <c r="BY9" s="19">
        <v>42</v>
      </c>
      <c r="BZ9" s="19">
        <v>0</v>
      </c>
      <c r="CA9" s="19">
        <v>0</v>
      </c>
      <c r="CB9" s="19">
        <v>14</v>
      </c>
      <c r="CC9" s="19">
        <v>14</v>
      </c>
      <c r="CD9" s="19">
        <v>0</v>
      </c>
      <c r="CE9" s="19">
        <v>0</v>
      </c>
      <c r="CF9" s="19">
        <v>0</v>
      </c>
      <c r="CG9" s="19">
        <v>14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27018</v>
      </c>
      <c r="CR9" s="19">
        <v>24935</v>
      </c>
      <c r="CS9" s="19">
        <v>0</v>
      </c>
      <c r="CT9" s="19">
        <v>0</v>
      </c>
      <c r="CU9" s="19">
        <v>2283</v>
      </c>
      <c r="CV9" s="19">
        <v>20959</v>
      </c>
      <c r="CW9" s="19">
        <v>0</v>
      </c>
      <c r="CX9" s="19">
        <v>1693</v>
      </c>
      <c r="CY9" s="19">
        <v>2083</v>
      </c>
      <c r="CZ9" s="19">
        <v>0</v>
      </c>
      <c r="DA9" s="19">
        <v>0</v>
      </c>
      <c r="DB9" s="19">
        <v>803</v>
      </c>
      <c r="DC9" s="19">
        <v>814</v>
      </c>
      <c r="DD9" s="19">
        <v>9</v>
      </c>
      <c r="DE9" s="19">
        <v>457</v>
      </c>
      <c r="DF9" s="19">
        <v>71</v>
      </c>
      <c r="DG9" s="19">
        <v>66</v>
      </c>
      <c r="DH9" s="19">
        <v>0</v>
      </c>
      <c r="DI9" s="19">
        <v>0</v>
      </c>
      <c r="DJ9" s="19">
        <v>50</v>
      </c>
      <c r="DK9" s="19">
        <v>0</v>
      </c>
      <c r="DL9" s="19">
        <v>0</v>
      </c>
      <c r="DM9" s="19">
        <v>16</v>
      </c>
      <c r="DN9" s="19">
        <v>5</v>
      </c>
      <c r="DO9" s="19">
        <v>0</v>
      </c>
      <c r="DP9" s="19">
        <v>0</v>
      </c>
      <c r="DQ9" s="19">
        <v>5</v>
      </c>
      <c r="DR9" s="19">
        <v>0</v>
      </c>
      <c r="DS9" s="19">
        <v>0</v>
      </c>
      <c r="DT9" s="19">
        <v>0</v>
      </c>
      <c r="DU9" s="19">
        <v>15087</v>
      </c>
      <c r="DV9" s="19">
        <v>13815</v>
      </c>
      <c r="DW9" s="19">
        <v>16</v>
      </c>
      <c r="DX9" s="19">
        <v>1253</v>
      </c>
      <c r="DY9" s="19">
        <v>3</v>
      </c>
      <c r="DZ9" s="19">
        <v>1165</v>
      </c>
      <c r="EA9" s="19">
        <v>601</v>
      </c>
      <c r="EB9" s="19">
        <v>0</v>
      </c>
      <c r="EC9" s="19">
        <v>0</v>
      </c>
      <c r="ED9" s="19">
        <v>553</v>
      </c>
      <c r="EE9" s="19">
        <v>0</v>
      </c>
      <c r="EF9" s="19">
        <v>2</v>
      </c>
      <c r="EG9" s="19">
        <v>46</v>
      </c>
      <c r="EH9" s="19">
        <v>564</v>
      </c>
      <c r="EI9" s="19">
        <v>0</v>
      </c>
      <c r="EJ9" s="19">
        <v>0</v>
      </c>
      <c r="EK9" s="19">
        <v>385</v>
      </c>
      <c r="EL9" s="19">
        <v>0</v>
      </c>
      <c r="EM9" s="19">
        <v>11</v>
      </c>
      <c r="EN9" s="19">
        <v>168</v>
      </c>
    </row>
    <row r="10" spans="1:144" ht="13.5" customHeight="1">
      <c r="A10" s="17" t="s">
        <v>64</v>
      </c>
      <c r="B10" s="18" t="s">
        <v>65</v>
      </c>
      <c r="C10" s="17" t="s">
        <v>59</v>
      </c>
      <c r="D10" s="19">
        <v>780243</v>
      </c>
      <c r="E10" s="19">
        <v>628716</v>
      </c>
      <c r="F10" s="19">
        <v>597342</v>
      </c>
      <c r="G10" s="19">
        <v>0</v>
      </c>
      <c r="H10" s="19">
        <v>596551</v>
      </c>
      <c r="I10" s="19">
        <v>541</v>
      </c>
      <c r="J10" s="19">
        <v>250</v>
      </c>
      <c r="K10" s="19">
        <v>0</v>
      </c>
      <c r="L10" s="19">
        <v>0</v>
      </c>
      <c r="M10" s="19">
        <v>31374</v>
      </c>
      <c r="N10" s="19">
        <v>0</v>
      </c>
      <c r="O10" s="19">
        <v>31057</v>
      </c>
      <c r="P10" s="19">
        <v>317</v>
      </c>
      <c r="Q10" s="19">
        <v>0</v>
      </c>
      <c r="R10" s="19">
        <v>0</v>
      </c>
      <c r="S10" s="19">
        <v>0</v>
      </c>
      <c r="T10" s="19">
        <v>56112</v>
      </c>
      <c r="U10" s="19">
        <v>23873</v>
      </c>
      <c r="V10" s="19">
        <v>0</v>
      </c>
      <c r="W10" s="19">
        <v>29</v>
      </c>
      <c r="X10" s="19">
        <v>6497</v>
      </c>
      <c r="Y10" s="19">
        <v>6591</v>
      </c>
      <c r="Z10" s="19">
        <v>45</v>
      </c>
      <c r="AA10" s="19">
        <v>10711</v>
      </c>
      <c r="AB10" s="19">
        <v>32239</v>
      </c>
      <c r="AC10" s="19">
        <v>0</v>
      </c>
      <c r="AD10" s="19">
        <v>0</v>
      </c>
      <c r="AE10" s="19">
        <v>985</v>
      </c>
      <c r="AF10" s="19">
        <v>354</v>
      </c>
      <c r="AG10" s="19">
        <v>0</v>
      </c>
      <c r="AH10" s="19">
        <v>30900</v>
      </c>
      <c r="AI10" s="19">
        <v>1572</v>
      </c>
      <c r="AJ10" s="19">
        <v>1494</v>
      </c>
      <c r="AK10" s="19">
        <v>0</v>
      </c>
      <c r="AL10" s="19">
        <v>0</v>
      </c>
      <c r="AM10" s="19">
        <v>0</v>
      </c>
      <c r="AN10" s="19">
        <v>1494</v>
      </c>
      <c r="AO10" s="19">
        <v>0</v>
      </c>
      <c r="AP10" s="19">
        <v>0</v>
      </c>
      <c r="AQ10" s="19">
        <v>78</v>
      </c>
      <c r="AR10" s="19">
        <v>0</v>
      </c>
      <c r="AS10" s="19">
        <v>0</v>
      </c>
      <c r="AT10" s="19">
        <v>0</v>
      </c>
      <c r="AU10" s="19">
        <v>78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140</v>
      </c>
      <c r="CC10" s="19">
        <v>140</v>
      </c>
      <c r="CD10" s="19">
        <v>0</v>
      </c>
      <c r="CE10" s="19">
        <v>0</v>
      </c>
      <c r="CF10" s="19">
        <v>0</v>
      </c>
      <c r="CG10" s="19">
        <v>140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0</v>
      </c>
      <c r="CQ10" s="19">
        <v>82365</v>
      </c>
      <c r="CR10" s="19">
        <v>80197</v>
      </c>
      <c r="CS10" s="19">
        <v>0</v>
      </c>
      <c r="CT10" s="19">
        <v>0</v>
      </c>
      <c r="CU10" s="19">
        <v>699</v>
      </c>
      <c r="CV10" s="19">
        <v>78988</v>
      </c>
      <c r="CW10" s="19">
        <v>127</v>
      </c>
      <c r="CX10" s="19">
        <v>383</v>
      </c>
      <c r="CY10" s="19">
        <v>2168</v>
      </c>
      <c r="CZ10" s="19">
        <v>0</v>
      </c>
      <c r="DA10" s="19">
        <v>0</v>
      </c>
      <c r="DB10" s="19">
        <v>117</v>
      </c>
      <c r="DC10" s="19">
        <v>1435</v>
      </c>
      <c r="DD10" s="19">
        <v>0</v>
      </c>
      <c r="DE10" s="19">
        <v>616</v>
      </c>
      <c r="DF10" s="19">
        <v>497</v>
      </c>
      <c r="DG10" s="19">
        <v>100</v>
      </c>
      <c r="DH10" s="19">
        <v>0</v>
      </c>
      <c r="DI10" s="19">
        <v>0</v>
      </c>
      <c r="DJ10" s="19">
        <v>47</v>
      </c>
      <c r="DK10" s="19">
        <v>53</v>
      </c>
      <c r="DL10" s="19">
        <v>0</v>
      </c>
      <c r="DM10" s="19">
        <v>0</v>
      </c>
      <c r="DN10" s="19">
        <v>397</v>
      </c>
      <c r="DO10" s="19">
        <v>0</v>
      </c>
      <c r="DP10" s="19">
        <v>0</v>
      </c>
      <c r="DQ10" s="19">
        <v>28</v>
      </c>
      <c r="DR10" s="19">
        <v>349</v>
      </c>
      <c r="DS10" s="19">
        <v>0</v>
      </c>
      <c r="DT10" s="19">
        <v>20</v>
      </c>
      <c r="DU10" s="19">
        <v>5748</v>
      </c>
      <c r="DV10" s="19">
        <v>5335</v>
      </c>
      <c r="DW10" s="19">
        <v>56</v>
      </c>
      <c r="DX10" s="19">
        <v>332</v>
      </c>
      <c r="DY10" s="19">
        <v>25</v>
      </c>
      <c r="DZ10" s="19">
        <v>5093</v>
      </c>
      <c r="EA10" s="19">
        <v>3346</v>
      </c>
      <c r="EB10" s="19">
        <v>0</v>
      </c>
      <c r="EC10" s="19">
        <v>0</v>
      </c>
      <c r="ED10" s="19">
        <v>3086</v>
      </c>
      <c r="EE10" s="19">
        <v>49</v>
      </c>
      <c r="EF10" s="19">
        <v>211</v>
      </c>
      <c r="EG10" s="19">
        <v>0</v>
      </c>
      <c r="EH10" s="19">
        <v>1747</v>
      </c>
      <c r="EI10" s="19">
        <v>0</v>
      </c>
      <c r="EJ10" s="19">
        <v>0</v>
      </c>
      <c r="EK10" s="19">
        <v>1674</v>
      </c>
      <c r="EL10" s="19">
        <v>0</v>
      </c>
      <c r="EM10" s="19">
        <v>73</v>
      </c>
      <c r="EN10" s="19">
        <v>0</v>
      </c>
    </row>
    <row r="11" spans="1:144" ht="13.5" customHeight="1">
      <c r="A11" s="17" t="s">
        <v>66</v>
      </c>
      <c r="B11" s="18" t="s">
        <v>67</v>
      </c>
      <c r="C11" s="17" t="s">
        <v>59</v>
      </c>
      <c r="D11" s="19">
        <v>342601.08999999997</v>
      </c>
      <c r="E11" s="19">
        <v>288334.08999999997</v>
      </c>
      <c r="F11" s="19">
        <v>268084.08999999997</v>
      </c>
      <c r="G11" s="19">
        <v>86068</v>
      </c>
      <c r="H11" s="19">
        <v>181342.09</v>
      </c>
      <c r="I11" s="19">
        <v>601</v>
      </c>
      <c r="J11" s="19">
        <v>18</v>
      </c>
      <c r="K11" s="19">
        <v>2</v>
      </c>
      <c r="L11" s="19">
        <v>53</v>
      </c>
      <c r="M11" s="19">
        <v>20250</v>
      </c>
      <c r="N11" s="19">
        <v>4302</v>
      </c>
      <c r="O11" s="19">
        <v>14349</v>
      </c>
      <c r="P11" s="19">
        <v>72</v>
      </c>
      <c r="Q11" s="19">
        <v>0</v>
      </c>
      <c r="R11" s="19">
        <v>142</v>
      </c>
      <c r="S11" s="19">
        <v>1385</v>
      </c>
      <c r="T11" s="19">
        <v>14545</v>
      </c>
      <c r="U11" s="19">
        <v>8366</v>
      </c>
      <c r="V11" s="19">
        <v>0</v>
      </c>
      <c r="W11" s="19">
        <v>233</v>
      </c>
      <c r="X11" s="19">
        <v>4417</v>
      </c>
      <c r="Y11" s="19">
        <v>863</v>
      </c>
      <c r="Z11" s="19">
        <v>10</v>
      </c>
      <c r="AA11" s="19">
        <v>2843</v>
      </c>
      <c r="AB11" s="19">
        <v>6179</v>
      </c>
      <c r="AC11" s="19">
        <v>0</v>
      </c>
      <c r="AD11" s="19">
        <v>0</v>
      </c>
      <c r="AE11" s="19">
        <v>521</v>
      </c>
      <c r="AF11" s="19">
        <v>43</v>
      </c>
      <c r="AG11" s="19">
        <v>1</v>
      </c>
      <c r="AH11" s="19">
        <v>5614</v>
      </c>
      <c r="AI11" s="19">
        <v>783</v>
      </c>
      <c r="AJ11" s="19">
        <v>56</v>
      </c>
      <c r="AK11" s="19">
        <v>0</v>
      </c>
      <c r="AL11" s="19">
        <v>0</v>
      </c>
      <c r="AM11" s="19">
        <v>0</v>
      </c>
      <c r="AN11" s="19">
        <v>56</v>
      </c>
      <c r="AO11" s="19">
        <v>0</v>
      </c>
      <c r="AP11" s="19">
        <v>0</v>
      </c>
      <c r="AQ11" s="19">
        <v>727</v>
      </c>
      <c r="AR11" s="19">
        <v>0</v>
      </c>
      <c r="AS11" s="19">
        <v>320</v>
      </c>
      <c r="AT11" s="19">
        <v>0</v>
      </c>
      <c r="AU11" s="19">
        <v>407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22784</v>
      </c>
      <c r="CR11" s="19">
        <v>21299</v>
      </c>
      <c r="CS11" s="19">
        <v>0</v>
      </c>
      <c r="CT11" s="19">
        <v>0</v>
      </c>
      <c r="CU11" s="19">
        <v>1239</v>
      </c>
      <c r="CV11" s="19">
        <v>19362</v>
      </c>
      <c r="CW11" s="19">
        <v>396</v>
      </c>
      <c r="CX11" s="19">
        <v>302</v>
      </c>
      <c r="CY11" s="19">
        <v>1485</v>
      </c>
      <c r="CZ11" s="19">
        <v>0</v>
      </c>
      <c r="DA11" s="19">
        <v>0</v>
      </c>
      <c r="DB11" s="19">
        <v>370</v>
      </c>
      <c r="DC11" s="19">
        <v>103</v>
      </c>
      <c r="DD11" s="19">
        <v>5</v>
      </c>
      <c r="DE11" s="19">
        <v>1007</v>
      </c>
      <c r="DF11" s="19">
        <v>35</v>
      </c>
      <c r="DG11" s="19">
        <v>35</v>
      </c>
      <c r="DH11" s="19">
        <v>0</v>
      </c>
      <c r="DI11" s="19">
        <v>0</v>
      </c>
      <c r="DJ11" s="19">
        <v>22</v>
      </c>
      <c r="DK11" s="19">
        <v>0</v>
      </c>
      <c r="DL11" s="19">
        <v>13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13042</v>
      </c>
      <c r="DV11" s="19">
        <v>12940</v>
      </c>
      <c r="DW11" s="19">
        <v>0</v>
      </c>
      <c r="DX11" s="19">
        <v>102</v>
      </c>
      <c r="DY11" s="19">
        <v>0</v>
      </c>
      <c r="DZ11" s="19">
        <v>3078</v>
      </c>
      <c r="EA11" s="19">
        <v>1222</v>
      </c>
      <c r="EB11" s="19">
        <v>337</v>
      </c>
      <c r="EC11" s="19">
        <v>0</v>
      </c>
      <c r="ED11" s="19">
        <v>761</v>
      </c>
      <c r="EE11" s="19">
        <v>0</v>
      </c>
      <c r="EF11" s="19">
        <v>0</v>
      </c>
      <c r="EG11" s="19">
        <v>124</v>
      </c>
      <c r="EH11" s="19">
        <v>1856</v>
      </c>
      <c r="EI11" s="19">
        <v>17</v>
      </c>
      <c r="EJ11" s="19">
        <v>0</v>
      </c>
      <c r="EK11" s="19">
        <v>1417</v>
      </c>
      <c r="EL11" s="19">
        <v>0</v>
      </c>
      <c r="EM11" s="19">
        <v>184</v>
      </c>
      <c r="EN11" s="19">
        <v>238</v>
      </c>
    </row>
    <row r="12" spans="1:144" ht="13.5" customHeight="1">
      <c r="A12" s="17" t="s">
        <v>68</v>
      </c>
      <c r="B12" s="18" t="s">
        <v>69</v>
      </c>
      <c r="C12" s="17" t="s">
        <v>59</v>
      </c>
      <c r="D12" s="19">
        <v>334166</v>
      </c>
      <c r="E12" s="19">
        <v>288806</v>
      </c>
      <c r="F12" s="19">
        <v>265030</v>
      </c>
      <c r="G12" s="19">
        <v>0</v>
      </c>
      <c r="H12" s="19">
        <v>262300</v>
      </c>
      <c r="I12" s="19">
        <v>2110</v>
      </c>
      <c r="J12" s="19">
        <v>0</v>
      </c>
      <c r="K12" s="19">
        <v>10</v>
      </c>
      <c r="L12" s="19">
        <v>610</v>
      </c>
      <c r="M12" s="19">
        <v>23776</v>
      </c>
      <c r="N12" s="19">
        <v>0</v>
      </c>
      <c r="O12" s="19">
        <v>22564</v>
      </c>
      <c r="P12" s="19">
        <v>114</v>
      </c>
      <c r="Q12" s="19">
        <v>0</v>
      </c>
      <c r="R12" s="19">
        <v>0</v>
      </c>
      <c r="S12" s="19">
        <v>1098</v>
      </c>
      <c r="T12" s="19">
        <v>12651</v>
      </c>
      <c r="U12" s="19">
        <v>6154</v>
      </c>
      <c r="V12" s="19">
        <v>0</v>
      </c>
      <c r="W12" s="19">
        <v>0</v>
      </c>
      <c r="X12" s="19">
        <v>5010</v>
      </c>
      <c r="Y12" s="19">
        <v>0</v>
      </c>
      <c r="Z12" s="19">
        <v>116</v>
      </c>
      <c r="AA12" s="19">
        <v>1028</v>
      </c>
      <c r="AB12" s="19">
        <v>6497</v>
      </c>
      <c r="AC12" s="19">
        <v>0</v>
      </c>
      <c r="AD12" s="19">
        <v>0</v>
      </c>
      <c r="AE12" s="19">
        <v>2923</v>
      </c>
      <c r="AF12" s="19">
        <v>0</v>
      </c>
      <c r="AG12" s="19">
        <v>5</v>
      </c>
      <c r="AH12" s="19">
        <v>3569</v>
      </c>
      <c r="AI12" s="19">
        <v>851</v>
      </c>
      <c r="AJ12" s="19">
        <v>765</v>
      </c>
      <c r="AK12" s="19">
        <v>0</v>
      </c>
      <c r="AL12" s="19">
        <v>0</v>
      </c>
      <c r="AM12" s="19">
        <v>0</v>
      </c>
      <c r="AN12" s="19">
        <v>765</v>
      </c>
      <c r="AO12" s="19">
        <v>0</v>
      </c>
      <c r="AP12" s="19">
        <v>0</v>
      </c>
      <c r="AQ12" s="19">
        <v>86</v>
      </c>
      <c r="AR12" s="19">
        <v>0</v>
      </c>
      <c r="AS12" s="19">
        <v>0</v>
      </c>
      <c r="AT12" s="19">
        <v>0</v>
      </c>
      <c r="AU12" s="19">
        <v>11</v>
      </c>
      <c r="AV12" s="19">
        <v>75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18074</v>
      </c>
      <c r="CR12" s="19">
        <v>16712</v>
      </c>
      <c r="CS12" s="19">
        <v>0</v>
      </c>
      <c r="CT12" s="19">
        <v>0</v>
      </c>
      <c r="CU12" s="19">
        <v>2077</v>
      </c>
      <c r="CV12" s="19">
        <v>14358</v>
      </c>
      <c r="CW12" s="19">
        <v>34</v>
      </c>
      <c r="CX12" s="19">
        <v>243</v>
      </c>
      <c r="CY12" s="19">
        <v>1362</v>
      </c>
      <c r="CZ12" s="19">
        <v>0</v>
      </c>
      <c r="DA12" s="19">
        <v>0</v>
      </c>
      <c r="DB12" s="19">
        <v>845</v>
      </c>
      <c r="DC12" s="19">
        <v>147</v>
      </c>
      <c r="DD12" s="19">
        <v>0</v>
      </c>
      <c r="DE12" s="19">
        <v>370</v>
      </c>
      <c r="DF12" s="19">
        <v>507</v>
      </c>
      <c r="DG12" s="19">
        <v>433</v>
      </c>
      <c r="DH12" s="19">
        <v>0</v>
      </c>
      <c r="DI12" s="19">
        <v>0</v>
      </c>
      <c r="DJ12" s="19">
        <v>433</v>
      </c>
      <c r="DK12" s="19">
        <v>0</v>
      </c>
      <c r="DL12" s="19">
        <v>0</v>
      </c>
      <c r="DM12" s="19">
        <v>0</v>
      </c>
      <c r="DN12" s="19">
        <v>74</v>
      </c>
      <c r="DO12" s="19">
        <v>0</v>
      </c>
      <c r="DP12" s="19">
        <v>0</v>
      </c>
      <c r="DQ12" s="19">
        <v>74</v>
      </c>
      <c r="DR12" s="19">
        <v>0</v>
      </c>
      <c r="DS12" s="19">
        <v>0</v>
      </c>
      <c r="DT12" s="19">
        <v>0</v>
      </c>
      <c r="DU12" s="19">
        <v>11738</v>
      </c>
      <c r="DV12" s="19">
        <v>9705</v>
      </c>
      <c r="DW12" s="19">
        <v>147</v>
      </c>
      <c r="DX12" s="19">
        <v>1499</v>
      </c>
      <c r="DY12" s="19">
        <v>387</v>
      </c>
      <c r="DZ12" s="19">
        <v>1539</v>
      </c>
      <c r="EA12" s="19">
        <v>1127</v>
      </c>
      <c r="EB12" s="19">
        <v>0</v>
      </c>
      <c r="EC12" s="19">
        <v>0</v>
      </c>
      <c r="ED12" s="19">
        <v>1070</v>
      </c>
      <c r="EE12" s="19">
        <v>0</v>
      </c>
      <c r="EF12" s="19">
        <v>51</v>
      </c>
      <c r="EG12" s="19">
        <v>6</v>
      </c>
      <c r="EH12" s="19">
        <v>412</v>
      </c>
      <c r="EI12" s="19">
        <v>0</v>
      </c>
      <c r="EJ12" s="19">
        <v>0</v>
      </c>
      <c r="EK12" s="19">
        <v>411</v>
      </c>
      <c r="EL12" s="19">
        <v>0</v>
      </c>
      <c r="EM12" s="19">
        <v>1</v>
      </c>
      <c r="EN12" s="19">
        <v>0</v>
      </c>
    </row>
    <row r="13" spans="1:144" ht="13.5" customHeight="1">
      <c r="A13" s="17" t="s">
        <v>70</v>
      </c>
      <c r="B13" s="18" t="s">
        <v>71</v>
      </c>
      <c r="C13" s="17" t="s">
        <v>59</v>
      </c>
      <c r="D13" s="19">
        <v>677590</v>
      </c>
      <c r="E13" s="19">
        <v>582444</v>
      </c>
      <c r="F13" s="19">
        <v>519286</v>
      </c>
      <c r="G13" s="19">
        <v>0</v>
      </c>
      <c r="H13" s="19">
        <v>517598</v>
      </c>
      <c r="I13" s="19">
        <v>0</v>
      </c>
      <c r="J13" s="19">
        <v>505</v>
      </c>
      <c r="K13" s="19">
        <v>0</v>
      </c>
      <c r="L13" s="19">
        <v>1183</v>
      </c>
      <c r="M13" s="19">
        <v>63158</v>
      </c>
      <c r="N13" s="19">
        <v>0</v>
      </c>
      <c r="O13" s="19">
        <v>60984</v>
      </c>
      <c r="P13" s="19">
        <v>0</v>
      </c>
      <c r="Q13" s="19">
        <v>0</v>
      </c>
      <c r="R13" s="19">
        <v>0</v>
      </c>
      <c r="S13" s="19">
        <v>2174</v>
      </c>
      <c r="T13" s="19">
        <v>41119</v>
      </c>
      <c r="U13" s="19">
        <v>30791</v>
      </c>
      <c r="V13" s="19">
        <v>0</v>
      </c>
      <c r="W13" s="19">
        <v>0</v>
      </c>
      <c r="X13" s="19">
        <v>16643</v>
      </c>
      <c r="Y13" s="19">
        <v>8905</v>
      </c>
      <c r="Z13" s="19">
        <v>40</v>
      </c>
      <c r="AA13" s="19">
        <v>5203</v>
      </c>
      <c r="AB13" s="19">
        <v>10328</v>
      </c>
      <c r="AC13" s="19">
        <v>0</v>
      </c>
      <c r="AD13" s="19">
        <v>0</v>
      </c>
      <c r="AE13" s="19">
        <v>4899</v>
      </c>
      <c r="AF13" s="19">
        <v>315</v>
      </c>
      <c r="AG13" s="19">
        <v>5</v>
      </c>
      <c r="AH13" s="19">
        <v>5109</v>
      </c>
      <c r="AI13" s="19">
        <v>143</v>
      </c>
      <c r="AJ13" s="19">
        <v>143</v>
      </c>
      <c r="AK13" s="19">
        <v>0</v>
      </c>
      <c r="AL13" s="19">
        <v>0</v>
      </c>
      <c r="AM13" s="19">
        <v>0</v>
      </c>
      <c r="AN13" s="19">
        <v>143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7</v>
      </c>
      <c r="CC13" s="19">
        <v>7</v>
      </c>
      <c r="CD13" s="19">
        <v>0</v>
      </c>
      <c r="CE13" s="19">
        <v>0</v>
      </c>
      <c r="CF13" s="19">
        <v>0</v>
      </c>
      <c r="CG13" s="19">
        <v>7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27054</v>
      </c>
      <c r="CR13" s="19">
        <v>24960</v>
      </c>
      <c r="CS13" s="19">
        <v>0</v>
      </c>
      <c r="CT13" s="19">
        <v>0</v>
      </c>
      <c r="CU13" s="19">
        <v>523</v>
      </c>
      <c r="CV13" s="19">
        <v>24398</v>
      </c>
      <c r="CW13" s="19">
        <v>32</v>
      </c>
      <c r="CX13" s="19">
        <v>7</v>
      </c>
      <c r="CY13" s="19">
        <v>2094</v>
      </c>
      <c r="CZ13" s="19">
        <v>0</v>
      </c>
      <c r="DA13" s="19">
        <v>0</v>
      </c>
      <c r="DB13" s="19">
        <v>625</v>
      </c>
      <c r="DC13" s="19">
        <v>1206</v>
      </c>
      <c r="DD13" s="19">
        <v>3</v>
      </c>
      <c r="DE13" s="19">
        <v>260</v>
      </c>
      <c r="DF13" s="19">
        <v>598</v>
      </c>
      <c r="DG13" s="19">
        <v>471</v>
      </c>
      <c r="DH13" s="19">
        <v>0</v>
      </c>
      <c r="DI13" s="19">
        <v>0</v>
      </c>
      <c r="DJ13" s="19">
        <v>338</v>
      </c>
      <c r="DK13" s="19">
        <v>0</v>
      </c>
      <c r="DL13" s="19">
        <v>0</v>
      </c>
      <c r="DM13" s="19">
        <v>133</v>
      </c>
      <c r="DN13" s="19">
        <v>127</v>
      </c>
      <c r="DO13" s="19">
        <v>0</v>
      </c>
      <c r="DP13" s="19">
        <v>0</v>
      </c>
      <c r="DQ13" s="19">
        <v>127</v>
      </c>
      <c r="DR13" s="19">
        <v>0</v>
      </c>
      <c r="DS13" s="19">
        <v>0</v>
      </c>
      <c r="DT13" s="19">
        <v>0</v>
      </c>
      <c r="DU13" s="19">
        <v>23802</v>
      </c>
      <c r="DV13" s="19">
        <v>23346</v>
      </c>
      <c r="DW13" s="19">
        <v>22</v>
      </c>
      <c r="DX13" s="19">
        <v>420</v>
      </c>
      <c r="DY13" s="19">
        <v>14</v>
      </c>
      <c r="DZ13" s="19">
        <v>2423</v>
      </c>
      <c r="EA13" s="19">
        <v>2103</v>
      </c>
      <c r="EB13" s="19">
        <v>0</v>
      </c>
      <c r="EC13" s="19">
        <v>0</v>
      </c>
      <c r="ED13" s="19">
        <v>1847</v>
      </c>
      <c r="EE13" s="19">
        <v>0</v>
      </c>
      <c r="EF13" s="19">
        <v>0</v>
      </c>
      <c r="EG13" s="19">
        <v>256</v>
      </c>
      <c r="EH13" s="19">
        <v>320</v>
      </c>
      <c r="EI13" s="19">
        <v>0</v>
      </c>
      <c r="EJ13" s="19">
        <v>0</v>
      </c>
      <c r="EK13" s="19">
        <v>294</v>
      </c>
      <c r="EL13" s="19">
        <v>0</v>
      </c>
      <c r="EM13" s="19">
        <v>0</v>
      </c>
      <c r="EN13" s="19">
        <v>26</v>
      </c>
    </row>
    <row r="14" spans="1:144" ht="13.5" customHeight="1">
      <c r="A14" s="17" t="s">
        <v>72</v>
      </c>
      <c r="B14" s="18" t="s">
        <v>73</v>
      </c>
      <c r="C14" s="17" t="s">
        <v>59</v>
      </c>
      <c r="D14" s="19">
        <v>989732</v>
      </c>
      <c r="E14" s="19">
        <v>766706</v>
      </c>
      <c r="F14" s="19">
        <v>704853</v>
      </c>
      <c r="G14" s="19">
        <v>11988</v>
      </c>
      <c r="H14" s="19">
        <v>692144</v>
      </c>
      <c r="I14" s="19">
        <v>399</v>
      </c>
      <c r="J14" s="19">
        <v>0</v>
      </c>
      <c r="K14" s="19">
        <v>0</v>
      </c>
      <c r="L14" s="19">
        <v>322</v>
      </c>
      <c r="M14" s="19">
        <v>61853</v>
      </c>
      <c r="N14" s="19">
        <v>9420</v>
      </c>
      <c r="O14" s="19">
        <v>51546</v>
      </c>
      <c r="P14" s="19">
        <v>42</v>
      </c>
      <c r="Q14" s="19">
        <v>0</v>
      </c>
      <c r="R14" s="19">
        <v>2</v>
      </c>
      <c r="S14" s="19">
        <v>843</v>
      </c>
      <c r="T14" s="19">
        <v>41519</v>
      </c>
      <c r="U14" s="19">
        <v>26266</v>
      </c>
      <c r="V14" s="19">
        <v>500</v>
      </c>
      <c r="W14" s="19">
        <v>0</v>
      </c>
      <c r="X14" s="19">
        <v>16840</v>
      </c>
      <c r="Y14" s="19">
        <v>2479</v>
      </c>
      <c r="Z14" s="19">
        <v>36</v>
      </c>
      <c r="AA14" s="19">
        <v>6411</v>
      </c>
      <c r="AB14" s="19">
        <v>15253</v>
      </c>
      <c r="AC14" s="19">
        <v>392</v>
      </c>
      <c r="AD14" s="19">
        <v>0</v>
      </c>
      <c r="AE14" s="19">
        <v>3601</v>
      </c>
      <c r="AF14" s="19">
        <v>342</v>
      </c>
      <c r="AG14" s="19">
        <v>3</v>
      </c>
      <c r="AH14" s="19">
        <v>10915</v>
      </c>
      <c r="AI14" s="19">
        <v>10373</v>
      </c>
      <c r="AJ14" s="19">
        <v>6416</v>
      </c>
      <c r="AK14" s="19">
        <v>0</v>
      </c>
      <c r="AL14" s="19">
        <v>0</v>
      </c>
      <c r="AM14" s="19">
        <v>0</v>
      </c>
      <c r="AN14" s="19">
        <v>6416</v>
      </c>
      <c r="AO14" s="19">
        <v>0</v>
      </c>
      <c r="AP14" s="19">
        <v>0</v>
      </c>
      <c r="AQ14" s="19">
        <v>3957</v>
      </c>
      <c r="AR14" s="19">
        <v>0</v>
      </c>
      <c r="AS14" s="19">
        <v>0</v>
      </c>
      <c r="AT14" s="19">
        <v>0</v>
      </c>
      <c r="AU14" s="19">
        <v>3957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40506</v>
      </c>
      <c r="CC14" s="19">
        <v>37551</v>
      </c>
      <c r="CD14" s="19">
        <v>0</v>
      </c>
      <c r="CE14" s="19">
        <v>36720</v>
      </c>
      <c r="CF14" s="19">
        <v>786</v>
      </c>
      <c r="CG14" s="19">
        <v>20</v>
      </c>
      <c r="CH14" s="19">
        <v>0</v>
      </c>
      <c r="CI14" s="19">
        <v>25</v>
      </c>
      <c r="CJ14" s="19">
        <v>2955</v>
      </c>
      <c r="CK14" s="19">
        <v>0</v>
      </c>
      <c r="CL14" s="19">
        <v>2499</v>
      </c>
      <c r="CM14" s="19">
        <v>317</v>
      </c>
      <c r="CN14" s="19">
        <v>0</v>
      </c>
      <c r="CO14" s="19">
        <v>0</v>
      </c>
      <c r="CP14" s="19">
        <v>139</v>
      </c>
      <c r="CQ14" s="19">
        <v>59966</v>
      </c>
      <c r="CR14" s="19">
        <v>52305</v>
      </c>
      <c r="CS14" s="19">
        <v>0</v>
      </c>
      <c r="CT14" s="19">
        <v>0</v>
      </c>
      <c r="CU14" s="19">
        <v>17414</v>
      </c>
      <c r="CV14" s="19">
        <v>32760</v>
      </c>
      <c r="CW14" s="19">
        <v>389</v>
      </c>
      <c r="CX14" s="19">
        <v>1742</v>
      </c>
      <c r="CY14" s="19">
        <v>7661</v>
      </c>
      <c r="CZ14" s="19">
        <v>0</v>
      </c>
      <c r="DA14" s="19">
        <v>0</v>
      </c>
      <c r="DB14" s="19">
        <v>2827</v>
      </c>
      <c r="DC14" s="19">
        <v>1614</v>
      </c>
      <c r="DD14" s="19">
        <v>438</v>
      </c>
      <c r="DE14" s="19">
        <v>2782</v>
      </c>
      <c r="DF14" s="19">
        <v>1391</v>
      </c>
      <c r="DG14" s="19">
        <v>956</v>
      </c>
      <c r="DH14" s="19">
        <v>0</v>
      </c>
      <c r="DI14" s="19">
        <v>0</v>
      </c>
      <c r="DJ14" s="19">
        <v>623</v>
      </c>
      <c r="DK14" s="19">
        <v>274</v>
      </c>
      <c r="DL14" s="19">
        <v>0</v>
      </c>
      <c r="DM14" s="19">
        <v>59</v>
      </c>
      <c r="DN14" s="19">
        <v>435</v>
      </c>
      <c r="DO14" s="19">
        <v>0</v>
      </c>
      <c r="DP14" s="19">
        <v>0</v>
      </c>
      <c r="DQ14" s="19">
        <v>107</v>
      </c>
      <c r="DR14" s="19">
        <v>0</v>
      </c>
      <c r="DS14" s="19">
        <v>0</v>
      </c>
      <c r="DT14" s="19">
        <v>328</v>
      </c>
      <c r="DU14" s="19">
        <v>69095</v>
      </c>
      <c r="DV14" s="19">
        <v>60992</v>
      </c>
      <c r="DW14" s="19">
        <v>61</v>
      </c>
      <c r="DX14" s="19">
        <v>8031</v>
      </c>
      <c r="DY14" s="19">
        <v>11</v>
      </c>
      <c r="DZ14" s="19">
        <v>176</v>
      </c>
      <c r="EA14" s="19">
        <v>176</v>
      </c>
      <c r="EB14" s="19">
        <v>0</v>
      </c>
      <c r="EC14" s="19">
        <v>0</v>
      </c>
      <c r="ED14" s="19">
        <v>176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</row>
    <row r="15" spans="1:144" ht="13.5" customHeight="1">
      <c r="A15" s="17" t="s">
        <v>74</v>
      </c>
      <c r="B15" s="18" t="s">
        <v>75</v>
      </c>
      <c r="C15" s="17" t="s">
        <v>59</v>
      </c>
      <c r="D15" s="19">
        <v>632335</v>
      </c>
      <c r="E15" s="19">
        <v>525102</v>
      </c>
      <c r="F15" s="19">
        <v>478046</v>
      </c>
      <c r="G15" s="19">
        <v>0</v>
      </c>
      <c r="H15" s="19">
        <v>477596</v>
      </c>
      <c r="I15" s="19">
        <v>0</v>
      </c>
      <c r="J15" s="19">
        <v>97</v>
      </c>
      <c r="K15" s="19">
        <v>17</v>
      </c>
      <c r="L15" s="19">
        <v>336</v>
      </c>
      <c r="M15" s="19">
        <v>47056</v>
      </c>
      <c r="N15" s="19">
        <v>0</v>
      </c>
      <c r="O15" s="19">
        <v>46110</v>
      </c>
      <c r="P15" s="19">
        <v>0</v>
      </c>
      <c r="Q15" s="19">
        <v>56</v>
      </c>
      <c r="R15" s="19">
        <v>126</v>
      </c>
      <c r="S15" s="19">
        <v>764</v>
      </c>
      <c r="T15" s="19">
        <v>24003</v>
      </c>
      <c r="U15" s="19">
        <v>13145</v>
      </c>
      <c r="V15" s="19">
        <v>0</v>
      </c>
      <c r="W15" s="19">
        <v>0</v>
      </c>
      <c r="X15" s="19">
        <v>10048</v>
      </c>
      <c r="Y15" s="19">
        <v>2548</v>
      </c>
      <c r="Z15" s="19">
        <v>7</v>
      </c>
      <c r="AA15" s="19">
        <v>542</v>
      </c>
      <c r="AB15" s="19">
        <v>10858</v>
      </c>
      <c r="AC15" s="19">
        <v>0</v>
      </c>
      <c r="AD15" s="19">
        <v>0</v>
      </c>
      <c r="AE15" s="19">
        <v>3083</v>
      </c>
      <c r="AF15" s="19">
        <v>74</v>
      </c>
      <c r="AG15" s="19">
        <v>45</v>
      </c>
      <c r="AH15" s="19">
        <v>7656</v>
      </c>
      <c r="AI15" s="19">
        <v>5227</v>
      </c>
      <c r="AJ15" s="19">
        <v>4012</v>
      </c>
      <c r="AK15" s="19">
        <v>0</v>
      </c>
      <c r="AL15" s="19">
        <v>0</v>
      </c>
      <c r="AM15" s="19">
        <v>0</v>
      </c>
      <c r="AN15" s="19">
        <v>4012</v>
      </c>
      <c r="AO15" s="19">
        <v>0</v>
      </c>
      <c r="AP15" s="19">
        <v>0</v>
      </c>
      <c r="AQ15" s="19">
        <v>1215</v>
      </c>
      <c r="AR15" s="19">
        <v>0</v>
      </c>
      <c r="AS15" s="19">
        <v>0</v>
      </c>
      <c r="AT15" s="19">
        <v>0</v>
      </c>
      <c r="AU15" s="19">
        <v>1215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3</v>
      </c>
      <c r="CC15" s="19">
        <v>3</v>
      </c>
      <c r="CD15" s="19">
        <v>0</v>
      </c>
      <c r="CE15" s="19">
        <v>0</v>
      </c>
      <c r="CF15" s="19">
        <v>0</v>
      </c>
      <c r="CG15" s="19">
        <v>3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52548</v>
      </c>
      <c r="CR15" s="19">
        <v>46317</v>
      </c>
      <c r="CS15" s="19">
        <v>0</v>
      </c>
      <c r="CT15" s="19">
        <v>16</v>
      </c>
      <c r="CU15" s="19">
        <v>7515</v>
      </c>
      <c r="CV15" s="19">
        <v>37490</v>
      </c>
      <c r="CW15" s="19">
        <v>127</v>
      </c>
      <c r="CX15" s="19">
        <v>1169</v>
      </c>
      <c r="CY15" s="19">
        <v>6231</v>
      </c>
      <c r="CZ15" s="19">
        <v>0</v>
      </c>
      <c r="DA15" s="19">
        <v>0</v>
      </c>
      <c r="DB15" s="19">
        <v>1066</v>
      </c>
      <c r="DC15" s="19">
        <v>2349</v>
      </c>
      <c r="DD15" s="19">
        <v>14</v>
      </c>
      <c r="DE15" s="19">
        <v>2802</v>
      </c>
      <c r="DF15" s="19">
        <v>31</v>
      </c>
      <c r="DG15" s="19">
        <v>20</v>
      </c>
      <c r="DH15" s="19">
        <v>0</v>
      </c>
      <c r="DI15" s="19">
        <v>0</v>
      </c>
      <c r="DJ15" s="19">
        <v>0</v>
      </c>
      <c r="DK15" s="19">
        <v>0</v>
      </c>
      <c r="DL15" s="19">
        <v>20</v>
      </c>
      <c r="DM15" s="19">
        <v>0</v>
      </c>
      <c r="DN15" s="19">
        <v>11</v>
      </c>
      <c r="DO15" s="19">
        <v>0</v>
      </c>
      <c r="DP15" s="19">
        <v>0</v>
      </c>
      <c r="DQ15" s="19">
        <v>0</v>
      </c>
      <c r="DR15" s="19">
        <v>0</v>
      </c>
      <c r="DS15" s="19">
        <v>11</v>
      </c>
      <c r="DT15" s="19">
        <v>0</v>
      </c>
      <c r="DU15" s="19">
        <v>25421</v>
      </c>
      <c r="DV15" s="19">
        <v>22712</v>
      </c>
      <c r="DW15" s="19">
        <v>33</v>
      </c>
      <c r="DX15" s="19">
        <v>2676</v>
      </c>
      <c r="DY15" s="19">
        <v>0</v>
      </c>
      <c r="DZ15" s="19">
        <v>0</v>
      </c>
      <c r="EA15" s="19">
        <v>0</v>
      </c>
      <c r="EB15" s="19">
        <v>0</v>
      </c>
      <c r="EC15" s="19">
        <v>0</v>
      </c>
      <c r="ED15" s="19">
        <v>0</v>
      </c>
      <c r="EE15" s="19">
        <v>0</v>
      </c>
      <c r="EF15" s="19">
        <v>0</v>
      </c>
      <c r="EG15" s="19">
        <v>0</v>
      </c>
      <c r="EH15" s="19">
        <v>0</v>
      </c>
      <c r="EI15" s="19">
        <v>0</v>
      </c>
      <c r="EJ15" s="19">
        <v>0</v>
      </c>
      <c r="EK15" s="19">
        <v>0</v>
      </c>
      <c r="EL15" s="19">
        <v>0</v>
      </c>
      <c r="EM15" s="19">
        <v>0</v>
      </c>
      <c r="EN15" s="19">
        <v>0</v>
      </c>
    </row>
    <row r="16" spans="1:144" ht="13.5" customHeight="1">
      <c r="A16" s="17" t="s">
        <v>76</v>
      </c>
      <c r="B16" s="18" t="s">
        <v>77</v>
      </c>
      <c r="C16" s="17" t="s">
        <v>59</v>
      </c>
      <c r="D16" s="19">
        <v>666802</v>
      </c>
      <c r="E16" s="19">
        <v>568036</v>
      </c>
      <c r="F16" s="19">
        <v>516535</v>
      </c>
      <c r="G16" s="19">
        <v>0</v>
      </c>
      <c r="H16" s="19">
        <v>516168</v>
      </c>
      <c r="I16" s="19">
        <v>0</v>
      </c>
      <c r="J16" s="19">
        <v>0</v>
      </c>
      <c r="K16" s="19">
        <v>0</v>
      </c>
      <c r="L16" s="19">
        <v>367</v>
      </c>
      <c r="M16" s="19">
        <v>51501</v>
      </c>
      <c r="N16" s="19">
        <v>0</v>
      </c>
      <c r="O16" s="19">
        <v>50925</v>
      </c>
      <c r="P16" s="19">
        <v>0</v>
      </c>
      <c r="Q16" s="19">
        <v>0</v>
      </c>
      <c r="R16" s="19">
        <v>0</v>
      </c>
      <c r="S16" s="19">
        <v>576</v>
      </c>
      <c r="T16" s="19">
        <v>45577</v>
      </c>
      <c r="U16" s="19">
        <v>33169</v>
      </c>
      <c r="V16" s="19">
        <v>0</v>
      </c>
      <c r="W16" s="19">
        <v>0</v>
      </c>
      <c r="X16" s="19">
        <v>16748</v>
      </c>
      <c r="Y16" s="19">
        <v>10003</v>
      </c>
      <c r="Z16" s="19">
        <v>194</v>
      </c>
      <c r="AA16" s="19">
        <v>6224</v>
      </c>
      <c r="AB16" s="19">
        <v>12408</v>
      </c>
      <c r="AC16" s="19">
        <v>0</v>
      </c>
      <c r="AD16" s="19">
        <v>114</v>
      </c>
      <c r="AE16" s="19">
        <v>4885</v>
      </c>
      <c r="AF16" s="19">
        <v>463</v>
      </c>
      <c r="AG16" s="19">
        <v>6</v>
      </c>
      <c r="AH16" s="19">
        <v>6940</v>
      </c>
      <c r="AI16" s="19">
        <v>669</v>
      </c>
      <c r="AJ16" s="19">
        <v>669</v>
      </c>
      <c r="AK16" s="19">
        <v>0</v>
      </c>
      <c r="AL16" s="19">
        <v>0</v>
      </c>
      <c r="AM16" s="19">
        <v>0</v>
      </c>
      <c r="AN16" s="19">
        <v>56</v>
      </c>
      <c r="AO16" s="19">
        <v>613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22</v>
      </c>
      <c r="AY16" s="19">
        <v>22</v>
      </c>
      <c r="AZ16" s="19">
        <v>0</v>
      </c>
      <c r="BA16" s="19">
        <v>0</v>
      </c>
      <c r="BB16" s="19">
        <v>0</v>
      </c>
      <c r="BC16" s="19">
        <v>22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341</v>
      </c>
      <c r="CC16" s="19">
        <v>341</v>
      </c>
      <c r="CD16" s="19">
        <v>0</v>
      </c>
      <c r="CE16" s="19">
        <v>341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23956</v>
      </c>
      <c r="CR16" s="19">
        <v>16931</v>
      </c>
      <c r="CS16" s="19">
        <v>0</v>
      </c>
      <c r="CT16" s="19">
        <v>0</v>
      </c>
      <c r="CU16" s="19">
        <v>1186</v>
      </c>
      <c r="CV16" s="19">
        <v>14098</v>
      </c>
      <c r="CW16" s="19">
        <v>232</v>
      </c>
      <c r="CX16" s="19">
        <v>1415</v>
      </c>
      <c r="CY16" s="19">
        <v>7025</v>
      </c>
      <c r="CZ16" s="19">
        <v>0</v>
      </c>
      <c r="DA16" s="19">
        <v>245</v>
      </c>
      <c r="DB16" s="19">
        <v>923</v>
      </c>
      <c r="DC16" s="19">
        <v>4905</v>
      </c>
      <c r="DD16" s="19">
        <v>4</v>
      </c>
      <c r="DE16" s="19">
        <v>948</v>
      </c>
      <c r="DF16" s="19">
        <v>3074</v>
      </c>
      <c r="DG16" s="19">
        <v>2762</v>
      </c>
      <c r="DH16" s="19">
        <v>0</v>
      </c>
      <c r="DI16" s="19">
        <v>2380</v>
      </c>
      <c r="DJ16" s="19">
        <v>154</v>
      </c>
      <c r="DK16" s="19">
        <v>0</v>
      </c>
      <c r="DL16" s="19">
        <v>133</v>
      </c>
      <c r="DM16" s="19">
        <v>95</v>
      </c>
      <c r="DN16" s="19">
        <v>312</v>
      </c>
      <c r="DO16" s="19">
        <v>0</v>
      </c>
      <c r="DP16" s="19">
        <v>267</v>
      </c>
      <c r="DQ16" s="19">
        <v>25</v>
      </c>
      <c r="DR16" s="19">
        <v>0</v>
      </c>
      <c r="DS16" s="19">
        <v>0</v>
      </c>
      <c r="DT16" s="19">
        <v>20</v>
      </c>
      <c r="DU16" s="19">
        <v>24373</v>
      </c>
      <c r="DV16" s="19">
        <v>18259</v>
      </c>
      <c r="DW16" s="19">
        <v>64</v>
      </c>
      <c r="DX16" s="19">
        <v>6050</v>
      </c>
      <c r="DY16" s="19">
        <v>0</v>
      </c>
      <c r="DZ16" s="19">
        <v>754</v>
      </c>
      <c r="EA16" s="19">
        <v>178</v>
      </c>
      <c r="EB16" s="19">
        <v>0</v>
      </c>
      <c r="EC16" s="19">
        <v>0</v>
      </c>
      <c r="ED16" s="19">
        <v>170</v>
      </c>
      <c r="EE16" s="19">
        <v>0</v>
      </c>
      <c r="EF16" s="19">
        <v>8</v>
      </c>
      <c r="EG16" s="19">
        <v>0</v>
      </c>
      <c r="EH16" s="19">
        <v>576</v>
      </c>
      <c r="EI16" s="19">
        <v>0</v>
      </c>
      <c r="EJ16" s="19">
        <v>0</v>
      </c>
      <c r="EK16" s="19">
        <v>18</v>
      </c>
      <c r="EL16" s="19">
        <v>0</v>
      </c>
      <c r="EM16" s="19">
        <v>558</v>
      </c>
      <c r="EN16" s="19">
        <v>0</v>
      </c>
    </row>
    <row r="17" spans="1:144" ht="13.5" customHeight="1">
      <c r="A17" s="17" t="s">
        <v>78</v>
      </c>
      <c r="B17" s="18" t="s">
        <v>79</v>
      </c>
      <c r="C17" s="17" t="s">
        <v>59</v>
      </c>
      <c r="D17" s="19">
        <v>2190553</v>
      </c>
      <c r="E17" s="19">
        <v>1760778</v>
      </c>
      <c r="F17" s="19">
        <v>1664264</v>
      </c>
      <c r="G17" s="19">
        <v>134551</v>
      </c>
      <c r="H17" s="19">
        <v>1524075</v>
      </c>
      <c r="I17" s="19">
        <v>3085</v>
      </c>
      <c r="J17" s="19">
        <v>2147</v>
      </c>
      <c r="K17" s="19">
        <v>1</v>
      </c>
      <c r="L17" s="19">
        <v>405</v>
      </c>
      <c r="M17" s="19">
        <v>96514</v>
      </c>
      <c r="N17" s="19">
        <v>6576</v>
      </c>
      <c r="O17" s="19">
        <v>85661</v>
      </c>
      <c r="P17" s="19">
        <v>1249</v>
      </c>
      <c r="Q17" s="19">
        <v>65</v>
      </c>
      <c r="R17" s="19">
        <v>39</v>
      </c>
      <c r="S17" s="19">
        <v>2924</v>
      </c>
      <c r="T17" s="19">
        <v>94438</v>
      </c>
      <c r="U17" s="19">
        <v>65742</v>
      </c>
      <c r="V17" s="19">
        <v>0</v>
      </c>
      <c r="W17" s="19">
        <v>0</v>
      </c>
      <c r="X17" s="19">
        <v>46609</v>
      </c>
      <c r="Y17" s="19">
        <v>2452</v>
      </c>
      <c r="Z17" s="19">
        <v>144</v>
      </c>
      <c r="AA17" s="19">
        <v>16537</v>
      </c>
      <c r="AB17" s="19">
        <v>28696</v>
      </c>
      <c r="AC17" s="19">
        <v>0</v>
      </c>
      <c r="AD17" s="19">
        <v>0</v>
      </c>
      <c r="AE17" s="19">
        <v>10057</v>
      </c>
      <c r="AF17" s="19">
        <v>774</v>
      </c>
      <c r="AG17" s="19">
        <v>6</v>
      </c>
      <c r="AH17" s="19">
        <v>17859</v>
      </c>
      <c r="AI17" s="19">
        <v>1174</v>
      </c>
      <c r="AJ17" s="19">
        <v>71</v>
      </c>
      <c r="AK17" s="19">
        <v>0</v>
      </c>
      <c r="AL17" s="19">
        <v>71</v>
      </c>
      <c r="AM17" s="19">
        <v>0</v>
      </c>
      <c r="AN17" s="19">
        <v>0</v>
      </c>
      <c r="AO17" s="19">
        <v>0</v>
      </c>
      <c r="AP17" s="19">
        <v>0</v>
      </c>
      <c r="AQ17" s="19">
        <v>1103</v>
      </c>
      <c r="AR17" s="19">
        <v>0</v>
      </c>
      <c r="AS17" s="19">
        <v>79</v>
      </c>
      <c r="AT17" s="19">
        <v>0</v>
      </c>
      <c r="AU17" s="19">
        <v>939</v>
      </c>
      <c r="AV17" s="19">
        <v>85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1049</v>
      </c>
      <c r="BN17" s="19">
        <v>1049</v>
      </c>
      <c r="BO17" s="19">
        <v>0</v>
      </c>
      <c r="BP17" s="19">
        <v>1049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312</v>
      </c>
      <c r="CC17" s="19">
        <v>93</v>
      </c>
      <c r="CD17" s="19">
        <v>0</v>
      </c>
      <c r="CE17" s="19">
        <v>0</v>
      </c>
      <c r="CF17" s="19">
        <v>0</v>
      </c>
      <c r="CG17" s="19">
        <v>48</v>
      </c>
      <c r="CH17" s="19">
        <v>0</v>
      </c>
      <c r="CI17" s="19">
        <v>45</v>
      </c>
      <c r="CJ17" s="19">
        <v>219</v>
      </c>
      <c r="CK17" s="19">
        <v>0</v>
      </c>
      <c r="CL17" s="19">
        <v>0</v>
      </c>
      <c r="CM17" s="19">
        <v>0</v>
      </c>
      <c r="CN17" s="19">
        <v>40</v>
      </c>
      <c r="CO17" s="19">
        <v>0</v>
      </c>
      <c r="CP17" s="19">
        <v>179</v>
      </c>
      <c r="CQ17" s="19">
        <v>182472</v>
      </c>
      <c r="CR17" s="19">
        <v>171109</v>
      </c>
      <c r="CS17" s="19">
        <v>10847</v>
      </c>
      <c r="CT17" s="19">
        <v>3808</v>
      </c>
      <c r="CU17" s="19">
        <v>20703</v>
      </c>
      <c r="CV17" s="19">
        <v>129938</v>
      </c>
      <c r="CW17" s="19">
        <v>1376</v>
      </c>
      <c r="CX17" s="19">
        <v>4437</v>
      </c>
      <c r="CY17" s="19">
        <v>11363</v>
      </c>
      <c r="CZ17" s="19">
        <v>0</v>
      </c>
      <c r="DA17" s="19">
        <v>1713</v>
      </c>
      <c r="DB17" s="19">
        <v>3382</v>
      </c>
      <c r="DC17" s="19">
        <v>4180</v>
      </c>
      <c r="DD17" s="19">
        <v>7</v>
      </c>
      <c r="DE17" s="19">
        <v>2081</v>
      </c>
      <c r="DF17" s="19">
        <v>2590</v>
      </c>
      <c r="DG17" s="19">
        <v>2585</v>
      </c>
      <c r="DH17" s="19">
        <v>0</v>
      </c>
      <c r="DI17" s="19">
        <v>0</v>
      </c>
      <c r="DJ17" s="19">
        <v>1842</v>
      </c>
      <c r="DK17" s="19">
        <v>18</v>
      </c>
      <c r="DL17" s="19">
        <v>18</v>
      </c>
      <c r="DM17" s="19">
        <v>707</v>
      </c>
      <c r="DN17" s="19">
        <v>5</v>
      </c>
      <c r="DO17" s="19">
        <v>0</v>
      </c>
      <c r="DP17" s="19">
        <v>0</v>
      </c>
      <c r="DQ17" s="19">
        <v>0</v>
      </c>
      <c r="DR17" s="19">
        <v>0</v>
      </c>
      <c r="DS17" s="19">
        <v>1</v>
      </c>
      <c r="DT17" s="19">
        <v>4</v>
      </c>
      <c r="DU17" s="19">
        <v>146436</v>
      </c>
      <c r="DV17" s="19">
        <v>141966</v>
      </c>
      <c r="DW17" s="19">
        <v>389</v>
      </c>
      <c r="DX17" s="19">
        <v>3838</v>
      </c>
      <c r="DY17" s="19">
        <v>243</v>
      </c>
      <c r="DZ17" s="19">
        <v>1304</v>
      </c>
      <c r="EA17" s="19">
        <v>636</v>
      </c>
      <c r="EB17" s="19">
        <v>0</v>
      </c>
      <c r="EC17" s="19">
        <v>0</v>
      </c>
      <c r="ED17" s="19">
        <v>582</v>
      </c>
      <c r="EE17" s="19">
        <v>54</v>
      </c>
      <c r="EF17" s="19">
        <v>0</v>
      </c>
      <c r="EG17" s="19">
        <v>0</v>
      </c>
      <c r="EH17" s="19">
        <v>668</v>
      </c>
      <c r="EI17" s="19">
        <v>0</v>
      </c>
      <c r="EJ17" s="19">
        <v>0</v>
      </c>
      <c r="EK17" s="19">
        <v>668</v>
      </c>
      <c r="EL17" s="19">
        <v>0</v>
      </c>
      <c r="EM17" s="19">
        <v>0</v>
      </c>
      <c r="EN17" s="19">
        <v>0</v>
      </c>
    </row>
    <row r="18" spans="1:144" ht="13.5" customHeight="1">
      <c r="A18" s="17" t="s">
        <v>80</v>
      </c>
      <c r="B18" s="18" t="s">
        <v>81</v>
      </c>
      <c r="C18" s="17" t="s">
        <v>59</v>
      </c>
      <c r="D18" s="19">
        <v>1947532</v>
      </c>
      <c r="E18" s="19">
        <v>1543758</v>
      </c>
      <c r="F18" s="19">
        <v>1462956</v>
      </c>
      <c r="G18" s="19">
        <v>0</v>
      </c>
      <c r="H18" s="19">
        <v>1454354</v>
      </c>
      <c r="I18" s="19">
        <v>4559</v>
      </c>
      <c r="J18" s="19">
        <v>829</v>
      </c>
      <c r="K18" s="19">
        <v>373</v>
      </c>
      <c r="L18" s="19">
        <v>2841</v>
      </c>
      <c r="M18" s="19">
        <v>80802</v>
      </c>
      <c r="N18" s="19">
        <v>0</v>
      </c>
      <c r="O18" s="19">
        <v>67639</v>
      </c>
      <c r="P18" s="19">
        <v>28</v>
      </c>
      <c r="Q18" s="19">
        <v>54</v>
      </c>
      <c r="R18" s="19">
        <v>8203</v>
      </c>
      <c r="S18" s="19">
        <v>4878</v>
      </c>
      <c r="T18" s="19">
        <v>113175</v>
      </c>
      <c r="U18" s="19">
        <v>83206</v>
      </c>
      <c r="V18" s="19">
        <v>0</v>
      </c>
      <c r="W18" s="19">
        <v>0</v>
      </c>
      <c r="X18" s="19">
        <v>40167</v>
      </c>
      <c r="Y18" s="19">
        <v>22000</v>
      </c>
      <c r="Z18" s="19">
        <v>376</v>
      </c>
      <c r="AA18" s="19">
        <v>20663</v>
      </c>
      <c r="AB18" s="19">
        <v>29969</v>
      </c>
      <c r="AC18" s="19">
        <v>0</v>
      </c>
      <c r="AD18" s="19">
        <v>0</v>
      </c>
      <c r="AE18" s="19">
        <v>5637</v>
      </c>
      <c r="AF18" s="19">
        <v>752</v>
      </c>
      <c r="AG18" s="19">
        <v>29</v>
      </c>
      <c r="AH18" s="19">
        <v>23551</v>
      </c>
      <c r="AI18" s="19">
        <v>3496</v>
      </c>
      <c r="AJ18" s="19">
        <v>1500</v>
      </c>
      <c r="AK18" s="19">
        <v>0</v>
      </c>
      <c r="AL18" s="19">
        <v>0</v>
      </c>
      <c r="AM18" s="19">
        <v>0</v>
      </c>
      <c r="AN18" s="19">
        <v>1500</v>
      </c>
      <c r="AO18" s="19">
        <v>0</v>
      </c>
      <c r="AP18" s="19">
        <v>0</v>
      </c>
      <c r="AQ18" s="19">
        <v>1996</v>
      </c>
      <c r="AR18" s="19">
        <v>0</v>
      </c>
      <c r="AS18" s="19">
        <v>0</v>
      </c>
      <c r="AT18" s="19">
        <v>0</v>
      </c>
      <c r="AU18" s="19">
        <v>1787</v>
      </c>
      <c r="AV18" s="19">
        <v>209</v>
      </c>
      <c r="AW18" s="19">
        <v>0</v>
      </c>
      <c r="AX18" s="19">
        <v>877</v>
      </c>
      <c r="AY18" s="19">
        <v>117</v>
      </c>
      <c r="AZ18" s="19">
        <v>0</v>
      </c>
      <c r="BA18" s="19">
        <v>117</v>
      </c>
      <c r="BB18" s="19">
        <v>0</v>
      </c>
      <c r="BC18" s="19">
        <v>0</v>
      </c>
      <c r="BD18" s="19">
        <v>0</v>
      </c>
      <c r="BE18" s="19">
        <v>0</v>
      </c>
      <c r="BF18" s="19">
        <v>760</v>
      </c>
      <c r="BG18" s="19">
        <v>0</v>
      </c>
      <c r="BH18" s="19">
        <v>0</v>
      </c>
      <c r="BI18" s="19">
        <v>0</v>
      </c>
      <c r="BJ18" s="19">
        <v>0</v>
      </c>
      <c r="BK18" s="19">
        <v>760</v>
      </c>
      <c r="BL18" s="19">
        <v>0</v>
      </c>
      <c r="BM18" s="19">
        <v>248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248</v>
      </c>
      <c r="BV18" s="19">
        <v>0</v>
      </c>
      <c r="BW18" s="19">
        <v>0</v>
      </c>
      <c r="BX18" s="19">
        <v>0</v>
      </c>
      <c r="BY18" s="19">
        <v>0</v>
      </c>
      <c r="BZ18" s="19">
        <v>248</v>
      </c>
      <c r="CA18" s="19">
        <v>0</v>
      </c>
      <c r="CB18" s="19">
        <v>229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229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229</v>
      </c>
      <c r="CQ18" s="19">
        <v>144504</v>
      </c>
      <c r="CR18" s="19">
        <v>131563</v>
      </c>
      <c r="CS18" s="19">
        <v>0</v>
      </c>
      <c r="CT18" s="19">
        <v>86</v>
      </c>
      <c r="CU18" s="19">
        <v>14371</v>
      </c>
      <c r="CV18" s="19">
        <v>114222</v>
      </c>
      <c r="CW18" s="19">
        <v>800</v>
      </c>
      <c r="CX18" s="19">
        <v>2084</v>
      </c>
      <c r="CY18" s="19">
        <v>12941</v>
      </c>
      <c r="CZ18" s="19">
        <v>0</v>
      </c>
      <c r="DA18" s="19">
        <v>1680</v>
      </c>
      <c r="DB18" s="19">
        <v>1962</v>
      </c>
      <c r="DC18" s="19">
        <v>1353</v>
      </c>
      <c r="DD18" s="19">
        <v>3124</v>
      </c>
      <c r="DE18" s="19">
        <v>4822</v>
      </c>
      <c r="DF18" s="19">
        <v>5410</v>
      </c>
      <c r="DG18" s="19">
        <v>3478</v>
      </c>
      <c r="DH18" s="19">
        <v>0</v>
      </c>
      <c r="DI18" s="19">
        <v>0</v>
      </c>
      <c r="DJ18" s="19">
        <v>165</v>
      </c>
      <c r="DK18" s="19">
        <v>146</v>
      </c>
      <c r="DL18" s="19">
        <v>3167</v>
      </c>
      <c r="DM18" s="19">
        <v>0</v>
      </c>
      <c r="DN18" s="19">
        <v>1932</v>
      </c>
      <c r="DO18" s="19">
        <v>0</v>
      </c>
      <c r="DP18" s="19">
        <v>0</v>
      </c>
      <c r="DQ18" s="19">
        <v>23</v>
      </c>
      <c r="DR18" s="19">
        <v>28</v>
      </c>
      <c r="DS18" s="19">
        <v>1853</v>
      </c>
      <c r="DT18" s="19">
        <v>28</v>
      </c>
      <c r="DU18" s="19">
        <v>133636</v>
      </c>
      <c r="DV18" s="19">
        <v>130487</v>
      </c>
      <c r="DW18" s="19">
        <v>90</v>
      </c>
      <c r="DX18" s="19">
        <v>3040</v>
      </c>
      <c r="DY18" s="19">
        <v>19</v>
      </c>
      <c r="DZ18" s="19">
        <v>2199</v>
      </c>
      <c r="EA18" s="19">
        <v>723</v>
      </c>
      <c r="EB18" s="19">
        <v>0</v>
      </c>
      <c r="EC18" s="19">
        <v>0</v>
      </c>
      <c r="ED18" s="19">
        <v>695</v>
      </c>
      <c r="EE18" s="19">
        <v>0</v>
      </c>
      <c r="EF18" s="19">
        <v>0</v>
      </c>
      <c r="EG18" s="19">
        <v>28</v>
      </c>
      <c r="EH18" s="19">
        <v>1476</v>
      </c>
      <c r="EI18" s="19">
        <v>0</v>
      </c>
      <c r="EJ18" s="19">
        <v>0</v>
      </c>
      <c r="EK18" s="19">
        <v>1476</v>
      </c>
      <c r="EL18" s="19">
        <v>0</v>
      </c>
      <c r="EM18" s="19">
        <v>0</v>
      </c>
      <c r="EN18" s="19">
        <v>0</v>
      </c>
    </row>
    <row r="19" spans="1:144" ht="13.5" customHeight="1">
      <c r="A19" s="17" t="s">
        <v>82</v>
      </c>
      <c r="B19" s="18" t="s">
        <v>83</v>
      </c>
      <c r="C19" s="17" t="s">
        <v>59</v>
      </c>
      <c r="D19" s="19">
        <v>3968166</v>
      </c>
      <c r="E19" s="19">
        <v>3157460</v>
      </c>
      <c r="F19" s="19">
        <v>3088206</v>
      </c>
      <c r="G19" s="19">
        <v>0</v>
      </c>
      <c r="H19" s="19">
        <v>3083209</v>
      </c>
      <c r="I19" s="19">
        <v>745</v>
      </c>
      <c r="J19" s="19">
        <v>544</v>
      </c>
      <c r="K19" s="19">
        <v>6</v>
      </c>
      <c r="L19" s="19">
        <v>3702</v>
      </c>
      <c r="M19" s="19">
        <v>69254</v>
      </c>
      <c r="N19" s="19">
        <v>0</v>
      </c>
      <c r="O19" s="19">
        <v>67909</v>
      </c>
      <c r="P19" s="19">
        <v>1</v>
      </c>
      <c r="Q19" s="19">
        <v>270</v>
      </c>
      <c r="R19" s="19">
        <v>38</v>
      </c>
      <c r="S19" s="19">
        <v>1036</v>
      </c>
      <c r="T19" s="19">
        <v>152965</v>
      </c>
      <c r="U19" s="19">
        <v>143038</v>
      </c>
      <c r="V19" s="19">
        <v>0</v>
      </c>
      <c r="W19" s="19">
        <v>0</v>
      </c>
      <c r="X19" s="19">
        <v>34489</v>
      </c>
      <c r="Y19" s="19">
        <v>22881</v>
      </c>
      <c r="Z19" s="19">
        <v>558</v>
      </c>
      <c r="AA19" s="19">
        <v>85110</v>
      </c>
      <c r="AB19" s="19">
        <v>9927</v>
      </c>
      <c r="AC19" s="19">
        <v>0</v>
      </c>
      <c r="AD19" s="19">
        <v>0</v>
      </c>
      <c r="AE19" s="19">
        <v>1320</v>
      </c>
      <c r="AF19" s="19">
        <v>963</v>
      </c>
      <c r="AG19" s="19">
        <v>12</v>
      </c>
      <c r="AH19" s="19">
        <v>7632</v>
      </c>
      <c r="AI19" s="19">
        <v>3485</v>
      </c>
      <c r="AJ19" s="19">
        <v>2276</v>
      </c>
      <c r="AK19" s="19">
        <v>0</v>
      </c>
      <c r="AL19" s="19">
        <v>10</v>
      </c>
      <c r="AM19" s="19">
        <v>0</v>
      </c>
      <c r="AN19" s="19">
        <v>2266</v>
      </c>
      <c r="AO19" s="19">
        <v>0</v>
      </c>
      <c r="AP19" s="19">
        <v>0</v>
      </c>
      <c r="AQ19" s="19">
        <v>1209</v>
      </c>
      <c r="AR19" s="19">
        <v>0</v>
      </c>
      <c r="AS19" s="19">
        <v>0</v>
      </c>
      <c r="AT19" s="19">
        <v>0</v>
      </c>
      <c r="AU19" s="19">
        <v>1209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3654</v>
      </c>
      <c r="BN19" s="19">
        <v>2850</v>
      </c>
      <c r="BO19" s="19">
        <v>0</v>
      </c>
      <c r="BP19" s="19">
        <v>2850</v>
      </c>
      <c r="BQ19" s="19">
        <v>0</v>
      </c>
      <c r="BR19" s="19">
        <v>0</v>
      </c>
      <c r="BS19" s="19">
        <v>0</v>
      </c>
      <c r="BT19" s="19">
        <v>0</v>
      </c>
      <c r="BU19" s="19">
        <v>804</v>
      </c>
      <c r="BV19" s="19">
        <v>0</v>
      </c>
      <c r="BW19" s="19">
        <v>804</v>
      </c>
      <c r="BX19" s="19">
        <v>0</v>
      </c>
      <c r="BY19" s="19">
        <v>0</v>
      </c>
      <c r="BZ19" s="19">
        <v>0</v>
      </c>
      <c r="CA19" s="19">
        <v>0</v>
      </c>
      <c r="CB19" s="19">
        <v>112</v>
      </c>
      <c r="CC19" s="19">
        <v>112</v>
      </c>
      <c r="CD19" s="19">
        <v>0</v>
      </c>
      <c r="CE19" s="19">
        <v>0</v>
      </c>
      <c r="CF19" s="19">
        <v>0</v>
      </c>
      <c r="CG19" s="19">
        <v>112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183014</v>
      </c>
      <c r="CR19" s="19">
        <v>180355</v>
      </c>
      <c r="CS19" s="19">
        <v>0</v>
      </c>
      <c r="CT19" s="19">
        <v>1</v>
      </c>
      <c r="CU19" s="19">
        <v>43756</v>
      </c>
      <c r="CV19" s="19">
        <v>126843</v>
      </c>
      <c r="CW19" s="19">
        <v>1126</v>
      </c>
      <c r="CX19" s="19">
        <v>8629</v>
      </c>
      <c r="CY19" s="19">
        <v>2659</v>
      </c>
      <c r="CZ19" s="19">
        <v>0</v>
      </c>
      <c r="DA19" s="19">
        <v>6</v>
      </c>
      <c r="DB19" s="19">
        <v>592</v>
      </c>
      <c r="DC19" s="19">
        <v>449</v>
      </c>
      <c r="DD19" s="19">
        <v>0</v>
      </c>
      <c r="DE19" s="19">
        <v>1612</v>
      </c>
      <c r="DF19" s="19">
        <v>852</v>
      </c>
      <c r="DG19" s="19">
        <v>522</v>
      </c>
      <c r="DH19" s="19">
        <v>0</v>
      </c>
      <c r="DI19" s="19">
        <v>0</v>
      </c>
      <c r="DJ19" s="19">
        <v>157</v>
      </c>
      <c r="DK19" s="19">
        <v>4</v>
      </c>
      <c r="DL19" s="19">
        <v>90</v>
      </c>
      <c r="DM19" s="19">
        <v>271</v>
      </c>
      <c r="DN19" s="19">
        <v>330</v>
      </c>
      <c r="DO19" s="19">
        <v>0</v>
      </c>
      <c r="DP19" s="19">
        <v>0</v>
      </c>
      <c r="DQ19" s="19">
        <v>168</v>
      </c>
      <c r="DR19" s="19">
        <v>0</v>
      </c>
      <c r="DS19" s="19">
        <v>0</v>
      </c>
      <c r="DT19" s="19">
        <v>162</v>
      </c>
      <c r="DU19" s="19">
        <v>464160</v>
      </c>
      <c r="DV19" s="19">
        <v>463984</v>
      </c>
      <c r="DW19" s="19">
        <v>69</v>
      </c>
      <c r="DX19" s="19">
        <v>107</v>
      </c>
      <c r="DY19" s="19">
        <v>0</v>
      </c>
      <c r="DZ19" s="19">
        <v>2464</v>
      </c>
      <c r="EA19" s="19">
        <v>2208</v>
      </c>
      <c r="EB19" s="19">
        <v>0</v>
      </c>
      <c r="EC19" s="19">
        <v>0</v>
      </c>
      <c r="ED19" s="19">
        <v>2208</v>
      </c>
      <c r="EE19" s="19">
        <v>0</v>
      </c>
      <c r="EF19" s="19">
        <v>0</v>
      </c>
      <c r="EG19" s="19">
        <v>0</v>
      </c>
      <c r="EH19" s="19">
        <v>256</v>
      </c>
      <c r="EI19" s="19">
        <v>0</v>
      </c>
      <c r="EJ19" s="19">
        <v>0</v>
      </c>
      <c r="EK19" s="19">
        <v>251</v>
      </c>
      <c r="EL19" s="19">
        <v>0</v>
      </c>
      <c r="EM19" s="19">
        <v>0</v>
      </c>
      <c r="EN19" s="19">
        <v>5</v>
      </c>
    </row>
    <row r="20" spans="1:144" ht="13.5" customHeight="1">
      <c r="A20" s="17" t="s">
        <v>84</v>
      </c>
      <c r="B20" s="18" t="s">
        <v>85</v>
      </c>
      <c r="C20" s="17" t="s">
        <v>59</v>
      </c>
      <c r="D20" s="19">
        <v>2528036</v>
      </c>
      <c r="E20" s="19">
        <v>2024008</v>
      </c>
      <c r="F20" s="19">
        <v>1946216</v>
      </c>
      <c r="G20" s="19">
        <v>447480</v>
      </c>
      <c r="H20" s="19">
        <v>1484684</v>
      </c>
      <c r="I20" s="19">
        <v>553</v>
      </c>
      <c r="J20" s="19">
        <v>2288</v>
      </c>
      <c r="K20" s="19">
        <v>0</v>
      </c>
      <c r="L20" s="19">
        <v>11211</v>
      </c>
      <c r="M20" s="19">
        <v>77792</v>
      </c>
      <c r="N20" s="19">
        <v>10407</v>
      </c>
      <c r="O20" s="19">
        <v>64268</v>
      </c>
      <c r="P20" s="19">
        <v>97</v>
      </c>
      <c r="Q20" s="19">
        <v>1</v>
      </c>
      <c r="R20" s="19">
        <v>313</v>
      </c>
      <c r="S20" s="19">
        <v>2706</v>
      </c>
      <c r="T20" s="19">
        <v>90179</v>
      </c>
      <c r="U20" s="19">
        <v>64624</v>
      </c>
      <c r="V20" s="19">
        <v>0</v>
      </c>
      <c r="W20" s="19">
        <v>2115</v>
      </c>
      <c r="X20" s="19">
        <v>23977</v>
      </c>
      <c r="Y20" s="19">
        <v>4584</v>
      </c>
      <c r="Z20" s="19">
        <v>1</v>
      </c>
      <c r="AA20" s="19">
        <v>33947</v>
      </c>
      <c r="AB20" s="19">
        <v>25555</v>
      </c>
      <c r="AC20" s="19">
        <v>0</v>
      </c>
      <c r="AD20" s="19">
        <v>5967</v>
      </c>
      <c r="AE20" s="19">
        <v>7844</v>
      </c>
      <c r="AF20" s="19">
        <v>169</v>
      </c>
      <c r="AG20" s="19">
        <v>0</v>
      </c>
      <c r="AH20" s="19">
        <v>11575</v>
      </c>
      <c r="AI20" s="19">
        <v>7666</v>
      </c>
      <c r="AJ20" s="19">
        <v>5815</v>
      </c>
      <c r="AK20" s="19">
        <v>0</v>
      </c>
      <c r="AL20" s="19">
        <v>0</v>
      </c>
      <c r="AM20" s="19">
        <v>0</v>
      </c>
      <c r="AN20" s="19">
        <v>5815</v>
      </c>
      <c r="AO20" s="19">
        <v>0</v>
      </c>
      <c r="AP20" s="19">
        <v>0</v>
      </c>
      <c r="AQ20" s="19">
        <v>1851</v>
      </c>
      <c r="AR20" s="19">
        <v>0</v>
      </c>
      <c r="AS20" s="19">
        <v>62</v>
      </c>
      <c r="AT20" s="19">
        <v>48</v>
      </c>
      <c r="AU20" s="19">
        <v>1741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1798</v>
      </c>
      <c r="BN20" s="19">
        <v>1798</v>
      </c>
      <c r="BO20" s="19">
        <v>0</v>
      </c>
      <c r="BP20" s="19">
        <v>0</v>
      </c>
      <c r="BQ20" s="19">
        <v>0</v>
      </c>
      <c r="BR20" s="19">
        <v>1798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14465</v>
      </c>
      <c r="CC20" s="19">
        <v>6293</v>
      </c>
      <c r="CD20" s="19">
        <v>0</v>
      </c>
      <c r="CE20" s="19">
        <v>0</v>
      </c>
      <c r="CF20" s="19">
        <v>0</v>
      </c>
      <c r="CG20" s="19">
        <v>6194</v>
      </c>
      <c r="CH20" s="19">
        <v>0</v>
      </c>
      <c r="CI20" s="19">
        <v>99</v>
      </c>
      <c r="CJ20" s="19">
        <v>8172</v>
      </c>
      <c r="CK20" s="19">
        <v>0</v>
      </c>
      <c r="CL20" s="19">
        <v>0</v>
      </c>
      <c r="CM20" s="19">
        <v>0</v>
      </c>
      <c r="CN20" s="19">
        <v>8162</v>
      </c>
      <c r="CO20" s="19">
        <v>0</v>
      </c>
      <c r="CP20" s="19">
        <v>10</v>
      </c>
      <c r="CQ20" s="19">
        <v>289142</v>
      </c>
      <c r="CR20" s="19">
        <v>284455</v>
      </c>
      <c r="CS20" s="19">
        <v>0</v>
      </c>
      <c r="CT20" s="19">
        <v>83</v>
      </c>
      <c r="CU20" s="19">
        <v>1501</v>
      </c>
      <c r="CV20" s="19">
        <v>282259</v>
      </c>
      <c r="CW20" s="19">
        <v>552</v>
      </c>
      <c r="CX20" s="19">
        <v>60</v>
      </c>
      <c r="CY20" s="19">
        <v>4687</v>
      </c>
      <c r="CZ20" s="19">
        <v>0</v>
      </c>
      <c r="DA20" s="19">
        <v>818</v>
      </c>
      <c r="DB20" s="19">
        <v>108</v>
      </c>
      <c r="DC20" s="19">
        <v>3475</v>
      </c>
      <c r="DD20" s="19">
        <v>9</v>
      </c>
      <c r="DE20" s="19">
        <v>277</v>
      </c>
      <c r="DF20" s="19">
        <v>7</v>
      </c>
      <c r="DG20" s="19">
        <v>5</v>
      </c>
      <c r="DH20" s="19">
        <v>0</v>
      </c>
      <c r="DI20" s="19">
        <v>0</v>
      </c>
      <c r="DJ20" s="19">
        <v>0</v>
      </c>
      <c r="DK20" s="19">
        <v>3</v>
      </c>
      <c r="DL20" s="19">
        <v>0</v>
      </c>
      <c r="DM20" s="19">
        <v>2</v>
      </c>
      <c r="DN20" s="19">
        <v>2</v>
      </c>
      <c r="DO20" s="19">
        <v>0</v>
      </c>
      <c r="DP20" s="19">
        <v>0</v>
      </c>
      <c r="DQ20" s="19">
        <v>0</v>
      </c>
      <c r="DR20" s="19">
        <v>2</v>
      </c>
      <c r="DS20" s="19">
        <v>0</v>
      </c>
      <c r="DT20" s="19">
        <v>0</v>
      </c>
      <c r="DU20" s="19">
        <v>97495</v>
      </c>
      <c r="DV20" s="19">
        <v>93820</v>
      </c>
      <c r="DW20" s="19">
        <v>154</v>
      </c>
      <c r="DX20" s="19">
        <v>3521</v>
      </c>
      <c r="DY20" s="19">
        <v>0</v>
      </c>
      <c r="DZ20" s="19">
        <v>3276</v>
      </c>
      <c r="EA20" s="19">
        <v>698</v>
      </c>
      <c r="EB20" s="19">
        <v>0</v>
      </c>
      <c r="EC20" s="19">
        <v>0</v>
      </c>
      <c r="ED20" s="19">
        <v>530</v>
      </c>
      <c r="EE20" s="19">
        <v>0</v>
      </c>
      <c r="EF20" s="19">
        <v>0</v>
      </c>
      <c r="EG20" s="19">
        <v>168</v>
      </c>
      <c r="EH20" s="19">
        <v>2578</v>
      </c>
      <c r="EI20" s="19">
        <v>0</v>
      </c>
      <c r="EJ20" s="19">
        <v>0</v>
      </c>
      <c r="EK20" s="19">
        <v>2578</v>
      </c>
      <c r="EL20" s="19">
        <v>0</v>
      </c>
      <c r="EM20" s="19">
        <v>0</v>
      </c>
      <c r="EN20" s="19">
        <v>0</v>
      </c>
    </row>
    <row r="21" spans="1:144" ht="13.5" customHeight="1">
      <c r="A21" s="17" t="s">
        <v>86</v>
      </c>
      <c r="B21" s="18" t="s">
        <v>87</v>
      </c>
      <c r="C21" s="17" t="s">
        <v>59</v>
      </c>
      <c r="D21" s="19">
        <v>773668</v>
      </c>
      <c r="E21" s="19">
        <v>589252</v>
      </c>
      <c r="F21" s="19">
        <v>532775</v>
      </c>
      <c r="G21" s="19">
        <v>0</v>
      </c>
      <c r="H21" s="19">
        <v>531766</v>
      </c>
      <c r="I21" s="19">
        <v>0</v>
      </c>
      <c r="J21" s="19">
        <v>0</v>
      </c>
      <c r="K21" s="19">
        <v>611</v>
      </c>
      <c r="L21" s="19">
        <v>398</v>
      </c>
      <c r="M21" s="19">
        <v>56477</v>
      </c>
      <c r="N21" s="19">
        <v>0</v>
      </c>
      <c r="O21" s="19">
        <v>54538</v>
      </c>
      <c r="P21" s="19">
        <v>0</v>
      </c>
      <c r="Q21" s="19">
        <v>0</v>
      </c>
      <c r="R21" s="19">
        <v>0</v>
      </c>
      <c r="S21" s="19">
        <v>1939</v>
      </c>
      <c r="T21" s="19">
        <v>29424</v>
      </c>
      <c r="U21" s="19">
        <v>17970</v>
      </c>
      <c r="V21" s="19">
        <v>0</v>
      </c>
      <c r="W21" s="19">
        <v>72</v>
      </c>
      <c r="X21" s="19">
        <v>8691</v>
      </c>
      <c r="Y21" s="19">
        <v>2859</v>
      </c>
      <c r="Z21" s="19">
        <v>17</v>
      </c>
      <c r="AA21" s="19">
        <v>6331</v>
      </c>
      <c r="AB21" s="19">
        <v>11454</v>
      </c>
      <c r="AC21" s="19">
        <v>0</v>
      </c>
      <c r="AD21" s="19">
        <v>4</v>
      </c>
      <c r="AE21" s="19">
        <v>1478</v>
      </c>
      <c r="AF21" s="19">
        <v>999</v>
      </c>
      <c r="AG21" s="19">
        <v>3</v>
      </c>
      <c r="AH21" s="19">
        <v>8970</v>
      </c>
      <c r="AI21" s="19">
        <v>5971</v>
      </c>
      <c r="AJ21" s="19">
        <v>4918</v>
      </c>
      <c r="AK21" s="19">
        <v>0</v>
      </c>
      <c r="AL21" s="19">
        <v>57</v>
      </c>
      <c r="AM21" s="19">
        <v>0</v>
      </c>
      <c r="AN21" s="19">
        <v>4851</v>
      </c>
      <c r="AO21" s="19">
        <v>10</v>
      </c>
      <c r="AP21" s="19">
        <v>0</v>
      </c>
      <c r="AQ21" s="19">
        <v>1053</v>
      </c>
      <c r="AR21" s="19">
        <v>0</v>
      </c>
      <c r="AS21" s="19">
        <v>0</v>
      </c>
      <c r="AT21" s="19">
        <v>0</v>
      </c>
      <c r="AU21" s="19">
        <v>1053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16668</v>
      </c>
      <c r="BN21" s="19">
        <v>16646</v>
      </c>
      <c r="BO21" s="19">
        <v>0</v>
      </c>
      <c r="BP21" s="19">
        <v>0</v>
      </c>
      <c r="BQ21" s="19">
        <v>0</v>
      </c>
      <c r="BR21" s="19">
        <v>16646</v>
      </c>
      <c r="BS21" s="19">
        <v>0</v>
      </c>
      <c r="BT21" s="19">
        <v>0</v>
      </c>
      <c r="BU21" s="19">
        <v>22</v>
      </c>
      <c r="BV21" s="19">
        <v>0</v>
      </c>
      <c r="BW21" s="19">
        <v>0</v>
      </c>
      <c r="BX21" s="19">
        <v>0</v>
      </c>
      <c r="BY21" s="19">
        <v>22</v>
      </c>
      <c r="BZ21" s="19">
        <v>0</v>
      </c>
      <c r="CA21" s="19">
        <v>0</v>
      </c>
      <c r="CB21" s="19">
        <v>2</v>
      </c>
      <c r="CC21" s="19">
        <v>2</v>
      </c>
      <c r="CD21" s="19">
        <v>0</v>
      </c>
      <c r="CE21" s="19">
        <v>0</v>
      </c>
      <c r="CF21" s="19">
        <v>0</v>
      </c>
      <c r="CG21" s="19">
        <v>2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64864</v>
      </c>
      <c r="CR21" s="19">
        <v>58678</v>
      </c>
      <c r="CS21" s="19">
        <v>0</v>
      </c>
      <c r="CT21" s="19">
        <v>0</v>
      </c>
      <c r="CU21" s="19">
        <v>13634</v>
      </c>
      <c r="CV21" s="19">
        <v>44193</v>
      </c>
      <c r="CW21" s="19">
        <v>52</v>
      </c>
      <c r="CX21" s="19">
        <v>799</v>
      </c>
      <c r="CY21" s="19">
        <v>6186</v>
      </c>
      <c r="CZ21" s="19">
        <v>0</v>
      </c>
      <c r="DA21" s="19">
        <v>293</v>
      </c>
      <c r="DB21" s="19">
        <v>2593</v>
      </c>
      <c r="DC21" s="19">
        <v>2985</v>
      </c>
      <c r="DD21" s="19">
        <v>11</v>
      </c>
      <c r="DE21" s="19">
        <v>304</v>
      </c>
      <c r="DF21" s="19">
        <v>150</v>
      </c>
      <c r="DG21" s="19">
        <v>75</v>
      </c>
      <c r="DH21" s="19">
        <v>0</v>
      </c>
      <c r="DI21" s="19">
        <v>0</v>
      </c>
      <c r="DJ21" s="19">
        <v>75</v>
      </c>
      <c r="DK21" s="19">
        <v>0</v>
      </c>
      <c r="DL21" s="19">
        <v>0</v>
      </c>
      <c r="DM21" s="19">
        <v>0</v>
      </c>
      <c r="DN21" s="19">
        <v>75</v>
      </c>
      <c r="DO21" s="19">
        <v>0</v>
      </c>
      <c r="DP21" s="19">
        <v>0</v>
      </c>
      <c r="DQ21" s="19">
        <v>75</v>
      </c>
      <c r="DR21" s="19">
        <v>0</v>
      </c>
      <c r="DS21" s="19">
        <v>0</v>
      </c>
      <c r="DT21" s="19">
        <v>0</v>
      </c>
      <c r="DU21" s="19">
        <v>61404</v>
      </c>
      <c r="DV21" s="19">
        <v>55473</v>
      </c>
      <c r="DW21" s="19">
        <v>30</v>
      </c>
      <c r="DX21" s="19">
        <v>5901</v>
      </c>
      <c r="DY21" s="19">
        <v>0</v>
      </c>
      <c r="DZ21" s="19">
        <v>5933</v>
      </c>
      <c r="EA21" s="19">
        <v>1606</v>
      </c>
      <c r="EB21" s="19">
        <v>1</v>
      </c>
      <c r="EC21" s="19">
        <v>0</v>
      </c>
      <c r="ED21" s="19">
        <v>1602</v>
      </c>
      <c r="EE21" s="19">
        <v>0</v>
      </c>
      <c r="EF21" s="19">
        <v>3</v>
      </c>
      <c r="EG21" s="19">
        <v>0</v>
      </c>
      <c r="EH21" s="19">
        <v>4327</v>
      </c>
      <c r="EI21" s="19">
        <v>0</v>
      </c>
      <c r="EJ21" s="19">
        <v>0</v>
      </c>
      <c r="EK21" s="19">
        <v>4106</v>
      </c>
      <c r="EL21" s="19">
        <v>0</v>
      </c>
      <c r="EM21" s="19">
        <v>221</v>
      </c>
      <c r="EN21" s="19">
        <v>0</v>
      </c>
    </row>
    <row r="22" spans="1:144" ht="13.5" customHeight="1">
      <c r="A22" s="17" t="s">
        <v>88</v>
      </c>
      <c r="B22" s="18" t="s">
        <v>89</v>
      </c>
      <c r="C22" s="17" t="s">
        <v>59</v>
      </c>
      <c r="D22" s="19">
        <v>372965</v>
      </c>
      <c r="E22" s="19">
        <v>286615</v>
      </c>
      <c r="F22" s="19">
        <v>266569</v>
      </c>
      <c r="G22" s="19">
        <v>0</v>
      </c>
      <c r="H22" s="19">
        <v>266179</v>
      </c>
      <c r="I22" s="19">
        <v>390</v>
      </c>
      <c r="J22" s="19">
        <v>0</v>
      </c>
      <c r="K22" s="19">
        <v>0</v>
      </c>
      <c r="L22" s="19">
        <v>0</v>
      </c>
      <c r="M22" s="19">
        <v>20046</v>
      </c>
      <c r="N22" s="19">
        <v>0</v>
      </c>
      <c r="O22" s="19">
        <v>20042</v>
      </c>
      <c r="P22" s="19">
        <v>4</v>
      </c>
      <c r="Q22" s="19">
        <v>0</v>
      </c>
      <c r="R22" s="19">
        <v>0</v>
      </c>
      <c r="S22" s="19">
        <v>0</v>
      </c>
      <c r="T22" s="19">
        <v>17094</v>
      </c>
      <c r="U22" s="19">
        <v>14267</v>
      </c>
      <c r="V22" s="19">
        <v>0</v>
      </c>
      <c r="W22" s="19">
        <v>0</v>
      </c>
      <c r="X22" s="19">
        <v>13422</v>
      </c>
      <c r="Y22" s="19">
        <v>108</v>
      </c>
      <c r="Z22" s="19">
        <v>21</v>
      </c>
      <c r="AA22" s="19">
        <v>716</v>
      </c>
      <c r="AB22" s="19">
        <v>2827</v>
      </c>
      <c r="AC22" s="19">
        <v>0</v>
      </c>
      <c r="AD22" s="19">
        <v>0</v>
      </c>
      <c r="AE22" s="19">
        <v>1120</v>
      </c>
      <c r="AF22" s="19">
        <v>60</v>
      </c>
      <c r="AG22" s="19">
        <v>0</v>
      </c>
      <c r="AH22" s="19">
        <v>1647</v>
      </c>
      <c r="AI22" s="19">
        <v>9425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9425</v>
      </c>
      <c r="AR22" s="19">
        <v>0</v>
      </c>
      <c r="AS22" s="19">
        <v>359</v>
      </c>
      <c r="AT22" s="19">
        <v>0</v>
      </c>
      <c r="AU22" s="19">
        <v>8025</v>
      </c>
      <c r="AV22" s="19">
        <v>0</v>
      </c>
      <c r="AW22" s="19">
        <v>1041</v>
      </c>
      <c r="AX22" s="19">
        <v>2925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2925</v>
      </c>
      <c r="BG22" s="19">
        <v>0</v>
      </c>
      <c r="BH22" s="19">
        <v>0</v>
      </c>
      <c r="BI22" s="19">
        <v>0</v>
      </c>
      <c r="BJ22" s="19">
        <v>2925</v>
      </c>
      <c r="BK22" s="19">
        <v>0</v>
      </c>
      <c r="BL22" s="19">
        <v>0</v>
      </c>
      <c r="BM22" s="19">
        <v>3708</v>
      </c>
      <c r="BN22" s="19">
        <v>639</v>
      </c>
      <c r="BO22" s="19">
        <v>0</v>
      </c>
      <c r="BP22" s="19">
        <v>0</v>
      </c>
      <c r="BQ22" s="19">
        <v>0</v>
      </c>
      <c r="BR22" s="19">
        <v>639</v>
      </c>
      <c r="BS22" s="19">
        <v>0</v>
      </c>
      <c r="BT22" s="19">
        <v>0</v>
      </c>
      <c r="BU22" s="19">
        <v>3069</v>
      </c>
      <c r="BV22" s="19">
        <v>0</v>
      </c>
      <c r="BW22" s="19">
        <v>0</v>
      </c>
      <c r="BX22" s="19">
        <v>0</v>
      </c>
      <c r="BY22" s="19">
        <v>3069</v>
      </c>
      <c r="BZ22" s="19">
        <v>0</v>
      </c>
      <c r="CA22" s="19">
        <v>0</v>
      </c>
      <c r="CB22" s="19">
        <v>25129</v>
      </c>
      <c r="CC22" s="19">
        <v>677</v>
      </c>
      <c r="CD22" s="19">
        <v>0</v>
      </c>
      <c r="CE22" s="19">
        <v>0</v>
      </c>
      <c r="CF22" s="19">
        <v>44</v>
      </c>
      <c r="CG22" s="19">
        <v>633</v>
      </c>
      <c r="CH22" s="19">
        <v>0</v>
      </c>
      <c r="CI22" s="19">
        <v>0</v>
      </c>
      <c r="CJ22" s="19">
        <v>24452</v>
      </c>
      <c r="CK22" s="19">
        <v>0</v>
      </c>
      <c r="CL22" s="19">
        <v>115</v>
      </c>
      <c r="CM22" s="19">
        <v>55</v>
      </c>
      <c r="CN22" s="19">
        <v>24092</v>
      </c>
      <c r="CO22" s="19">
        <v>0</v>
      </c>
      <c r="CP22" s="19">
        <v>190</v>
      </c>
      <c r="CQ22" s="19">
        <v>13237</v>
      </c>
      <c r="CR22" s="19">
        <v>11225</v>
      </c>
      <c r="CS22" s="19">
        <v>0</v>
      </c>
      <c r="CT22" s="19">
        <v>0</v>
      </c>
      <c r="CU22" s="19">
        <v>439</v>
      </c>
      <c r="CV22" s="19">
        <v>10761</v>
      </c>
      <c r="CW22" s="19">
        <v>25</v>
      </c>
      <c r="CX22" s="19">
        <v>0</v>
      </c>
      <c r="CY22" s="19">
        <v>2012</v>
      </c>
      <c r="CZ22" s="19">
        <v>0</v>
      </c>
      <c r="DA22" s="19">
        <v>5</v>
      </c>
      <c r="DB22" s="19">
        <v>418</v>
      </c>
      <c r="DC22" s="19">
        <v>847</v>
      </c>
      <c r="DD22" s="19">
        <v>0</v>
      </c>
      <c r="DE22" s="19">
        <v>742</v>
      </c>
      <c r="DF22" s="19">
        <v>5</v>
      </c>
      <c r="DG22" s="19">
        <v>5</v>
      </c>
      <c r="DH22" s="19">
        <v>0</v>
      </c>
      <c r="DI22" s="19">
        <v>0</v>
      </c>
      <c r="DJ22" s="19">
        <v>0</v>
      </c>
      <c r="DK22" s="19">
        <v>0</v>
      </c>
      <c r="DL22" s="19">
        <v>5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11840</v>
      </c>
      <c r="DV22" s="19">
        <v>11574</v>
      </c>
      <c r="DW22" s="19">
        <v>16</v>
      </c>
      <c r="DX22" s="19">
        <v>250</v>
      </c>
      <c r="DY22" s="19">
        <v>0</v>
      </c>
      <c r="DZ22" s="19">
        <v>2987</v>
      </c>
      <c r="EA22" s="19">
        <v>1508</v>
      </c>
      <c r="EB22" s="19">
        <v>0</v>
      </c>
      <c r="EC22" s="19">
        <v>0</v>
      </c>
      <c r="ED22" s="19">
        <v>652</v>
      </c>
      <c r="EE22" s="19">
        <v>0</v>
      </c>
      <c r="EF22" s="19">
        <v>856</v>
      </c>
      <c r="EG22" s="19">
        <v>0</v>
      </c>
      <c r="EH22" s="19">
        <v>1479</v>
      </c>
      <c r="EI22" s="19">
        <v>0</v>
      </c>
      <c r="EJ22" s="19">
        <v>0</v>
      </c>
      <c r="EK22" s="19">
        <v>1367</v>
      </c>
      <c r="EL22" s="19">
        <v>0</v>
      </c>
      <c r="EM22" s="19">
        <v>112</v>
      </c>
      <c r="EN22" s="19">
        <v>0</v>
      </c>
    </row>
    <row r="23" spans="1:144" ht="13.5" customHeight="1">
      <c r="A23" s="17" t="s">
        <v>90</v>
      </c>
      <c r="B23" s="18" t="s">
        <v>91</v>
      </c>
      <c r="C23" s="17" t="s">
        <v>59</v>
      </c>
      <c r="D23" s="19">
        <v>366537</v>
      </c>
      <c r="E23" s="19">
        <v>213640</v>
      </c>
      <c r="F23" s="19">
        <v>208084</v>
      </c>
      <c r="G23" s="19">
        <v>0</v>
      </c>
      <c r="H23" s="19">
        <v>208028</v>
      </c>
      <c r="I23" s="19">
        <v>0</v>
      </c>
      <c r="J23" s="19">
        <v>0</v>
      </c>
      <c r="K23" s="19">
        <v>0</v>
      </c>
      <c r="L23" s="19">
        <v>56</v>
      </c>
      <c r="M23" s="19">
        <v>5556</v>
      </c>
      <c r="N23" s="19">
        <v>0</v>
      </c>
      <c r="O23" s="19">
        <v>5469</v>
      </c>
      <c r="P23" s="19">
        <v>0</v>
      </c>
      <c r="Q23" s="19">
        <v>0</v>
      </c>
      <c r="R23" s="19">
        <v>0</v>
      </c>
      <c r="S23" s="19">
        <v>87</v>
      </c>
      <c r="T23" s="19">
        <v>6206</v>
      </c>
      <c r="U23" s="19">
        <v>2943</v>
      </c>
      <c r="V23" s="19">
        <v>0</v>
      </c>
      <c r="W23" s="19">
        <v>0</v>
      </c>
      <c r="X23" s="19">
        <v>883</v>
      </c>
      <c r="Y23" s="19">
        <v>1212</v>
      </c>
      <c r="Z23" s="19">
        <v>0</v>
      </c>
      <c r="AA23" s="19">
        <v>848</v>
      </c>
      <c r="AB23" s="19">
        <v>3263</v>
      </c>
      <c r="AC23" s="19">
        <v>0</v>
      </c>
      <c r="AD23" s="19">
        <v>0</v>
      </c>
      <c r="AE23" s="19">
        <v>243</v>
      </c>
      <c r="AF23" s="19">
        <v>1476</v>
      </c>
      <c r="AG23" s="19">
        <v>0</v>
      </c>
      <c r="AH23" s="19">
        <v>1544</v>
      </c>
      <c r="AI23" s="19">
        <v>954</v>
      </c>
      <c r="AJ23" s="19">
        <v>761</v>
      </c>
      <c r="AK23" s="19">
        <v>0</v>
      </c>
      <c r="AL23" s="19">
        <v>0</v>
      </c>
      <c r="AM23" s="19">
        <v>0</v>
      </c>
      <c r="AN23" s="19">
        <v>761</v>
      </c>
      <c r="AO23" s="19">
        <v>0</v>
      </c>
      <c r="AP23" s="19">
        <v>0</v>
      </c>
      <c r="AQ23" s="19">
        <v>193</v>
      </c>
      <c r="AR23" s="19">
        <v>0</v>
      </c>
      <c r="AS23" s="19">
        <v>0</v>
      </c>
      <c r="AT23" s="19">
        <v>0</v>
      </c>
      <c r="AU23" s="19">
        <v>193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25</v>
      </c>
      <c r="BN23" s="19">
        <v>25</v>
      </c>
      <c r="BO23" s="19">
        <v>0</v>
      </c>
      <c r="BP23" s="19">
        <v>0</v>
      </c>
      <c r="BQ23" s="19">
        <v>0</v>
      </c>
      <c r="BR23" s="19">
        <v>25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68425</v>
      </c>
      <c r="CC23" s="19">
        <v>62367</v>
      </c>
      <c r="CD23" s="19">
        <v>0</v>
      </c>
      <c r="CE23" s="19">
        <v>61196</v>
      </c>
      <c r="CF23" s="19">
        <v>0</v>
      </c>
      <c r="CG23" s="19">
        <v>1171</v>
      </c>
      <c r="CH23" s="19">
        <v>0</v>
      </c>
      <c r="CI23" s="19">
        <v>0</v>
      </c>
      <c r="CJ23" s="19">
        <v>6058</v>
      </c>
      <c r="CK23" s="19">
        <v>0</v>
      </c>
      <c r="CL23" s="19">
        <v>5977</v>
      </c>
      <c r="CM23" s="19">
        <v>0</v>
      </c>
      <c r="CN23" s="19">
        <v>81</v>
      </c>
      <c r="CO23" s="19">
        <v>0</v>
      </c>
      <c r="CP23" s="19">
        <v>0</v>
      </c>
      <c r="CQ23" s="19">
        <v>45115</v>
      </c>
      <c r="CR23" s="19">
        <v>24007</v>
      </c>
      <c r="CS23" s="19">
        <v>0</v>
      </c>
      <c r="CT23" s="19">
        <v>0</v>
      </c>
      <c r="CU23" s="19">
        <v>5083</v>
      </c>
      <c r="CV23" s="19">
        <v>13439</v>
      </c>
      <c r="CW23" s="19">
        <v>52</v>
      </c>
      <c r="CX23" s="19">
        <v>5433</v>
      </c>
      <c r="CY23" s="19">
        <v>21108</v>
      </c>
      <c r="CZ23" s="19">
        <v>0</v>
      </c>
      <c r="DA23" s="19">
        <v>0</v>
      </c>
      <c r="DB23" s="19">
        <v>9152</v>
      </c>
      <c r="DC23" s="19">
        <v>4804</v>
      </c>
      <c r="DD23" s="19">
        <v>8</v>
      </c>
      <c r="DE23" s="19">
        <v>7144</v>
      </c>
      <c r="DF23" s="19">
        <v>4050</v>
      </c>
      <c r="DG23" s="19">
        <v>1</v>
      </c>
      <c r="DH23" s="19">
        <v>0</v>
      </c>
      <c r="DI23" s="19">
        <v>0</v>
      </c>
      <c r="DJ23" s="19">
        <v>0</v>
      </c>
      <c r="DK23" s="19">
        <v>0</v>
      </c>
      <c r="DL23" s="19">
        <v>1</v>
      </c>
      <c r="DM23" s="19">
        <v>0</v>
      </c>
      <c r="DN23" s="19">
        <v>4049</v>
      </c>
      <c r="DO23" s="19">
        <v>0</v>
      </c>
      <c r="DP23" s="19">
        <v>0</v>
      </c>
      <c r="DQ23" s="19">
        <v>0</v>
      </c>
      <c r="DR23" s="19">
        <v>0</v>
      </c>
      <c r="DS23" s="19">
        <v>970</v>
      </c>
      <c r="DT23" s="19">
        <v>3079</v>
      </c>
      <c r="DU23" s="19">
        <v>17701</v>
      </c>
      <c r="DV23" s="19">
        <v>14558</v>
      </c>
      <c r="DW23" s="19">
        <v>0</v>
      </c>
      <c r="DX23" s="19">
        <v>3143</v>
      </c>
      <c r="DY23" s="19">
        <v>0</v>
      </c>
      <c r="DZ23" s="19">
        <v>10421</v>
      </c>
      <c r="EA23" s="19">
        <v>5069</v>
      </c>
      <c r="EB23" s="19">
        <v>0</v>
      </c>
      <c r="EC23" s="19">
        <v>0</v>
      </c>
      <c r="ED23" s="19">
        <v>5022</v>
      </c>
      <c r="EE23" s="19">
        <v>0</v>
      </c>
      <c r="EF23" s="19">
        <v>35</v>
      </c>
      <c r="EG23" s="19">
        <v>12</v>
      </c>
      <c r="EH23" s="19">
        <v>5352</v>
      </c>
      <c r="EI23" s="19">
        <v>0</v>
      </c>
      <c r="EJ23" s="19">
        <v>0</v>
      </c>
      <c r="EK23" s="19">
        <v>4330</v>
      </c>
      <c r="EL23" s="19">
        <v>0</v>
      </c>
      <c r="EM23" s="19">
        <v>834</v>
      </c>
      <c r="EN23" s="19">
        <v>188</v>
      </c>
    </row>
    <row r="24" spans="1:144" ht="13.5" customHeight="1">
      <c r="A24" s="17" t="s">
        <v>92</v>
      </c>
      <c r="B24" s="18" t="s">
        <v>93</v>
      </c>
      <c r="C24" s="17" t="s">
        <v>59</v>
      </c>
      <c r="D24" s="19">
        <v>249145</v>
      </c>
      <c r="E24" s="19">
        <v>201570</v>
      </c>
      <c r="F24" s="19">
        <v>177303</v>
      </c>
      <c r="G24" s="19">
        <v>0</v>
      </c>
      <c r="H24" s="19">
        <v>177303</v>
      </c>
      <c r="I24" s="19">
        <v>0</v>
      </c>
      <c r="J24" s="19">
        <v>0</v>
      </c>
      <c r="K24" s="19">
        <v>0</v>
      </c>
      <c r="L24" s="19">
        <v>0</v>
      </c>
      <c r="M24" s="19">
        <v>24267</v>
      </c>
      <c r="N24" s="19">
        <v>0</v>
      </c>
      <c r="O24" s="19">
        <v>22846</v>
      </c>
      <c r="P24" s="19">
        <v>0</v>
      </c>
      <c r="Q24" s="19">
        <v>0</v>
      </c>
      <c r="R24" s="19">
        <v>0</v>
      </c>
      <c r="S24" s="19">
        <v>1421</v>
      </c>
      <c r="T24" s="19">
        <v>28028</v>
      </c>
      <c r="U24" s="19">
        <v>16122</v>
      </c>
      <c r="V24" s="19">
        <v>0</v>
      </c>
      <c r="W24" s="19">
        <v>0</v>
      </c>
      <c r="X24" s="19">
        <v>12365</v>
      </c>
      <c r="Y24" s="19">
        <v>997</v>
      </c>
      <c r="Z24" s="19">
        <v>60</v>
      </c>
      <c r="AA24" s="19">
        <v>2700</v>
      </c>
      <c r="AB24" s="19">
        <v>11906</v>
      </c>
      <c r="AC24" s="19">
        <v>0</v>
      </c>
      <c r="AD24" s="19">
        <v>200</v>
      </c>
      <c r="AE24" s="19">
        <v>5344</v>
      </c>
      <c r="AF24" s="19">
        <v>9</v>
      </c>
      <c r="AG24" s="19">
        <v>0</v>
      </c>
      <c r="AH24" s="19">
        <v>6353</v>
      </c>
      <c r="AI24" s="19">
        <v>140</v>
      </c>
      <c r="AJ24" s="19">
        <v>140</v>
      </c>
      <c r="AK24" s="19">
        <v>0</v>
      </c>
      <c r="AL24" s="19">
        <v>0</v>
      </c>
      <c r="AM24" s="19">
        <v>0</v>
      </c>
      <c r="AN24" s="19">
        <v>140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12817</v>
      </c>
      <c r="CR24" s="19">
        <v>10662</v>
      </c>
      <c r="CS24" s="19">
        <v>0</v>
      </c>
      <c r="CT24" s="19">
        <v>0</v>
      </c>
      <c r="CU24" s="19">
        <v>448</v>
      </c>
      <c r="CV24" s="19">
        <v>10095</v>
      </c>
      <c r="CW24" s="19">
        <v>98</v>
      </c>
      <c r="CX24" s="19">
        <v>21</v>
      </c>
      <c r="CY24" s="19">
        <v>2155</v>
      </c>
      <c r="CZ24" s="19">
        <v>0</v>
      </c>
      <c r="DA24" s="19">
        <v>510</v>
      </c>
      <c r="DB24" s="19">
        <v>655</v>
      </c>
      <c r="DC24" s="19">
        <v>775</v>
      </c>
      <c r="DD24" s="19">
        <v>4</v>
      </c>
      <c r="DE24" s="19">
        <v>211</v>
      </c>
      <c r="DF24" s="19">
        <v>2</v>
      </c>
      <c r="DG24" s="19">
        <v>2</v>
      </c>
      <c r="DH24" s="19">
        <v>0</v>
      </c>
      <c r="DI24" s="19">
        <v>0</v>
      </c>
      <c r="DJ24" s="19">
        <v>0</v>
      </c>
      <c r="DK24" s="19">
        <v>0</v>
      </c>
      <c r="DL24" s="19">
        <v>2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5755</v>
      </c>
      <c r="DV24" s="19">
        <v>5514</v>
      </c>
      <c r="DW24" s="19">
        <v>27</v>
      </c>
      <c r="DX24" s="19">
        <v>57</v>
      </c>
      <c r="DY24" s="19">
        <v>157</v>
      </c>
      <c r="DZ24" s="19">
        <v>833</v>
      </c>
      <c r="EA24" s="19">
        <v>431</v>
      </c>
      <c r="EB24" s="19">
        <v>0</v>
      </c>
      <c r="EC24" s="19">
        <v>0</v>
      </c>
      <c r="ED24" s="19">
        <v>431</v>
      </c>
      <c r="EE24" s="19">
        <v>0</v>
      </c>
      <c r="EF24" s="19">
        <v>0</v>
      </c>
      <c r="EG24" s="19">
        <v>0</v>
      </c>
      <c r="EH24" s="19">
        <v>402</v>
      </c>
      <c r="EI24" s="19">
        <v>0</v>
      </c>
      <c r="EJ24" s="19">
        <v>0</v>
      </c>
      <c r="EK24" s="19">
        <v>402</v>
      </c>
      <c r="EL24" s="19">
        <v>0</v>
      </c>
      <c r="EM24" s="19">
        <v>0</v>
      </c>
      <c r="EN24" s="19">
        <v>0</v>
      </c>
    </row>
    <row r="25" spans="1:144" ht="13.5" customHeight="1">
      <c r="A25" s="17" t="s">
        <v>94</v>
      </c>
      <c r="B25" s="18" t="s">
        <v>95</v>
      </c>
      <c r="C25" s="17" t="s">
        <v>59</v>
      </c>
      <c r="D25" s="19">
        <v>275368</v>
      </c>
      <c r="E25" s="19">
        <v>233243</v>
      </c>
      <c r="F25" s="19">
        <v>214954</v>
      </c>
      <c r="G25" s="19">
        <v>0</v>
      </c>
      <c r="H25" s="19">
        <v>213326</v>
      </c>
      <c r="I25" s="19">
        <v>626</v>
      </c>
      <c r="J25" s="19">
        <v>0</v>
      </c>
      <c r="K25" s="19">
        <v>9</v>
      </c>
      <c r="L25" s="19">
        <v>993</v>
      </c>
      <c r="M25" s="19">
        <v>18289</v>
      </c>
      <c r="N25" s="19">
        <v>0</v>
      </c>
      <c r="O25" s="19">
        <v>17724</v>
      </c>
      <c r="P25" s="19">
        <v>126</v>
      </c>
      <c r="Q25" s="19">
        <v>9</v>
      </c>
      <c r="R25" s="19">
        <v>0</v>
      </c>
      <c r="S25" s="19">
        <v>430</v>
      </c>
      <c r="T25" s="19">
        <v>18926</v>
      </c>
      <c r="U25" s="19">
        <v>14954</v>
      </c>
      <c r="V25" s="19">
        <v>0</v>
      </c>
      <c r="W25" s="19">
        <v>0</v>
      </c>
      <c r="X25" s="19">
        <v>8335</v>
      </c>
      <c r="Y25" s="19">
        <v>4388</v>
      </c>
      <c r="Z25" s="19">
        <v>11</v>
      </c>
      <c r="AA25" s="19">
        <v>2220</v>
      </c>
      <c r="AB25" s="19">
        <v>3972</v>
      </c>
      <c r="AC25" s="19">
        <v>0</v>
      </c>
      <c r="AD25" s="19">
        <v>0</v>
      </c>
      <c r="AE25" s="19">
        <v>2284</v>
      </c>
      <c r="AF25" s="19">
        <v>190</v>
      </c>
      <c r="AG25" s="19">
        <v>0</v>
      </c>
      <c r="AH25" s="19">
        <v>1498</v>
      </c>
      <c r="AI25" s="19">
        <v>195</v>
      </c>
      <c r="AJ25" s="19">
        <v>58</v>
      </c>
      <c r="AK25" s="19">
        <v>0</v>
      </c>
      <c r="AL25" s="19">
        <v>0</v>
      </c>
      <c r="AM25" s="19">
        <v>0</v>
      </c>
      <c r="AN25" s="19">
        <v>58</v>
      </c>
      <c r="AO25" s="19">
        <v>0</v>
      </c>
      <c r="AP25" s="19">
        <v>0</v>
      </c>
      <c r="AQ25" s="19">
        <v>137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137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11390</v>
      </c>
      <c r="CR25" s="19">
        <v>9791</v>
      </c>
      <c r="CS25" s="19">
        <v>0</v>
      </c>
      <c r="CT25" s="19">
        <v>0</v>
      </c>
      <c r="CU25" s="19">
        <v>1730</v>
      </c>
      <c r="CV25" s="19">
        <v>7526</v>
      </c>
      <c r="CW25" s="19">
        <v>64</v>
      </c>
      <c r="CX25" s="19">
        <v>471</v>
      </c>
      <c r="CY25" s="19">
        <v>1599</v>
      </c>
      <c r="CZ25" s="19">
        <v>0</v>
      </c>
      <c r="DA25" s="19">
        <v>0</v>
      </c>
      <c r="DB25" s="19">
        <v>387</v>
      </c>
      <c r="DC25" s="19">
        <v>775</v>
      </c>
      <c r="DD25" s="19">
        <v>19</v>
      </c>
      <c r="DE25" s="19">
        <v>418</v>
      </c>
      <c r="DF25" s="19">
        <v>27</v>
      </c>
      <c r="DG25" s="19">
        <v>27</v>
      </c>
      <c r="DH25" s="19">
        <v>0</v>
      </c>
      <c r="DI25" s="19">
        <v>0</v>
      </c>
      <c r="DJ25" s="19">
        <v>19</v>
      </c>
      <c r="DK25" s="19">
        <v>0</v>
      </c>
      <c r="DL25" s="19">
        <v>8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11587</v>
      </c>
      <c r="DV25" s="19">
        <v>10910</v>
      </c>
      <c r="DW25" s="19">
        <v>23</v>
      </c>
      <c r="DX25" s="19">
        <v>654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</row>
    <row r="26" spans="1:144" ht="13.5" customHeight="1">
      <c r="A26" s="17" t="s">
        <v>96</v>
      </c>
      <c r="B26" s="18" t="s">
        <v>97</v>
      </c>
      <c r="C26" s="17" t="s">
        <v>59</v>
      </c>
      <c r="D26" s="19">
        <v>587669</v>
      </c>
      <c r="E26" s="19">
        <v>471225</v>
      </c>
      <c r="F26" s="19">
        <v>434228</v>
      </c>
      <c r="G26" s="19">
        <v>0</v>
      </c>
      <c r="H26" s="19">
        <v>433826</v>
      </c>
      <c r="I26" s="19">
        <v>240</v>
      </c>
      <c r="J26" s="19">
        <v>0</v>
      </c>
      <c r="K26" s="19">
        <v>0</v>
      </c>
      <c r="L26" s="19">
        <v>162</v>
      </c>
      <c r="M26" s="19">
        <v>36997</v>
      </c>
      <c r="N26" s="19">
        <v>0</v>
      </c>
      <c r="O26" s="19">
        <v>36048</v>
      </c>
      <c r="P26" s="19">
        <v>77</v>
      </c>
      <c r="Q26" s="19">
        <v>0</v>
      </c>
      <c r="R26" s="19">
        <v>16</v>
      </c>
      <c r="S26" s="19">
        <v>856</v>
      </c>
      <c r="T26" s="19">
        <v>14885</v>
      </c>
      <c r="U26" s="19">
        <v>10109</v>
      </c>
      <c r="V26" s="19">
        <v>3</v>
      </c>
      <c r="W26" s="19">
        <v>500</v>
      </c>
      <c r="X26" s="19">
        <v>7826</v>
      </c>
      <c r="Y26" s="19">
        <v>669</v>
      </c>
      <c r="Z26" s="19">
        <v>0</v>
      </c>
      <c r="AA26" s="19">
        <v>1111</v>
      </c>
      <c r="AB26" s="19">
        <v>4776</v>
      </c>
      <c r="AC26" s="19">
        <v>7</v>
      </c>
      <c r="AD26" s="19">
        <v>1029</v>
      </c>
      <c r="AE26" s="19">
        <v>1465</v>
      </c>
      <c r="AF26" s="19">
        <v>83</v>
      </c>
      <c r="AG26" s="19">
        <v>0</v>
      </c>
      <c r="AH26" s="19">
        <v>2192</v>
      </c>
      <c r="AI26" s="19">
        <v>5739</v>
      </c>
      <c r="AJ26" s="19">
        <v>3691</v>
      </c>
      <c r="AK26" s="19">
        <v>0</v>
      </c>
      <c r="AL26" s="19">
        <v>0</v>
      </c>
      <c r="AM26" s="19">
        <v>0</v>
      </c>
      <c r="AN26" s="19">
        <v>3655</v>
      </c>
      <c r="AO26" s="19">
        <v>36</v>
      </c>
      <c r="AP26" s="19">
        <v>0</v>
      </c>
      <c r="AQ26" s="19">
        <v>2048</v>
      </c>
      <c r="AR26" s="19">
        <v>0</v>
      </c>
      <c r="AS26" s="19">
        <v>0</v>
      </c>
      <c r="AT26" s="19">
        <v>0</v>
      </c>
      <c r="AU26" s="19">
        <v>564</v>
      </c>
      <c r="AV26" s="19">
        <v>1484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19">
        <v>3</v>
      </c>
      <c r="CC26" s="19">
        <v>2</v>
      </c>
      <c r="CD26" s="19">
        <v>0</v>
      </c>
      <c r="CE26" s="19">
        <v>0</v>
      </c>
      <c r="CF26" s="19">
        <v>0</v>
      </c>
      <c r="CG26" s="19">
        <v>2</v>
      </c>
      <c r="CH26" s="19">
        <v>0</v>
      </c>
      <c r="CI26" s="19">
        <v>0</v>
      </c>
      <c r="CJ26" s="19">
        <v>1</v>
      </c>
      <c r="CK26" s="19">
        <v>0</v>
      </c>
      <c r="CL26" s="19">
        <v>0</v>
      </c>
      <c r="CM26" s="19">
        <v>0</v>
      </c>
      <c r="CN26" s="19">
        <v>1</v>
      </c>
      <c r="CO26" s="19">
        <v>0</v>
      </c>
      <c r="CP26" s="19">
        <v>0</v>
      </c>
      <c r="CQ26" s="19">
        <v>39828</v>
      </c>
      <c r="CR26" s="19">
        <v>37243</v>
      </c>
      <c r="CS26" s="19">
        <v>0</v>
      </c>
      <c r="CT26" s="19">
        <v>0</v>
      </c>
      <c r="CU26" s="19">
        <v>4189</v>
      </c>
      <c r="CV26" s="19">
        <v>32861</v>
      </c>
      <c r="CW26" s="19">
        <v>131</v>
      </c>
      <c r="CX26" s="19">
        <v>62</v>
      </c>
      <c r="CY26" s="19">
        <v>2585</v>
      </c>
      <c r="CZ26" s="19">
        <v>0</v>
      </c>
      <c r="DA26" s="19">
        <v>0</v>
      </c>
      <c r="DB26" s="19">
        <v>386</v>
      </c>
      <c r="DC26" s="19">
        <v>1586</v>
      </c>
      <c r="DD26" s="19">
        <v>8</v>
      </c>
      <c r="DE26" s="19">
        <v>605</v>
      </c>
      <c r="DF26" s="19">
        <v>2069</v>
      </c>
      <c r="DG26" s="19">
        <v>1234</v>
      </c>
      <c r="DH26" s="19">
        <v>0</v>
      </c>
      <c r="DI26" s="19">
        <v>0</v>
      </c>
      <c r="DJ26" s="19">
        <v>1146</v>
      </c>
      <c r="DK26" s="19">
        <v>0</v>
      </c>
      <c r="DL26" s="19">
        <v>46</v>
      </c>
      <c r="DM26" s="19">
        <v>42</v>
      </c>
      <c r="DN26" s="19">
        <v>835</v>
      </c>
      <c r="DO26" s="19">
        <v>0</v>
      </c>
      <c r="DP26" s="19">
        <v>0</v>
      </c>
      <c r="DQ26" s="19">
        <v>301</v>
      </c>
      <c r="DR26" s="19">
        <v>518</v>
      </c>
      <c r="DS26" s="19">
        <v>8</v>
      </c>
      <c r="DT26" s="19">
        <v>8</v>
      </c>
      <c r="DU26" s="19">
        <v>49077</v>
      </c>
      <c r="DV26" s="19">
        <v>45545</v>
      </c>
      <c r="DW26" s="19">
        <v>23</v>
      </c>
      <c r="DX26" s="19">
        <v>3509</v>
      </c>
      <c r="DY26" s="19">
        <v>0</v>
      </c>
      <c r="DZ26" s="19">
        <v>4843</v>
      </c>
      <c r="EA26" s="19">
        <v>3727</v>
      </c>
      <c r="EB26" s="19">
        <v>0</v>
      </c>
      <c r="EC26" s="19">
        <v>0</v>
      </c>
      <c r="ED26" s="19">
        <v>3715</v>
      </c>
      <c r="EE26" s="19">
        <v>0</v>
      </c>
      <c r="EF26" s="19">
        <v>7</v>
      </c>
      <c r="EG26" s="19">
        <v>5</v>
      </c>
      <c r="EH26" s="19">
        <v>1116</v>
      </c>
      <c r="EI26" s="19">
        <v>0</v>
      </c>
      <c r="EJ26" s="19">
        <v>0</v>
      </c>
      <c r="EK26" s="19">
        <v>1101</v>
      </c>
      <c r="EL26" s="19">
        <v>0</v>
      </c>
      <c r="EM26" s="19">
        <v>0</v>
      </c>
      <c r="EN26" s="19">
        <v>15</v>
      </c>
    </row>
    <row r="27" spans="1:144" ht="13.5" customHeight="1">
      <c r="A27" s="17" t="s">
        <v>98</v>
      </c>
      <c r="B27" s="18" t="s">
        <v>99</v>
      </c>
      <c r="C27" s="17" t="s">
        <v>59</v>
      </c>
      <c r="D27" s="19">
        <v>608062</v>
      </c>
      <c r="E27" s="19">
        <v>497254</v>
      </c>
      <c r="F27" s="19">
        <v>461390</v>
      </c>
      <c r="G27" s="19">
        <v>0</v>
      </c>
      <c r="H27" s="19">
        <v>459506</v>
      </c>
      <c r="I27" s="19">
        <v>343</v>
      </c>
      <c r="J27" s="19">
        <v>31</v>
      </c>
      <c r="K27" s="19">
        <v>0</v>
      </c>
      <c r="L27" s="19">
        <v>1510</v>
      </c>
      <c r="M27" s="19">
        <v>35864</v>
      </c>
      <c r="N27" s="19">
        <v>0</v>
      </c>
      <c r="O27" s="19">
        <v>35364</v>
      </c>
      <c r="P27" s="19">
        <v>0</v>
      </c>
      <c r="Q27" s="19">
        <v>2</v>
      </c>
      <c r="R27" s="19">
        <v>0</v>
      </c>
      <c r="S27" s="19">
        <v>498</v>
      </c>
      <c r="T27" s="19">
        <v>29262</v>
      </c>
      <c r="U27" s="19">
        <v>13354</v>
      </c>
      <c r="V27" s="19">
        <v>0</v>
      </c>
      <c r="W27" s="19">
        <v>0</v>
      </c>
      <c r="X27" s="19">
        <v>6785</v>
      </c>
      <c r="Y27" s="19">
        <v>0</v>
      </c>
      <c r="Z27" s="19">
        <v>92</v>
      </c>
      <c r="AA27" s="19">
        <v>6477</v>
      </c>
      <c r="AB27" s="19">
        <v>15908</v>
      </c>
      <c r="AC27" s="19">
        <v>0</v>
      </c>
      <c r="AD27" s="19">
        <v>0</v>
      </c>
      <c r="AE27" s="19">
        <v>4150</v>
      </c>
      <c r="AF27" s="19">
        <v>0</v>
      </c>
      <c r="AG27" s="19">
        <v>0</v>
      </c>
      <c r="AH27" s="19">
        <v>11758</v>
      </c>
      <c r="AI27" s="19">
        <v>642</v>
      </c>
      <c r="AJ27" s="19">
        <v>596</v>
      </c>
      <c r="AK27" s="19">
        <v>0</v>
      </c>
      <c r="AL27" s="19">
        <v>35</v>
      </c>
      <c r="AM27" s="19">
        <v>0</v>
      </c>
      <c r="AN27" s="19">
        <v>193</v>
      </c>
      <c r="AO27" s="19">
        <v>368</v>
      </c>
      <c r="AP27" s="19">
        <v>0</v>
      </c>
      <c r="AQ27" s="19">
        <v>46</v>
      </c>
      <c r="AR27" s="19">
        <v>0</v>
      </c>
      <c r="AS27" s="19">
        <v>0</v>
      </c>
      <c r="AT27" s="19">
        <v>0</v>
      </c>
      <c r="AU27" s="19">
        <v>0</v>
      </c>
      <c r="AV27" s="19">
        <v>46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17736</v>
      </c>
      <c r="CC27" s="19">
        <v>13677</v>
      </c>
      <c r="CD27" s="19">
        <v>0</v>
      </c>
      <c r="CE27" s="19">
        <v>11048</v>
      </c>
      <c r="CF27" s="19">
        <v>1100</v>
      </c>
      <c r="CG27" s="19">
        <v>1444</v>
      </c>
      <c r="CH27" s="19">
        <v>0</v>
      </c>
      <c r="CI27" s="19">
        <v>85</v>
      </c>
      <c r="CJ27" s="19">
        <v>4059</v>
      </c>
      <c r="CK27" s="19">
        <v>0</v>
      </c>
      <c r="CL27" s="19">
        <v>1173</v>
      </c>
      <c r="CM27" s="19">
        <v>0</v>
      </c>
      <c r="CN27" s="19">
        <v>2846</v>
      </c>
      <c r="CO27" s="19">
        <v>0</v>
      </c>
      <c r="CP27" s="19">
        <v>40</v>
      </c>
      <c r="CQ27" s="19">
        <v>34443</v>
      </c>
      <c r="CR27" s="19">
        <v>28398</v>
      </c>
      <c r="CS27" s="19">
        <v>0</v>
      </c>
      <c r="CT27" s="19">
        <v>0</v>
      </c>
      <c r="CU27" s="19">
        <v>4139</v>
      </c>
      <c r="CV27" s="19">
        <v>22399</v>
      </c>
      <c r="CW27" s="19">
        <v>118</v>
      </c>
      <c r="CX27" s="19">
        <v>1742</v>
      </c>
      <c r="CY27" s="19">
        <v>6045</v>
      </c>
      <c r="CZ27" s="19">
        <v>0</v>
      </c>
      <c r="DA27" s="19">
        <v>0</v>
      </c>
      <c r="DB27" s="19">
        <v>1438</v>
      </c>
      <c r="DC27" s="19">
        <v>3514</v>
      </c>
      <c r="DD27" s="19">
        <v>5</v>
      </c>
      <c r="DE27" s="19">
        <v>1088</v>
      </c>
      <c r="DF27" s="19">
        <v>1599</v>
      </c>
      <c r="DG27" s="19">
        <v>1290</v>
      </c>
      <c r="DH27" s="19">
        <v>176</v>
      </c>
      <c r="DI27" s="19">
        <v>0</v>
      </c>
      <c r="DJ27" s="19">
        <v>969</v>
      </c>
      <c r="DK27" s="19">
        <v>43</v>
      </c>
      <c r="DL27" s="19">
        <v>35</v>
      </c>
      <c r="DM27" s="19">
        <v>67</v>
      </c>
      <c r="DN27" s="19">
        <v>309</v>
      </c>
      <c r="DO27" s="19">
        <v>265</v>
      </c>
      <c r="DP27" s="19">
        <v>0</v>
      </c>
      <c r="DQ27" s="19">
        <v>15</v>
      </c>
      <c r="DR27" s="19">
        <v>0</v>
      </c>
      <c r="DS27" s="19">
        <v>3</v>
      </c>
      <c r="DT27" s="19">
        <v>26</v>
      </c>
      <c r="DU27" s="19">
        <v>16897</v>
      </c>
      <c r="DV27" s="19">
        <v>14630</v>
      </c>
      <c r="DW27" s="19">
        <v>54</v>
      </c>
      <c r="DX27" s="19">
        <v>2205</v>
      </c>
      <c r="DY27" s="19">
        <v>8</v>
      </c>
      <c r="DZ27" s="19">
        <v>10229</v>
      </c>
      <c r="EA27" s="19">
        <v>1940</v>
      </c>
      <c r="EB27" s="19">
        <v>0</v>
      </c>
      <c r="EC27" s="19">
        <v>0</v>
      </c>
      <c r="ED27" s="19">
        <v>1912</v>
      </c>
      <c r="EE27" s="19">
        <v>0</v>
      </c>
      <c r="EF27" s="19">
        <v>23</v>
      </c>
      <c r="EG27" s="19">
        <v>5</v>
      </c>
      <c r="EH27" s="19">
        <v>8289</v>
      </c>
      <c r="EI27" s="19">
        <v>0</v>
      </c>
      <c r="EJ27" s="19">
        <v>0</v>
      </c>
      <c r="EK27" s="19">
        <v>4719</v>
      </c>
      <c r="EL27" s="19">
        <v>496</v>
      </c>
      <c r="EM27" s="19">
        <v>3068</v>
      </c>
      <c r="EN27" s="19">
        <v>6</v>
      </c>
    </row>
    <row r="28" spans="1:144" ht="13.5" customHeight="1">
      <c r="A28" s="17" t="s">
        <v>100</v>
      </c>
      <c r="B28" s="18" t="s">
        <v>101</v>
      </c>
      <c r="C28" s="17" t="s">
        <v>59</v>
      </c>
      <c r="D28" s="19">
        <v>1092132</v>
      </c>
      <c r="E28" s="19">
        <v>940176</v>
      </c>
      <c r="F28" s="19">
        <v>861479</v>
      </c>
      <c r="G28" s="19">
        <v>0</v>
      </c>
      <c r="H28" s="19">
        <v>859118</v>
      </c>
      <c r="I28" s="19">
        <v>235</v>
      </c>
      <c r="J28" s="19">
        <v>390</v>
      </c>
      <c r="K28" s="19">
        <v>0</v>
      </c>
      <c r="L28" s="19">
        <v>1736</v>
      </c>
      <c r="M28" s="19">
        <v>78697</v>
      </c>
      <c r="N28" s="19">
        <v>0</v>
      </c>
      <c r="O28" s="19">
        <v>76588</v>
      </c>
      <c r="P28" s="19">
        <v>0</v>
      </c>
      <c r="Q28" s="19">
        <v>50</v>
      </c>
      <c r="R28" s="19">
        <v>0</v>
      </c>
      <c r="S28" s="19">
        <v>2059</v>
      </c>
      <c r="T28" s="19">
        <v>41095</v>
      </c>
      <c r="U28" s="19">
        <v>26092</v>
      </c>
      <c r="V28" s="19">
        <v>0</v>
      </c>
      <c r="W28" s="19">
        <v>0</v>
      </c>
      <c r="X28" s="19">
        <v>13790</v>
      </c>
      <c r="Y28" s="19">
        <v>3842</v>
      </c>
      <c r="Z28" s="19">
        <v>67</v>
      </c>
      <c r="AA28" s="19">
        <v>8393</v>
      </c>
      <c r="AB28" s="19">
        <v>15003</v>
      </c>
      <c r="AC28" s="19">
        <v>0</v>
      </c>
      <c r="AD28" s="19">
        <v>0</v>
      </c>
      <c r="AE28" s="19">
        <v>5515</v>
      </c>
      <c r="AF28" s="19">
        <v>1523</v>
      </c>
      <c r="AG28" s="19">
        <v>0</v>
      </c>
      <c r="AH28" s="19">
        <v>7965</v>
      </c>
      <c r="AI28" s="19">
        <v>2052</v>
      </c>
      <c r="AJ28" s="19">
        <v>1723</v>
      </c>
      <c r="AK28" s="19">
        <v>0</v>
      </c>
      <c r="AL28" s="19">
        <v>0</v>
      </c>
      <c r="AM28" s="19">
        <v>0</v>
      </c>
      <c r="AN28" s="19">
        <v>1723</v>
      </c>
      <c r="AO28" s="19">
        <v>0</v>
      </c>
      <c r="AP28" s="19">
        <v>0</v>
      </c>
      <c r="AQ28" s="19">
        <v>329</v>
      </c>
      <c r="AR28" s="19">
        <v>0</v>
      </c>
      <c r="AS28" s="19">
        <v>0</v>
      </c>
      <c r="AT28" s="19">
        <v>0</v>
      </c>
      <c r="AU28" s="19">
        <v>329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572</v>
      </c>
      <c r="CC28" s="19">
        <v>5</v>
      </c>
      <c r="CD28" s="19">
        <v>0</v>
      </c>
      <c r="CE28" s="19">
        <v>0</v>
      </c>
      <c r="CF28" s="19">
        <v>0</v>
      </c>
      <c r="CG28" s="19">
        <v>5</v>
      </c>
      <c r="CH28" s="19">
        <v>0</v>
      </c>
      <c r="CI28" s="19">
        <v>0</v>
      </c>
      <c r="CJ28" s="19">
        <v>567</v>
      </c>
      <c r="CK28" s="19">
        <v>0</v>
      </c>
      <c r="CL28" s="19">
        <v>0</v>
      </c>
      <c r="CM28" s="19">
        <v>0</v>
      </c>
      <c r="CN28" s="19">
        <v>567</v>
      </c>
      <c r="CO28" s="19">
        <v>0</v>
      </c>
      <c r="CP28" s="19">
        <v>0</v>
      </c>
      <c r="CQ28" s="19">
        <v>61761</v>
      </c>
      <c r="CR28" s="19">
        <v>50910</v>
      </c>
      <c r="CS28" s="19">
        <v>0</v>
      </c>
      <c r="CT28" s="19">
        <v>0</v>
      </c>
      <c r="CU28" s="19">
        <v>1016</v>
      </c>
      <c r="CV28" s="19">
        <v>49786</v>
      </c>
      <c r="CW28" s="19">
        <v>48</v>
      </c>
      <c r="CX28" s="19">
        <v>60</v>
      </c>
      <c r="CY28" s="19">
        <v>10851</v>
      </c>
      <c r="CZ28" s="19">
        <v>0</v>
      </c>
      <c r="DA28" s="19">
        <v>0</v>
      </c>
      <c r="DB28" s="19">
        <v>306</v>
      </c>
      <c r="DC28" s="19">
        <v>8452</v>
      </c>
      <c r="DD28" s="19">
        <v>14</v>
      </c>
      <c r="DE28" s="19">
        <v>2079</v>
      </c>
      <c r="DF28" s="19">
        <v>1984</v>
      </c>
      <c r="DG28" s="19">
        <v>969</v>
      </c>
      <c r="DH28" s="19">
        <v>0</v>
      </c>
      <c r="DI28" s="19">
        <v>0</v>
      </c>
      <c r="DJ28" s="19">
        <v>969</v>
      </c>
      <c r="DK28" s="19">
        <v>0</v>
      </c>
      <c r="DL28" s="19">
        <v>0</v>
      </c>
      <c r="DM28" s="19">
        <v>0</v>
      </c>
      <c r="DN28" s="19">
        <v>1015</v>
      </c>
      <c r="DO28" s="19">
        <v>0</v>
      </c>
      <c r="DP28" s="19">
        <v>0</v>
      </c>
      <c r="DQ28" s="19">
        <v>17</v>
      </c>
      <c r="DR28" s="19">
        <v>0</v>
      </c>
      <c r="DS28" s="19">
        <v>998</v>
      </c>
      <c r="DT28" s="19">
        <v>0</v>
      </c>
      <c r="DU28" s="19">
        <v>38809</v>
      </c>
      <c r="DV28" s="19">
        <v>34641</v>
      </c>
      <c r="DW28" s="19">
        <v>149</v>
      </c>
      <c r="DX28" s="19">
        <v>3671</v>
      </c>
      <c r="DY28" s="19">
        <v>348</v>
      </c>
      <c r="DZ28" s="19">
        <v>5683</v>
      </c>
      <c r="EA28" s="19">
        <v>2398</v>
      </c>
      <c r="EB28" s="19">
        <v>0</v>
      </c>
      <c r="EC28" s="19">
        <v>0</v>
      </c>
      <c r="ED28" s="19">
        <v>1400</v>
      </c>
      <c r="EE28" s="19">
        <v>381</v>
      </c>
      <c r="EF28" s="19">
        <v>617</v>
      </c>
      <c r="EG28" s="19">
        <v>0</v>
      </c>
      <c r="EH28" s="19">
        <v>3285</v>
      </c>
      <c r="EI28" s="19">
        <v>0</v>
      </c>
      <c r="EJ28" s="19">
        <v>0</v>
      </c>
      <c r="EK28" s="19">
        <v>2697</v>
      </c>
      <c r="EL28" s="19">
        <v>1</v>
      </c>
      <c r="EM28" s="19">
        <v>436</v>
      </c>
      <c r="EN28" s="19">
        <v>151</v>
      </c>
    </row>
    <row r="29" spans="1:144" ht="13.5" customHeight="1">
      <c r="A29" s="17" t="s">
        <v>102</v>
      </c>
      <c r="B29" s="18" t="s">
        <v>103</v>
      </c>
      <c r="C29" s="17" t="s">
        <v>59</v>
      </c>
      <c r="D29" s="19">
        <v>2313409</v>
      </c>
      <c r="E29" s="19">
        <v>1821259</v>
      </c>
      <c r="F29" s="19">
        <v>1698990</v>
      </c>
      <c r="G29" s="19">
        <v>0</v>
      </c>
      <c r="H29" s="19">
        <v>1695468</v>
      </c>
      <c r="I29" s="19">
        <v>0</v>
      </c>
      <c r="J29" s="19">
        <v>1787</v>
      </c>
      <c r="K29" s="19">
        <v>319</v>
      </c>
      <c r="L29" s="19">
        <v>1416</v>
      </c>
      <c r="M29" s="19">
        <v>122269</v>
      </c>
      <c r="N29" s="19">
        <v>0</v>
      </c>
      <c r="O29" s="19">
        <v>118333</v>
      </c>
      <c r="P29" s="19">
        <v>25</v>
      </c>
      <c r="Q29" s="19">
        <v>1010</v>
      </c>
      <c r="R29" s="19">
        <v>2</v>
      </c>
      <c r="S29" s="19">
        <v>2899</v>
      </c>
      <c r="T29" s="19">
        <v>118800</v>
      </c>
      <c r="U29" s="19">
        <v>77996</v>
      </c>
      <c r="V29" s="19">
        <v>0</v>
      </c>
      <c r="W29" s="19">
        <v>5519</v>
      </c>
      <c r="X29" s="19">
        <v>50188</v>
      </c>
      <c r="Y29" s="19">
        <v>2672</v>
      </c>
      <c r="Z29" s="19">
        <v>1287</v>
      </c>
      <c r="AA29" s="19">
        <v>18330</v>
      </c>
      <c r="AB29" s="19">
        <v>40804</v>
      </c>
      <c r="AC29" s="19">
        <v>0</v>
      </c>
      <c r="AD29" s="19">
        <v>2845</v>
      </c>
      <c r="AE29" s="19">
        <v>11187</v>
      </c>
      <c r="AF29" s="19">
        <v>555</v>
      </c>
      <c r="AG29" s="19">
        <v>800</v>
      </c>
      <c r="AH29" s="19">
        <v>25417</v>
      </c>
      <c r="AI29" s="19">
        <v>34149</v>
      </c>
      <c r="AJ29" s="19">
        <v>22775</v>
      </c>
      <c r="AK29" s="19">
        <v>0</v>
      </c>
      <c r="AL29" s="19">
        <v>0</v>
      </c>
      <c r="AM29" s="19">
        <v>0</v>
      </c>
      <c r="AN29" s="19">
        <v>22774</v>
      </c>
      <c r="AO29" s="19">
        <v>0</v>
      </c>
      <c r="AP29" s="19">
        <v>1</v>
      </c>
      <c r="AQ29" s="19">
        <v>11374</v>
      </c>
      <c r="AR29" s="19">
        <v>0</v>
      </c>
      <c r="AS29" s="19">
        <v>0</v>
      </c>
      <c r="AT29" s="19">
        <v>0</v>
      </c>
      <c r="AU29" s="19">
        <v>10735</v>
      </c>
      <c r="AV29" s="19">
        <v>639</v>
      </c>
      <c r="AW29" s="19">
        <v>0</v>
      </c>
      <c r="AX29" s="19">
        <v>5158</v>
      </c>
      <c r="AY29" s="19">
        <v>5155</v>
      </c>
      <c r="AZ29" s="19">
        <v>0</v>
      </c>
      <c r="BA29" s="19">
        <v>0</v>
      </c>
      <c r="BB29" s="19">
        <v>0</v>
      </c>
      <c r="BC29" s="19">
        <v>5155</v>
      </c>
      <c r="BD29" s="19">
        <v>0</v>
      </c>
      <c r="BE29" s="19">
        <v>0</v>
      </c>
      <c r="BF29" s="19">
        <v>3</v>
      </c>
      <c r="BG29" s="19">
        <v>0</v>
      </c>
      <c r="BH29" s="19">
        <v>0</v>
      </c>
      <c r="BI29" s="19">
        <v>0</v>
      </c>
      <c r="BJ29" s="19">
        <v>3</v>
      </c>
      <c r="BK29" s="19">
        <v>0</v>
      </c>
      <c r="BL29" s="19">
        <v>0</v>
      </c>
      <c r="BM29" s="19">
        <v>22159</v>
      </c>
      <c r="BN29" s="19">
        <v>22003</v>
      </c>
      <c r="BO29" s="19">
        <v>0</v>
      </c>
      <c r="BP29" s="19">
        <v>25</v>
      </c>
      <c r="BQ29" s="19">
        <v>0</v>
      </c>
      <c r="BR29" s="19">
        <v>21978</v>
      </c>
      <c r="BS29" s="19">
        <v>0</v>
      </c>
      <c r="BT29" s="19">
        <v>0</v>
      </c>
      <c r="BU29" s="19">
        <v>156</v>
      </c>
      <c r="BV29" s="19">
        <v>0</v>
      </c>
      <c r="BW29" s="19">
        <v>0</v>
      </c>
      <c r="BX29" s="19">
        <v>0</v>
      </c>
      <c r="BY29" s="19">
        <v>156</v>
      </c>
      <c r="BZ29" s="19">
        <v>0</v>
      </c>
      <c r="CA29" s="19">
        <v>0</v>
      </c>
      <c r="CB29" s="19">
        <v>6844</v>
      </c>
      <c r="CC29" s="19">
        <v>695</v>
      </c>
      <c r="CD29" s="19">
        <v>0</v>
      </c>
      <c r="CE29" s="19">
        <v>0</v>
      </c>
      <c r="CF29" s="19">
        <v>0</v>
      </c>
      <c r="CG29" s="19">
        <v>243</v>
      </c>
      <c r="CH29" s="19">
        <v>0</v>
      </c>
      <c r="CI29" s="19">
        <v>452</v>
      </c>
      <c r="CJ29" s="19">
        <v>6149</v>
      </c>
      <c r="CK29" s="19">
        <v>0</v>
      </c>
      <c r="CL29" s="19">
        <v>0</v>
      </c>
      <c r="CM29" s="19">
        <v>0</v>
      </c>
      <c r="CN29" s="19">
        <v>3720</v>
      </c>
      <c r="CO29" s="19">
        <v>284</v>
      </c>
      <c r="CP29" s="19">
        <v>2145</v>
      </c>
      <c r="CQ29" s="19">
        <v>189620</v>
      </c>
      <c r="CR29" s="19">
        <v>140377</v>
      </c>
      <c r="CS29" s="19">
        <v>0</v>
      </c>
      <c r="CT29" s="19">
        <v>31</v>
      </c>
      <c r="CU29" s="19">
        <v>9541</v>
      </c>
      <c r="CV29" s="19">
        <v>128764</v>
      </c>
      <c r="CW29" s="19">
        <v>850</v>
      </c>
      <c r="CX29" s="19">
        <v>1191</v>
      </c>
      <c r="CY29" s="19">
        <v>49243</v>
      </c>
      <c r="CZ29" s="19">
        <v>0</v>
      </c>
      <c r="DA29" s="19">
        <v>0</v>
      </c>
      <c r="DB29" s="19">
        <v>3692</v>
      </c>
      <c r="DC29" s="19">
        <v>41065</v>
      </c>
      <c r="DD29" s="19">
        <v>2</v>
      </c>
      <c r="DE29" s="19">
        <v>4484</v>
      </c>
      <c r="DF29" s="19">
        <v>1974</v>
      </c>
      <c r="DG29" s="19">
        <v>1349</v>
      </c>
      <c r="DH29" s="19">
        <v>0</v>
      </c>
      <c r="DI29" s="19">
        <v>0</v>
      </c>
      <c r="DJ29" s="19">
        <v>851</v>
      </c>
      <c r="DK29" s="19">
        <v>0</v>
      </c>
      <c r="DL29" s="19">
        <v>216</v>
      </c>
      <c r="DM29" s="19">
        <v>282</v>
      </c>
      <c r="DN29" s="19">
        <v>625</v>
      </c>
      <c r="DO29" s="19">
        <v>0</v>
      </c>
      <c r="DP29" s="19">
        <v>0</v>
      </c>
      <c r="DQ29" s="19">
        <v>245</v>
      </c>
      <c r="DR29" s="19">
        <v>0</v>
      </c>
      <c r="DS29" s="19">
        <v>0</v>
      </c>
      <c r="DT29" s="19">
        <v>380</v>
      </c>
      <c r="DU29" s="19">
        <v>97293</v>
      </c>
      <c r="DV29" s="19">
        <v>79345</v>
      </c>
      <c r="DW29" s="19">
        <v>701</v>
      </c>
      <c r="DX29" s="19">
        <v>17129</v>
      </c>
      <c r="DY29" s="19">
        <v>118</v>
      </c>
      <c r="DZ29" s="19">
        <v>16153</v>
      </c>
      <c r="EA29" s="19">
        <v>3997</v>
      </c>
      <c r="EB29" s="19">
        <v>24</v>
      </c>
      <c r="EC29" s="19">
        <v>0</v>
      </c>
      <c r="ED29" s="19">
        <v>3910</v>
      </c>
      <c r="EE29" s="19">
        <v>44</v>
      </c>
      <c r="EF29" s="19">
        <v>1</v>
      </c>
      <c r="EG29" s="19">
        <v>18</v>
      </c>
      <c r="EH29" s="19">
        <v>12156</v>
      </c>
      <c r="EI29" s="19">
        <v>0</v>
      </c>
      <c r="EJ29" s="19">
        <v>0</v>
      </c>
      <c r="EK29" s="19">
        <v>10867</v>
      </c>
      <c r="EL29" s="19">
        <v>207</v>
      </c>
      <c r="EM29" s="19">
        <v>1060</v>
      </c>
      <c r="EN29" s="19">
        <v>22</v>
      </c>
    </row>
    <row r="30" spans="1:144" ht="13.5" customHeight="1">
      <c r="A30" s="17" t="s">
        <v>104</v>
      </c>
      <c r="B30" s="18" t="s">
        <v>105</v>
      </c>
      <c r="C30" s="17" t="s">
        <v>59</v>
      </c>
      <c r="D30" s="19">
        <v>601443</v>
      </c>
      <c r="E30" s="19">
        <v>502176</v>
      </c>
      <c r="F30" s="19">
        <v>460869</v>
      </c>
      <c r="G30" s="19">
        <v>18</v>
      </c>
      <c r="H30" s="19">
        <v>454341</v>
      </c>
      <c r="I30" s="19">
        <v>1098</v>
      </c>
      <c r="J30" s="19">
        <v>23</v>
      </c>
      <c r="K30" s="19">
        <v>2838</v>
      </c>
      <c r="L30" s="19">
        <v>2551</v>
      </c>
      <c r="M30" s="19">
        <v>41307</v>
      </c>
      <c r="N30" s="19">
        <v>178</v>
      </c>
      <c r="O30" s="19">
        <v>34678</v>
      </c>
      <c r="P30" s="19">
        <v>156</v>
      </c>
      <c r="Q30" s="19">
        <v>0</v>
      </c>
      <c r="R30" s="19">
        <v>5087</v>
      </c>
      <c r="S30" s="19">
        <v>1208</v>
      </c>
      <c r="T30" s="19">
        <v>26820</v>
      </c>
      <c r="U30" s="19">
        <v>16436</v>
      </c>
      <c r="V30" s="19">
        <v>0</v>
      </c>
      <c r="W30" s="19">
        <v>0</v>
      </c>
      <c r="X30" s="19">
        <v>10735</v>
      </c>
      <c r="Y30" s="19">
        <v>3200</v>
      </c>
      <c r="Z30" s="19">
        <v>363</v>
      </c>
      <c r="AA30" s="19">
        <v>2138</v>
      </c>
      <c r="AB30" s="19">
        <v>10384</v>
      </c>
      <c r="AC30" s="19">
        <v>73</v>
      </c>
      <c r="AD30" s="19">
        <v>733</v>
      </c>
      <c r="AE30" s="19">
        <v>4783</v>
      </c>
      <c r="AF30" s="19">
        <v>350</v>
      </c>
      <c r="AG30" s="19">
        <v>0</v>
      </c>
      <c r="AH30" s="19">
        <v>4445</v>
      </c>
      <c r="AI30" s="19">
        <v>506</v>
      </c>
      <c r="AJ30" s="19">
        <v>163</v>
      </c>
      <c r="AK30" s="19">
        <v>0</v>
      </c>
      <c r="AL30" s="19">
        <v>9</v>
      </c>
      <c r="AM30" s="19">
        <v>0</v>
      </c>
      <c r="AN30" s="19">
        <v>127</v>
      </c>
      <c r="AO30" s="19">
        <v>27</v>
      </c>
      <c r="AP30" s="19">
        <v>0</v>
      </c>
      <c r="AQ30" s="19">
        <v>343</v>
      </c>
      <c r="AR30" s="19">
        <v>0</v>
      </c>
      <c r="AS30" s="19">
        <v>0</v>
      </c>
      <c r="AT30" s="19">
        <v>0</v>
      </c>
      <c r="AU30" s="19">
        <v>291</v>
      </c>
      <c r="AV30" s="19">
        <v>0</v>
      </c>
      <c r="AW30" s="19">
        <v>52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5755</v>
      </c>
      <c r="CC30" s="19">
        <v>4848</v>
      </c>
      <c r="CD30" s="19">
        <v>0</v>
      </c>
      <c r="CE30" s="19">
        <v>4840</v>
      </c>
      <c r="CF30" s="19">
        <v>0</v>
      </c>
      <c r="CG30" s="19">
        <v>8</v>
      </c>
      <c r="CH30" s="19">
        <v>0</v>
      </c>
      <c r="CI30" s="19">
        <v>0</v>
      </c>
      <c r="CJ30" s="19">
        <v>907</v>
      </c>
      <c r="CK30" s="19">
        <v>0</v>
      </c>
      <c r="CL30" s="19">
        <v>798</v>
      </c>
      <c r="CM30" s="19">
        <v>0</v>
      </c>
      <c r="CN30" s="19">
        <v>0</v>
      </c>
      <c r="CO30" s="19">
        <v>0</v>
      </c>
      <c r="CP30" s="19">
        <v>109</v>
      </c>
      <c r="CQ30" s="19">
        <v>31484</v>
      </c>
      <c r="CR30" s="19">
        <v>27953</v>
      </c>
      <c r="CS30" s="19">
        <v>266</v>
      </c>
      <c r="CT30" s="19">
        <v>0</v>
      </c>
      <c r="CU30" s="19">
        <v>2176</v>
      </c>
      <c r="CV30" s="19">
        <v>24748</v>
      </c>
      <c r="CW30" s="19">
        <v>482</v>
      </c>
      <c r="CX30" s="19">
        <v>281</v>
      </c>
      <c r="CY30" s="19">
        <v>3531</v>
      </c>
      <c r="CZ30" s="19">
        <v>516</v>
      </c>
      <c r="DA30" s="19">
        <v>0</v>
      </c>
      <c r="DB30" s="19">
        <v>751</v>
      </c>
      <c r="DC30" s="19">
        <v>678</v>
      </c>
      <c r="DD30" s="19">
        <v>18</v>
      </c>
      <c r="DE30" s="19">
        <v>1568</v>
      </c>
      <c r="DF30" s="19">
        <v>1999</v>
      </c>
      <c r="DG30" s="19">
        <v>1837</v>
      </c>
      <c r="DH30" s="19">
        <v>0</v>
      </c>
      <c r="DI30" s="19">
        <v>1388</v>
      </c>
      <c r="DJ30" s="19">
        <v>449</v>
      </c>
      <c r="DK30" s="19">
        <v>0</v>
      </c>
      <c r="DL30" s="19">
        <v>0</v>
      </c>
      <c r="DM30" s="19">
        <v>0</v>
      </c>
      <c r="DN30" s="19">
        <v>162</v>
      </c>
      <c r="DO30" s="19">
        <v>0</v>
      </c>
      <c r="DP30" s="19">
        <v>0</v>
      </c>
      <c r="DQ30" s="19">
        <v>129</v>
      </c>
      <c r="DR30" s="19">
        <v>0</v>
      </c>
      <c r="DS30" s="19">
        <v>0</v>
      </c>
      <c r="DT30" s="19">
        <v>33</v>
      </c>
      <c r="DU30" s="19">
        <v>26579</v>
      </c>
      <c r="DV30" s="19">
        <v>23674</v>
      </c>
      <c r="DW30" s="19">
        <v>146</v>
      </c>
      <c r="DX30" s="19">
        <v>2583</v>
      </c>
      <c r="DY30" s="19">
        <v>176</v>
      </c>
      <c r="DZ30" s="19">
        <v>6124</v>
      </c>
      <c r="EA30" s="19">
        <v>2614</v>
      </c>
      <c r="EB30" s="19">
        <v>0</v>
      </c>
      <c r="EC30" s="19">
        <v>0</v>
      </c>
      <c r="ED30" s="19">
        <v>2213</v>
      </c>
      <c r="EE30" s="19">
        <v>0</v>
      </c>
      <c r="EF30" s="19">
        <v>271</v>
      </c>
      <c r="EG30" s="19">
        <v>130</v>
      </c>
      <c r="EH30" s="19">
        <v>3510</v>
      </c>
      <c r="EI30" s="19">
        <v>0</v>
      </c>
      <c r="EJ30" s="19">
        <v>0</v>
      </c>
      <c r="EK30" s="19">
        <v>3252</v>
      </c>
      <c r="EL30" s="19">
        <v>0</v>
      </c>
      <c r="EM30" s="19">
        <v>258</v>
      </c>
      <c r="EN30" s="19">
        <v>0</v>
      </c>
    </row>
    <row r="31" spans="1:144" ht="13.5" customHeight="1">
      <c r="A31" s="17" t="s">
        <v>106</v>
      </c>
      <c r="B31" s="18" t="s">
        <v>107</v>
      </c>
      <c r="C31" s="17" t="s">
        <v>59</v>
      </c>
      <c r="D31" s="19">
        <v>405563</v>
      </c>
      <c r="E31" s="19">
        <v>321084</v>
      </c>
      <c r="F31" s="19">
        <v>304194</v>
      </c>
      <c r="G31" s="19">
        <v>0</v>
      </c>
      <c r="H31" s="19">
        <v>303970</v>
      </c>
      <c r="I31" s="19">
        <v>0</v>
      </c>
      <c r="J31" s="19">
        <v>0</v>
      </c>
      <c r="K31" s="19">
        <v>0</v>
      </c>
      <c r="L31" s="19">
        <v>224</v>
      </c>
      <c r="M31" s="19">
        <v>16890</v>
      </c>
      <c r="N31" s="19">
        <v>0</v>
      </c>
      <c r="O31" s="19">
        <v>16834</v>
      </c>
      <c r="P31" s="19">
        <v>0</v>
      </c>
      <c r="Q31" s="19">
        <v>0</v>
      </c>
      <c r="R31" s="19">
        <v>0</v>
      </c>
      <c r="S31" s="19">
        <v>56</v>
      </c>
      <c r="T31" s="19">
        <v>26921</v>
      </c>
      <c r="U31" s="19">
        <v>15418</v>
      </c>
      <c r="V31" s="19">
        <v>523</v>
      </c>
      <c r="W31" s="19">
        <v>0</v>
      </c>
      <c r="X31" s="19">
        <v>10782</v>
      </c>
      <c r="Y31" s="19">
        <v>193</v>
      </c>
      <c r="Z31" s="19">
        <v>28</v>
      </c>
      <c r="AA31" s="19">
        <v>3892</v>
      </c>
      <c r="AB31" s="19">
        <v>11503</v>
      </c>
      <c r="AC31" s="19">
        <v>66</v>
      </c>
      <c r="AD31" s="19">
        <v>0</v>
      </c>
      <c r="AE31" s="19">
        <v>3226</v>
      </c>
      <c r="AF31" s="19">
        <v>4</v>
      </c>
      <c r="AG31" s="19">
        <v>0</v>
      </c>
      <c r="AH31" s="19">
        <v>8207</v>
      </c>
      <c r="AI31" s="19">
        <v>1323</v>
      </c>
      <c r="AJ31" s="19">
        <v>1310</v>
      </c>
      <c r="AK31" s="19">
        <v>0</v>
      </c>
      <c r="AL31" s="19">
        <v>53</v>
      </c>
      <c r="AM31" s="19">
        <v>0</v>
      </c>
      <c r="AN31" s="19">
        <v>1257</v>
      </c>
      <c r="AO31" s="19">
        <v>0</v>
      </c>
      <c r="AP31" s="19">
        <v>0</v>
      </c>
      <c r="AQ31" s="19">
        <v>13</v>
      </c>
      <c r="AR31" s="19">
        <v>0</v>
      </c>
      <c r="AS31" s="19">
        <v>13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9054</v>
      </c>
      <c r="CC31" s="19">
        <v>8445</v>
      </c>
      <c r="CD31" s="19">
        <v>0</v>
      </c>
      <c r="CE31" s="19">
        <v>7652</v>
      </c>
      <c r="CF31" s="19">
        <v>0</v>
      </c>
      <c r="CG31" s="19">
        <v>793</v>
      </c>
      <c r="CH31" s="19">
        <v>0</v>
      </c>
      <c r="CI31" s="19">
        <v>0</v>
      </c>
      <c r="CJ31" s="19">
        <v>609</v>
      </c>
      <c r="CK31" s="19">
        <v>0</v>
      </c>
      <c r="CL31" s="19">
        <v>609</v>
      </c>
      <c r="CM31" s="19">
        <v>0</v>
      </c>
      <c r="CN31" s="19">
        <v>0</v>
      </c>
      <c r="CO31" s="19">
        <v>0</v>
      </c>
      <c r="CP31" s="19">
        <v>0</v>
      </c>
      <c r="CQ31" s="19">
        <v>17523</v>
      </c>
      <c r="CR31" s="19">
        <v>17295</v>
      </c>
      <c r="CS31" s="19">
        <v>130</v>
      </c>
      <c r="CT31" s="19">
        <v>0</v>
      </c>
      <c r="CU31" s="19">
        <v>429</v>
      </c>
      <c r="CV31" s="19">
        <v>16344</v>
      </c>
      <c r="CW31" s="19">
        <v>59</v>
      </c>
      <c r="CX31" s="19">
        <v>333</v>
      </c>
      <c r="CY31" s="19">
        <v>228</v>
      </c>
      <c r="CZ31" s="19">
        <v>0</v>
      </c>
      <c r="DA31" s="19">
        <v>0</v>
      </c>
      <c r="DB31" s="19">
        <v>76</v>
      </c>
      <c r="DC31" s="19">
        <v>147</v>
      </c>
      <c r="DD31" s="19">
        <v>5</v>
      </c>
      <c r="DE31" s="19">
        <v>0</v>
      </c>
      <c r="DF31" s="19">
        <v>310</v>
      </c>
      <c r="DG31" s="19">
        <v>287</v>
      </c>
      <c r="DH31" s="19">
        <v>0</v>
      </c>
      <c r="DI31" s="19">
        <v>0</v>
      </c>
      <c r="DJ31" s="19">
        <v>286</v>
      </c>
      <c r="DK31" s="19">
        <v>0</v>
      </c>
      <c r="DL31" s="19">
        <v>1</v>
      </c>
      <c r="DM31" s="19">
        <v>0</v>
      </c>
      <c r="DN31" s="19">
        <v>23</v>
      </c>
      <c r="DO31" s="19">
        <v>0</v>
      </c>
      <c r="DP31" s="19">
        <v>0</v>
      </c>
      <c r="DQ31" s="19">
        <v>23</v>
      </c>
      <c r="DR31" s="19">
        <v>0</v>
      </c>
      <c r="DS31" s="19">
        <v>0</v>
      </c>
      <c r="DT31" s="19">
        <v>0</v>
      </c>
      <c r="DU31" s="19">
        <v>25412</v>
      </c>
      <c r="DV31" s="19">
        <v>21363</v>
      </c>
      <c r="DW31" s="19">
        <v>110</v>
      </c>
      <c r="DX31" s="19">
        <v>3939</v>
      </c>
      <c r="DY31" s="19">
        <v>0</v>
      </c>
      <c r="DZ31" s="19">
        <v>3936</v>
      </c>
      <c r="EA31" s="19">
        <v>2029</v>
      </c>
      <c r="EB31" s="19">
        <v>0</v>
      </c>
      <c r="EC31" s="19">
        <v>0</v>
      </c>
      <c r="ED31" s="19">
        <v>1948</v>
      </c>
      <c r="EE31" s="19">
        <v>0</v>
      </c>
      <c r="EF31" s="19">
        <v>81</v>
      </c>
      <c r="EG31" s="19">
        <v>0</v>
      </c>
      <c r="EH31" s="19">
        <v>1907</v>
      </c>
      <c r="EI31" s="19">
        <v>0</v>
      </c>
      <c r="EJ31" s="19">
        <v>0</v>
      </c>
      <c r="EK31" s="19">
        <v>1422</v>
      </c>
      <c r="EL31" s="19">
        <v>0</v>
      </c>
      <c r="EM31" s="19">
        <v>485</v>
      </c>
      <c r="EN31" s="19">
        <v>0</v>
      </c>
    </row>
    <row r="32" spans="1:144" ht="13.5" customHeight="1">
      <c r="A32" s="17" t="s">
        <v>108</v>
      </c>
      <c r="B32" s="18" t="s">
        <v>109</v>
      </c>
      <c r="C32" s="17" t="s">
        <v>59</v>
      </c>
      <c r="D32" s="19">
        <v>684775</v>
      </c>
      <c r="E32" s="19">
        <v>552736</v>
      </c>
      <c r="F32" s="19">
        <v>508247</v>
      </c>
      <c r="G32" s="19">
        <v>165169</v>
      </c>
      <c r="H32" s="19">
        <v>337238</v>
      </c>
      <c r="I32" s="19">
        <v>0</v>
      </c>
      <c r="J32" s="19">
        <v>4356</v>
      </c>
      <c r="K32" s="19">
        <v>1469</v>
      </c>
      <c r="L32" s="19">
        <v>15</v>
      </c>
      <c r="M32" s="19">
        <v>44489</v>
      </c>
      <c r="N32" s="19">
        <v>0</v>
      </c>
      <c r="O32" s="19">
        <v>44489</v>
      </c>
      <c r="P32" s="19">
        <v>0</v>
      </c>
      <c r="Q32" s="19">
        <v>0</v>
      </c>
      <c r="R32" s="19">
        <v>0</v>
      </c>
      <c r="S32" s="19">
        <v>0</v>
      </c>
      <c r="T32" s="19">
        <v>41962</v>
      </c>
      <c r="U32" s="19">
        <v>19389</v>
      </c>
      <c r="V32" s="19">
        <v>0</v>
      </c>
      <c r="W32" s="19">
        <v>0</v>
      </c>
      <c r="X32" s="19">
        <v>11301</v>
      </c>
      <c r="Y32" s="19">
        <v>1747</v>
      </c>
      <c r="Z32" s="19">
        <v>22</v>
      </c>
      <c r="AA32" s="19">
        <v>6319</v>
      </c>
      <c r="AB32" s="19">
        <v>22573</v>
      </c>
      <c r="AC32" s="19">
        <v>0</v>
      </c>
      <c r="AD32" s="19">
        <v>0</v>
      </c>
      <c r="AE32" s="19">
        <v>955</v>
      </c>
      <c r="AF32" s="19">
        <v>0</v>
      </c>
      <c r="AG32" s="19">
        <v>0</v>
      </c>
      <c r="AH32" s="19">
        <v>21618</v>
      </c>
      <c r="AI32" s="19">
        <v>298</v>
      </c>
      <c r="AJ32" s="19">
        <v>298</v>
      </c>
      <c r="AK32" s="19">
        <v>0</v>
      </c>
      <c r="AL32" s="19">
        <v>0</v>
      </c>
      <c r="AM32" s="19">
        <v>0</v>
      </c>
      <c r="AN32" s="19">
        <v>298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15101</v>
      </c>
      <c r="BN32" s="19">
        <v>15101</v>
      </c>
      <c r="BO32" s="19">
        <v>15101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7704</v>
      </c>
      <c r="CC32" s="19">
        <v>6906</v>
      </c>
      <c r="CD32" s="19">
        <v>0</v>
      </c>
      <c r="CE32" s="19">
        <v>6436</v>
      </c>
      <c r="CF32" s="19">
        <v>131</v>
      </c>
      <c r="CG32" s="19">
        <v>242</v>
      </c>
      <c r="CH32" s="19">
        <v>0</v>
      </c>
      <c r="CI32" s="19">
        <v>97</v>
      </c>
      <c r="CJ32" s="19">
        <v>798</v>
      </c>
      <c r="CK32" s="19">
        <v>0</v>
      </c>
      <c r="CL32" s="19">
        <v>782</v>
      </c>
      <c r="CM32" s="19">
        <v>0</v>
      </c>
      <c r="CN32" s="19">
        <v>0</v>
      </c>
      <c r="CO32" s="19">
        <v>0</v>
      </c>
      <c r="CP32" s="19">
        <v>16</v>
      </c>
      <c r="CQ32" s="19">
        <v>51419</v>
      </c>
      <c r="CR32" s="19">
        <v>46795</v>
      </c>
      <c r="CS32" s="19">
        <v>0</v>
      </c>
      <c r="CT32" s="19">
        <v>0</v>
      </c>
      <c r="CU32" s="19">
        <v>3755</v>
      </c>
      <c r="CV32" s="19">
        <v>41505</v>
      </c>
      <c r="CW32" s="19">
        <v>303</v>
      </c>
      <c r="CX32" s="19">
        <v>1232</v>
      </c>
      <c r="CY32" s="19">
        <v>4624</v>
      </c>
      <c r="CZ32" s="19">
        <v>0</v>
      </c>
      <c r="DA32" s="19">
        <v>0</v>
      </c>
      <c r="DB32" s="19">
        <v>1532</v>
      </c>
      <c r="DC32" s="19">
        <v>1596</v>
      </c>
      <c r="DD32" s="19">
        <v>49</v>
      </c>
      <c r="DE32" s="19">
        <v>1447</v>
      </c>
      <c r="DF32" s="19">
        <v>1613</v>
      </c>
      <c r="DG32" s="19">
        <v>725</v>
      </c>
      <c r="DH32" s="19">
        <v>0</v>
      </c>
      <c r="DI32" s="19">
        <v>0</v>
      </c>
      <c r="DJ32" s="19">
        <v>621</v>
      </c>
      <c r="DK32" s="19">
        <v>0</v>
      </c>
      <c r="DL32" s="19">
        <v>27</v>
      </c>
      <c r="DM32" s="19">
        <v>77</v>
      </c>
      <c r="DN32" s="19">
        <v>888</v>
      </c>
      <c r="DO32" s="19">
        <v>0</v>
      </c>
      <c r="DP32" s="19">
        <v>0</v>
      </c>
      <c r="DQ32" s="19">
        <v>228</v>
      </c>
      <c r="DR32" s="19">
        <v>0</v>
      </c>
      <c r="DS32" s="19">
        <v>0</v>
      </c>
      <c r="DT32" s="19">
        <v>660</v>
      </c>
      <c r="DU32" s="19">
        <v>4768</v>
      </c>
      <c r="DV32" s="19">
        <v>3059</v>
      </c>
      <c r="DW32" s="19">
        <v>196</v>
      </c>
      <c r="DX32" s="19">
        <v>945</v>
      </c>
      <c r="DY32" s="19">
        <v>568</v>
      </c>
      <c r="DZ32" s="19">
        <v>9174</v>
      </c>
      <c r="EA32" s="19">
        <v>4678</v>
      </c>
      <c r="EB32" s="19">
        <v>0</v>
      </c>
      <c r="EC32" s="19">
        <v>0</v>
      </c>
      <c r="ED32" s="19">
        <v>3839</v>
      </c>
      <c r="EE32" s="19">
        <v>306</v>
      </c>
      <c r="EF32" s="19">
        <v>355</v>
      </c>
      <c r="EG32" s="19">
        <v>178</v>
      </c>
      <c r="EH32" s="19">
        <v>4496</v>
      </c>
      <c r="EI32" s="19">
        <v>0</v>
      </c>
      <c r="EJ32" s="19">
        <v>0</v>
      </c>
      <c r="EK32" s="19">
        <v>4020</v>
      </c>
      <c r="EL32" s="19">
        <v>0</v>
      </c>
      <c r="EM32" s="19">
        <v>0</v>
      </c>
      <c r="EN32" s="19">
        <v>476</v>
      </c>
    </row>
    <row r="33" spans="1:144" ht="13.5" customHeight="1">
      <c r="A33" s="17" t="s">
        <v>110</v>
      </c>
      <c r="B33" s="18" t="s">
        <v>111</v>
      </c>
      <c r="C33" s="17" t="s">
        <v>59</v>
      </c>
      <c r="D33" s="19">
        <v>2772538</v>
      </c>
      <c r="E33" s="19">
        <v>2443663</v>
      </c>
      <c r="F33" s="19">
        <v>2331451</v>
      </c>
      <c r="G33" s="19">
        <v>1220214</v>
      </c>
      <c r="H33" s="19">
        <v>1080402</v>
      </c>
      <c r="I33" s="19">
        <v>205</v>
      </c>
      <c r="J33" s="19">
        <v>290</v>
      </c>
      <c r="K33" s="19">
        <v>322</v>
      </c>
      <c r="L33" s="19">
        <v>30018</v>
      </c>
      <c r="M33" s="19">
        <v>112212</v>
      </c>
      <c r="N33" s="19">
        <v>30220</v>
      </c>
      <c r="O33" s="19">
        <v>81091</v>
      </c>
      <c r="P33" s="19">
        <v>29</v>
      </c>
      <c r="Q33" s="19">
        <v>2</v>
      </c>
      <c r="R33" s="19">
        <v>424</v>
      </c>
      <c r="S33" s="19">
        <v>446</v>
      </c>
      <c r="T33" s="19">
        <v>120000</v>
      </c>
      <c r="U33" s="19">
        <v>85357</v>
      </c>
      <c r="V33" s="19">
        <v>2645</v>
      </c>
      <c r="W33" s="19">
        <v>464</v>
      </c>
      <c r="X33" s="19">
        <v>18560</v>
      </c>
      <c r="Y33" s="19">
        <v>10241</v>
      </c>
      <c r="Z33" s="19">
        <v>370</v>
      </c>
      <c r="AA33" s="19">
        <v>53077</v>
      </c>
      <c r="AB33" s="19">
        <v>34643</v>
      </c>
      <c r="AC33" s="19">
        <v>1736</v>
      </c>
      <c r="AD33" s="19">
        <v>0</v>
      </c>
      <c r="AE33" s="19">
        <v>2702</v>
      </c>
      <c r="AF33" s="19">
        <v>350</v>
      </c>
      <c r="AG33" s="19">
        <v>68</v>
      </c>
      <c r="AH33" s="19">
        <v>29787</v>
      </c>
      <c r="AI33" s="19">
        <v>47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47</v>
      </c>
      <c r="AR33" s="19">
        <v>0</v>
      </c>
      <c r="AS33" s="19">
        <v>0</v>
      </c>
      <c r="AT33" s="19">
        <v>0</v>
      </c>
      <c r="AU33" s="19">
        <v>31</v>
      </c>
      <c r="AV33" s="19">
        <v>16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19">
        <v>0</v>
      </c>
      <c r="CP33" s="19">
        <v>0</v>
      </c>
      <c r="CQ33" s="19">
        <v>156162</v>
      </c>
      <c r="CR33" s="19">
        <v>153201</v>
      </c>
      <c r="CS33" s="19">
        <v>0</v>
      </c>
      <c r="CT33" s="19">
        <v>17</v>
      </c>
      <c r="CU33" s="19">
        <v>131</v>
      </c>
      <c r="CV33" s="19">
        <v>152086</v>
      </c>
      <c r="CW33" s="19">
        <v>196</v>
      </c>
      <c r="CX33" s="19">
        <v>771</v>
      </c>
      <c r="CY33" s="19">
        <v>2961</v>
      </c>
      <c r="CZ33" s="19">
        <v>0</v>
      </c>
      <c r="DA33" s="19">
        <v>1990</v>
      </c>
      <c r="DB33" s="19">
        <v>22</v>
      </c>
      <c r="DC33" s="19">
        <v>524</v>
      </c>
      <c r="DD33" s="19">
        <v>8</v>
      </c>
      <c r="DE33" s="19">
        <v>417</v>
      </c>
      <c r="DF33" s="19">
        <v>0</v>
      </c>
      <c r="DG33" s="19">
        <v>0</v>
      </c>
      <c r="DH33" s="19">
        <v>0</v>
      </c>
      <c r="DI33" s="19">
        <v>0</v>
      </c>
      <c r="DJ33" s="19">
        <v>0</v>
      </c>
      <c r="DK33" s="19">
        <v>0</v>
      </c>
      <c r="DL33" s="19">
        <v>0</v>
      </c>
      <c r="DM33" s="19">
        <v>0</v>
      </c>
      <c r="DN33" s="19">
        <v>0</v>
      </c>
      <c r="DO33" s="19">
        <v>0</v>
      </c>
      <c r="DP33" s="19">
        <v>0</v>
      </c>
      <c r="DQ33" s="19">
        <v>0</v>
      </c>
      <c r="DR33" s="19">
        <v>0</v>
      </c>
      <c r="DS33" s="19">
        <v>0</v>
      </c>
      <c r="DT33" s="19">
        <v>0</v>
      </c>
      <c r="DU33" s="19">
        <v>51331</v>
      </c>
      <c r="DV33" s="19">
        <v>44673</v>
      </c>
      <c r="DW33" s="19">
        <v>132</v>
      </c>
      <c r="DX33" s="19">
        <v>6138</v>
      </c>
      <c r="DY33" s="19">
        <v>388</v>
      </c>
      <c r="DZ33" s="19">
        <v>1335</v>
      </c>
      <c r="EA33" s="19">
        <v>434</v>
      </c>
      <c r="EB33" s="19">
        <v>0</v>
      </c>
      <c r="EC33" s="19">
        <v>0</v>
      </c>
      <c r="ED33" s="19">
        <v>430</v>
      </c>
      <c r="EE33" s="19">
        <v>4</v>
      </c>
      <c r="EF33" s="19">
        <v>0</v>
      </c>
      <c r="EG33" s="19">
        <v>0</v>
      </c>
      <c r="EH33" s="19">
        <v>901</v>
      </c>
      <c r="EI33" s="19">
        <v>0</v>
      </c>
      <c r="EJ33" s="19">
        <v>0</v>
      </c>
      <c r="EK33" s="19">
        <v>874</v>
      </c>
      <c r="EL33" s="19">
        <v>0</v>
      </c>
      <c r="EM33" s="19">
        <v>27</v>
      </c>
      <c r="EN33" s="19">
        <v>0</v>
      </c>
    </row>
    <row r="34" spans="1:144" ht="13.5" customHeight="1">
      <c r="A34" s="17" t="s">
        <v>112</v>
      </c>
      <c r="B34" s="18" t="s">
        <v>113</v>
      </c>
      <c r="C34" s="17" t="s">
        <v>59</v>
      </c>
      <c r="D34" s="19">
        <v>1697935</v>
      </c>
      <c r="E34" s="19">
        <v>1420448</v>
      </c>
      <c r="F34" s="19">
        <v>1320528</v>
      </c>
      <c r="G34" s="19">
        <v>23584</v>
      </c>
      <c r="H34" s="19">
        <v>1289047</v>
      </c>
      <c r="I34" s="19">
        <v>0</v>
      </c>
      <c r="J34" s="19">
        <v>93</v>
      </c>
      <c r="K34" s="19">
        <v>0</v>
      </c>
      <c r="L34" s="19">
        <v>7804</v>
      </c>
      <c r="M34" s="19">
        <v>99920</v>
      </c>
      <c r="N34" s="19">
        <v>1247</v>
      </c>
      <c r="O34" s="19">
        <v>97526</v>
      </c>
      <c r="P34" s="19">
        <v>0</v>
      </c>
      <c r="Q34" s="19">
        <v>0</v>
      </c>
      <c r="R34" s="19">
        <v>4</v>
      </c>
      <c r="S34" s="19">
        <v>1143</v>
      </c>
      <c r="T34" s="19">
        <v>95757</v>
      </c>
      <c r="U34" s="19">
        <v>69210</v>
      </c>
      <c r="V34" s="19">
        <v>0</v>
      </c>
      <c r="W34" s="19">
        <v>850</v>
      </c>
      <c r="X34" s="19">
        <v>35398</v>
      </c>
      <c r="Y34" s="19">
        <v>2765</v>
      </c>
      <c r="Z34" s="19">
        <v>0</v>
      </c>
      <c r="AA34" s="19">
        <v>30197</v>
      </c>
      <c r="AB34" s="19">
        <v>26547</v>
      </c>
      <c r="AC34" s="19">
        <v>0</v>
      </c>
      <c r="AD34" s="19">
        <v>236</v>
      </c>
      <c r="AE34" s="19">
        <v>2519</v>
      </c>
      <c r="AF34" s="19">
        <v>232</v>
      </c>
      <c r="AG34" s="19">
        <v>0</v>
      </c>
      <c r="AH34" s="19">
        <v>23560</v>
      </c>
      <c r="AI34" s="19">
        <v>13748</v>
      </c>
      <c r="AJ34" s="19">
        <v>560</v>
      </c>
      <c r="AK34" s="19">
        <v>0</v>
      </c>
      <c r="AL34" s="19">
        <v>414</v>
      </c>
      <c r="AM34" s="19">
        <v>0</v>
      </c>
      <c r="AN34" s="19">
        <v>122</v>
      </c>
      <c r="AO34" s="19">
        <v>0</v>
      </c>
      <c r="AP34" s="19">
        <v>24</v>
      </c>
      <c r="AQ34" s="19">
        <v>13188</v>
      </c>
      <c r="AR34" s="19">
        <v>0</v>
      </c>
      <c r="AS34" s="19">
        <v>0</v>
      </c>
      <c r="AT34" s="19">
        <v>0</v>
      </c>
      <c r="AU34" s="19">
        <v>8167</v>
      </c>
      <c r="AV34" s="19">
        <v>0</v>
      </c>
      <c r="AW34" s="19">
        <v>5021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6271</v>
      </c>
      <c r="BN34" s="19">
        <v>5542</v>
      </c>
      <c r="BO34" s="19">
        <v>0</v>
      </c>
      <c r="BP34" s="19">
        <v>5542</v>
      </c>
      <c r="BQ34" s="19">
        <v>0</v>
      </c>
      <c r="BR34" s="19">
        <v>0</v>
      </c>
      <c r="BS34" s="19">
        <v>0</v>
      </c>
      <c r="BT34" s="19">
        <v>0</v>
      </c>
      <c r="BU34" s="19">
        <v>729</v>
      </c>
      <c r="BV34" s="19">
        <v>0</v>
      </c>
      <c r="BW34" s="19">
        <v>729</v>
      </c>
      <c r="BX34" s="19">
        <v>0</v>
      </c>
      <c r="BY34" s="19">
        <v>0</v>
      </c>
      <c r="BZ34" s="19">
        <v>0</v>
      </c>
      <c r="CA34" s="19">
        <v>0</v>
      </c>
      <c r="CB34" s="19">
        <v>4454</v>
      </c>
      <c r="CC34" s="19">
        <v>4156</v>
      </c>
      <c r="CD34" s="19">
        <v>0</v>
      </c>
      <c r="CE34" s="19">
        <v>4137</v>
      </c>
      <c r="CF34" s="19">
        <v>0</v>
      </c>
      <c r="CG34" s="19">
        <v>19</v>
      </c>
      <c r="CH34" s="19">
        <v>0</v>
      </c>
      <c r="CI34" s="19">
        <v>0</v>
      </c>
      <c r="CJ34" s="19">
        <v>298</v>
      </c>
      <c r="CK34" s="19">
        <v>0</v>
      </c>
      <c r="CL34" s="19">
        <v>298</v>
      </c>
      <c r="CM34" s="19">
        <v>0</v>
      </c>
      <c r="CN34" s="19">
        <v>0</v>
      </c>
      <c r="CO34" s="19">
        <v>0</v>
      </c>
      <c r="CP34" s="19">
        <v>0</v>
      </c>
      <c r="CQ34" s="19">
        <v>85173</v>
      </c>
      <c r="CR34" s="19">
        <v>80907</v>
      </c>
      <c r="CS34" s="19">
        <v>0</v>
      </c>
      <c r="CT34" s="19">
        <v>21</v>
      </c>
      <c r="CU34" s="19">
        <v>3193</v>
      </c>
      <c r="CV34" s="19">
        <v>75654</v>
      </c>
      <c r="CW34" s="19">
        <v>504</v>
      </c>
      <c r="CX34" s="19">
        <v>1535</v>
      </c>
      <c r="CY34" s="19">
        <v>4266</v>
      </c>
      <c r="CZ34" s="19">
        <v>0</v>
      </c>
      <c r="DA34" s="19">
        <v>128</v>
      </c>
      <c r="DB34" s="19">
        <v>1017</v>
      </c>
      <c r="DC34" s="19">
        <v>1901</v>
      </c>
      <c r="DD34" s="19">
        <v>4</v>
      </c>
      <c r="DE34" s="19">
        <v>1216</v>
      </c>
      <c r="DF34" s="19">
        <v>1602</v>
      </c>
      <c r="DG34" s="19">
        <v>1602</v>
      </c>
      <c r="DH34" s="19">
        <v>0</v>
      </c>
      <c r="DI34" s="19">
        <v>0</v>
      </c>
      <c r="DJ34" s="19">
        <v>1584</v>
      </c>
      <c r="DK34" s="19">
        <v>0</v>
      </c>
      <c r="DL34" s="19">
        <v>11</v>
      </c>
      <c r="DM34" s="19">
        <v>7</v>
      </c>
      <c r="DN34" s="19">
        <v>0</v>
      </c>
      <c r="DO34" s="19">
        <v>0</v>
      </c>
      <c r="DP34" s="19">
        <v>0</v>
      </c>
      <c r="DQ34" s="19">
        <v>0</v>
      </c>
      <c r="DR34" s="19">
        <v>0</v>
      </c>
      <c r="DS34" s="19">
        <v>0</v>
      </c>
      <c r="DT34" s="19">
        <v>0</v>
      </c>
      <c r="DU34" s="19">
        <v>53900</v>
      </c>
      <c r="DV34" s="19">
        <v>48090</v>
      </c>
      <c r="DW34" s="19">
        <v>33</v>
      </c>
      <c r="DX34" s="19">
        <v>5777</v>
      </c>
      <c r="DY34" s="19">
        <v>0</v>
      </c>
      <c r="DZ34" s="19">
        <v>16582</v>
      </c>
      <c r="EA34" s="19">
        <v>3243</v>
      </c>
      <c r="EB34" s="19">
        <v>0</v>
      </c>
      <c r="EC34" s="19">
        <v>0</v>
      </c>
      <c r="ED34" s="19">
        <v>3159</v>
      </c>
      <c r="EE34" s="19">
        <v>0</v>
      </c>
      <c r="EF34" s="19">
        <v>43</v>
      </c>
      <c r="EG34" s="19">
        <v>41</v>
      </c>
      <c r="EH34" s="19">
        <v>13339</v>
      </c>
      <c r="EI34" s="19">
        <v>0</v>
      </c>
      <c r="EJ34" s="19">
        <v>0</v>
      </c>
      <c r="EK34" s="19">
        <v>10553</v>
      </c>
      <c r="EL34" s="19">
        <v>0</v>
      </c>
      <c r="EM34" s="19">
        <v>2786</v>
      </c>
      <c r="EN34" s="19">
        <v>0</v>
      </c>
    </row>
    <row r="35" spans="1:144" ht="13.5" customHeight="1">
      <c r="A35" s="17" t="s">
        <v>114</v>
      </c>
      <c r="B35" s="18" t="s">
        <v>115</v>
      </c>
      <c r="C35" s="17" t="s">
        <v>59</v>
      </c>
      <c r="D35" s="19">
        <v>402357</v>
      </c>
      <c r="E35" s="19">
        <v>339622</v>
      </c>
      <c r="F35" s="19">
        <v>309086</v>
      </c>
      <c r="G35" s="19">
        <v>0</v>
      </c>
      <c r="H35" s="19">
        <v>306599</v>
      </c>
      <c r="I35" s="19">
        <v>620</v>
      </c>
      <c r="J35" s="19">
        <v>8</v>
      </c>
      <c r="K35" s="19">
        <v>0</v>
      </c>
      <c r="L35" s="19">
        <v>1859</v>
      </c>
      <c r="M35" s="19">
        <v>30536</v>
      </c>
      <c r="N35" s="19">
        <v>11</v>
      </c>
      <c r="O35" s="19">
        <v>29830</v>
      </c>
      <c r="P35" s="19">
        <v>0</v>
      </c>
      <c r="Q35" s="19">
        <v>0</v>
      </c>
      <c r="R35" s="19">
        <v>552</v>
      </c>
      <c r="S35" s="19">
        <v>143</v>
      </c>
      <c r="T35" s="19">
        <v>23564</v>
      </c>
      <c r="U35" s="19">
        <v>16140</v>
      </c>
      <c r="V35" s="19">
        <v>0</v>
      </c>
      <c r="W35" s="19">
        <v>8</v>
      </c>
      <c r="X35" s="19">
        <v>8418</v>
      </c>
      <c r="Y35" s="19">
        <v>734</v>
      </c>
      <c r="Z35" s="19">
        <v>25</v>
      </c>
      <c r="AA35" s="19">
        <v>6955</v>
      </c>
      <c r="AB35" s="19">
        <v>7424</v>
      </c>
      <c r="AC35" s="19">
        <v>17</v>
      </c>
      <c r="AD35" s="19">
        <v>0</v>
      </c>
      <c r="AE35" s="19">
        <v>4282</v>
      </c>
      <c r="AF35" s="19">
        <v>2</v>
      </c>
      <c r="AG35" s="19">
        <v>0</v>
      </c>
      <c r="AH35" s="19">
        <v>3123</v>
      </c>
      <c r="AI35" s="19">
        <v>225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225</v>
      </c>
      <c r="AR35" s="19">
        <v>0</v>
      </c>
      <c r="AS35" s="19">
        <v>22</v>
      </c>
      <c r="AT35" s="19">
        <v>0</v>
      </c>
      <c r="AU35" s="19">
        <v>203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20949</v>
      </c>
      <c r="CR35" s="19">
        <v>19490</v>
      </c>
      <c r="CS35" s="19">
        <v>0</v>
      </c>
      <c r="CT35" s="19">
        <v>435</v>
      </c>
      <c r="CU35" s="19">
        <v>2233</v>
      </c>
      <c r="CV35" s="19">
        <v>15320</v>
      </c>
      <c r="CW35" s="19">
        <v>800</v>
      </c>
      <c r="CX35" s="19">
        <v>702</v>
      </c>
      <c r="CY35" s="19">
        <v>1459</v>
      </c>
      <c r="CZ35" s="19">
        <v>0</v>
      </c>
      <c r="DA35" s="19">
        <v>101</v>
      </c>
      <c r="DB35" s="19">
        <v>499</v>
      </c>
      <c r="DC35" s="19">
        <v>802</v>
      </c>
      <c r="DD35" s="19">
        <v>11</v>
      </c>
      <c r="DE35" s="19">
        <v>46</v>
      </c>
      <c r="DF35" s="19">
        <v>886</v>
      </c>
      <c r="DG35" s="19">
        <v>684</v>
      </c>
      <c r="DH35" s="19">
        <v>0</v>
      </c>
      <c r="DI35" s="19">
        <v>0</v>
      </c>
      <c r="DJ35" s="19">
        <v>442</v>
      </c>
      <c r="DK35" s="19">
        <v>174</v>
      </c>
      <c r="DL35" s="19">
        <v>6</v>
      </c>
      <c r="DM35" s="19">
        <v>62</v>
      </c>
      <c r="DN35" s="19">
        <v>202</v>
      </c>
      <c r="DO35" s="19">
        <v>0</v>
      </c>
      <c r="DP35" s="19">
        <v>0</v>
      </c>
      <c r="DQ35" s="19">
        <v>143</v>
      </c>
      <c r="DR35" s="19">
        <v>0</v>
      </c>
      <c r="DS35" s="19">
        <v>2</v>
      </c>
      <c r="DT35" s="19">
        <v>57</v>
      </c>
      <c r="DU35" s="19">
        <v>15310</v>
      </c>
      <c r="DV35" s="19">
        <v>14065</v>
      </c>
      <c r="DW35" s="19">
        <v>121</v>
      </c>
      <c r="DX35" s="19">
        <v>1124</v>
      </c>
      <c r="DY35" s="19">
        <v>0</v>
      </c>
      <c r="DZ35" s="19">
        <v>1801</v>
      </c>
      <c r="EA35" s="19">
        <v>1563</v>
      </c>
      <c r="EB35" s="19">
        <v>0</v>
      </c>
      <c r="EC35" s="19">
        <v>0</v>
      </c>
      <c r="ED35" s="19">
        <v>787</v>
      </c>
      <c r="EE35" s="19">
        <v>0</v>
      </c>
      <c r="EF35" s="19">
        <v>776</v>
      </c>
      <c r="EG35" s="19">
        <v>0</v>
      </c>
      <c r="EH35" s="19">
        <v>238</v>
      </c>
      <c r="EI35" s="19">
        <v>0</v>
      </c>
      <c r="EJ35" s="19">
        <v>0</v>
      </c>
      <c r="EK35" s="19">
        <v>237</v>
      </c>
      <c r="EL35" s="19">
        <v>0</v>
      </c>
      <c r="EM35" s="19">
        <v>0</v>
      </c>
      <c r="EN35" s="19">
        <v>1</v>
      </c>
    </row>
    <row r="36" spans="1:144" ht="13.5" customHeight="1">
      <c r="A36" s="17" t="s">
        <v>116</v>
      </c>
      <c r="B36" s="18" t="s">
        <v>117</v>
      </c>
      <c r="C36" s="17" t="s">
        <v>59</v>
      </c>
      <c r="D36" s="19">
        <v>310215</v>
      </c>
      <c r="E36" s="19">
        <v>256760</v>
      </c>
      <c r="F36" s="19">
        <v>226374</v>
      </c>
      <c r="G36" s="19">
        <v>98310</v>
      </c>
      <c r="H36" s="19">
        <v>126557</v>
      </c>
      <c r="I36" s="19">
        <v>12</v>
      </c>
      <c r="J36" s="19">
        <v>199</v>
      </c>
      <c r="K36" s="19">
        <v>334</v>
      </c>
      <c r="L36" s="19">
        <v>962</v>
      </c>
      <c r="M36" s="19">
        <v>30386</v>
      </c>
      <c r="N36" s="19">
        <v>6460</v>
      </c>
      <c r="O36" s="19">
        <v>20225</v>
      </c>
      <c r="P36" s="19">
        <v>14</v>
      </c>
      <c r="Q36" s="19">
        <v>8</v>
      </c>
      <c r="R36" s="19">
        <v>96</v>
      </c>
      <c r="S36" s="19">
        <v>3583</v>
      </c>
      <c r="T36" s="19">
        <v>6143</v>
      </c>
      <c r="U36" s="19">
        <v>2383</v>
      </c>
      <c r="V36" s="19">
        <v>0</v>
      </c>
      <c r="W36" s="19">
        <v>0</v>
      </c>
      <c r="X36" s="19">
        <v>817</v>
      </c>
      <c r="Y36" s="19">
        <v>82</v>
      </c>
      <c r="Z36" s="19">
        <v>0</v>
      </c>
      <c r="AA36" s="19">
        <v>1484</v>
      </c>
      <c r="AB36" s="19">
        <v>3760</v>
      </c>
      <c r="AC36" s="19">
        <v>0</v>
      </c>
      <c r="AD36" s="19">
        <v>0</v>
      </c>
      <c r="AE36" s="19">
        <v>715</v>
      </c>
      <c r="AF36" s="19">
        <v>0</v>
      </c>
      <c r="AG36" s="19">
        <v>0</v>
      </c>
      <c r="AH36" s="19">
        <v>3045</v>
      </c>
      <c r="AI36" s="19">
        <v>184</v>
      </c>
      <c r="AJ36" s="19">
        <v>184</v>
      </c>
      <c r="AK36" s="19">
        <v>0</v>
      </c>
      <c r="AL36" s="19">
        <v>0</v>
      </c>
      <c r="AM36" s="19">
        <v>0</v>
      </c>
      <c r="AN36" s="19">
        <v>178</v>
      </c>
      <c r="AO36" s="19">
        <v>6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769</v>
      </c>
      <c r="CC36" s="19">
        <v>108</v>
      </c>
      <c r="CD36" s="19">
        <v>0</v>
      </c>
      <c r="CE36" s="19">
        <v>39</v>
      </c>
      <c r="CF36" s="19">
        <v>0</v>
      </c>
      <c r="CG36" s="19">
        <v>0</v>
      </c>
      <c r="CH36" s="19">
        <v>69</v>
      </c>
      <c r="CI36" s="19">
        <v>0</v>
      </c>
      <c r="CJ36" s="19">
        <v>661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661</v>
      </c>
      <c r="CQ36" s="19">
        <v>34775</v>
      </c>
      <c r="CR36" s="19">
        <v>26706</v>
      </c>
      <c r="CS36" s="19">
        <v>0</v>
      </c>
      <c r="CT36" s="19">
        <v>0</v>
      </c>
      <c r="CU36" s="19">
        <v>1382</v>
      </c>
      <c r="CV36" s="19">
        <v>22633</v>
      </c>
      <c r="CW36" s="19">
        <v>62</v>
      </c>
      <c r="CX36" s="19">
        <v>2629</v>
      </c>
      <c r="CY36" s="19">
        <v>8069</v>
      </c>
      <c r="CZ36" s="19">
        <v>0</v>
      </c>
      <c r="DA36" s="19">
        <v>0</v>
      </c>
      <c r="DB36" s="19">
        <v>646</v>
      </c>
      <c r="DC36" s="19">
        <v>1278</v>
      </c>
      <c r="DD36" s="19">
        <v>3</v>
      </c>
      <c r="DE36" s="19">
        <v>6142</v>
      </c>
      <c r="DF36" s="19">
        <v>4494</v>
      </c>
      <c r="DG36" s="19">
        <v>2048</v>
      </c>
      <c r="DH36" s="19">
        <v>0</v>
      </c>
      <c r="DI36" s="19">
        <v>601</v>
      </c>
      <c r="DJ36" s="19">
        <v>863</v>
      </c>
      <c r="DK36" s="19">
        <v>61</v>
      </c>
      <c r="DL36" s="19">
        <v>75</v>
      </c>
      <c r="DM36" s="19">
        <v>448</v>
      </c>
      <c r="DN36" s="19">
        <v>2446</v>
      </c>
      <c r="DO36" s="19">
        <v>105</v>
      </c>
      <c r="DP36" s="19">
        <v>60</v>
      </c>
      <c r="DQ36" s="19">
        <v>1925</v>
      </c>
      <c r="DR36" s="19">
        <v>13</v>
      </c>
      <c r="DS36" s="19">
        <v>52</v>
      </c>
      <c r="DT36" s="19">
        <v>291</v>
      </c>
      <c r="DU36" s="19">
        <v>4482</v>
      </c>
      <c r="DV36" s="19">
        <v>4177</v>
      </c>
      <c r="DW36" s="19">
        <v>0</v>
      </c>
      <c r="DX36" s="19">
        <v>238</v>
      </c>
      <c r="DY36" s="19">
        <v>67</v>
      </c>
      <c r="DZ36" s="19">
        <v>2608</v>
      </c>
      <c r="EA36" s="19">
        <v>1193</v>
      </c>
      <c r="EB36" s="19">
        <v>0</v>
      </c>
      <c r="EC36" s="19">
        <v>0</v>
      </c>
      <c r="ED36" s="19">
        <v>1155</v>
      </c>
      <c r="EE36" s="19">
        <v>0</v>
      </c>
      <c r="EF36" s="19">
        <v>0</v>
      </c>
      <c r="EG36" s="19">
        <v>38</v>
      </c>
      <c r="EH36" s="19">
        <v>1415</v>
      </c>
      <c r="EI36" s="19">
        <v>0</v>
      </c>
      <c r="EJ36" s="19">
        <v>0</v>
      </c>
      <c r="EK36" s="19">
        <v>1329</v>
      </c>
      <c r="EL36" s="19">
        <v>0</v>
      </c>
      <c r="EM36" s="19">
        <v>0</v>
      </c>
      <c r="EN36" s="19">
        <v>86</v>
      </c>
    </row>
    <row r="37" spans="1:144" ht="13.5" customHeight="1">
      <c r="A37" s="17" t="s">
        <v>118</v>
      </c>
      <c r="B37" s="18" t="s">
        <v>119</v>
      </c>
      <c r="C37" s="17" t="s">
        <v>59</v>
      </c>
      <c r="D37" s="19">
        <v>197607</v>
      </c>
      <c r="E37" s="19">
        <v>142585</v>
      </c>
      <c r="F37" s="19">
        <v>131691</v>
      </c>
      <c r="G37" s="19">
        <v>0</v>
      </c>
      <c r="H37" s="19">
        <v>130654</v>
      </c>
      <c r="I37" s="19">
        <v>0</v>
      </c>
      <c r="J37" s="19">
        <v>7</v>
      </c>
      <c r="K37" s="19">
        <v>0</v>
      </c>
      <c r="L37" s="19">
        <v>1030</v>
      </c>
      <c r="M37" s="19">
        <v>10894</v>
      </c>
      <c r="N37" s="19">
        <v>0</v>
      </c>
      <c r="O37" s="19">
        <v>10405</v>
      </c>
      <c r="P37" s="19">
        <v>0</v>
      </c>
      <c r="Q37" s="19">
        <v>0</v>
      </c>
      <c r="R37" s="19">
        <v>0</v>
      </c>
      <c r="S37" s="19">
        <v>489</v>
      </c>
      <c r="T37" s="19">
        <v>1469</v>
      </c>
      <c r="U37" s="19">
        <v>1220</v>
      </c>
      <c r="V37" s="19">
        <v>0</v>
      </c>
      <c r="W37" s="19">
        <v>0</v>
      </c>
      <c r="X37" s="19">
        <v>774</v>
      </c>
      <c r="Y37" s="19">
        <v>116</v>
      </c>
      <c r="Z37" s="19">
        <v>0</v>
      </c>
      <c r="AA37" s="19">
        <v>330</v>
      </c>
      <c r="AB37" s="19">
        <v>249</v>
      </c>
      <c r="AC37" s="19">
        <v>18</v>
      </c>
      <c r="AD37" s="19">
        <v>0</v>
      </c>
      <c r="AE37" s="19">
        <v>103</v>
      </c>
      <c r="AF37" s="19">
        <v>0</v>
      </c>
      <c r="AG37" s="19">
        <v>0</v>
      </c>
      <c r="AH37" s="19">
        <v>128</v>
      </c>
      <c r="AI37" s="19">
        <v>4347</v>
      </c>
      <c r="AJ37" s="19">
        <v>4251</v>
      </c>
      <c r="AK37" s="19">
        <v>0</v>
      </c>
      <c r="AL37" s="19">
        <v>0</v>
      </c>
      <c r="AM37" s="19">
        <v>0</v>
      </c>
      <c r="AN37" s="19">
        <v>4247</v>
      </c>
      <c r="AO37" s="19">
        <v>4</v>
      </c>
      <c r="AP37" s="19">
        <v>0</v>
      </c>
      <c r="AQ37" s="19">
        <v>96</v>
      </c>
      <c r="AR37" s="19">
        <v>0</v>
      </c>
      <c r="AS37" s="19">
        <v>0</v>
      </c>
      <c r="AT37" s="19">
        <v>0</v>
      </c>
      <c r="AU37" s="19">
        <v>96</v>
      </c>
      <c r="AV37" s="19">
        <v>0</v>
      </c>
      <c r="AW37" s="19">
        <v>0</v>
      </c>
      <c r="AX37" s="19">
        <v>163</v>
      </c>
      <c r="AY37" s="19">
        <v>163</v>
      </c>
      <c r="AZ37" s="19">
        <v>0</v>
      </c>
      <c r="BA37" s="19">
        <v>0</v>
      </c>
      <c r="BB37" s="19">
        <v>0</v>
      </c>
      <c r="BC37" s="19">
        <v>163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978</v>
      </c>
      <c r="CC37" s="19">
        <v>663</v>
      </c>
      <c r="CD37" s="19">
        <v>0</v>
      </c>
      <c r="CE37" s="19">
        <v>0</v>
      </c>
      <c r="CF37" s="19">
        <v>0</v>
      </c>
      <c r="CG37" s="19">
        <v>663</v>
      </c>
      <c r="CH37" s="19">
        <v>0</v>
      </c>
      <c r="CI37" s="19">
        <v>0</v>
      </c>
      <c r="CJ37" s="19">
        <v>315</v>
      </c>
      <c r="CK37" s="19">
        <v>0</v>
      </c>
      <c r="CL37" s="19">
        <v>28</v>
      </c>
      <c r="CM37" s="19">
        <v>0</v>
      </c>
      <c r="CN37" s="19">
        <v>287</v>
      </c>
      <c r="CO37" s="19">
        <v>0</v>
      </c>
      <c r="CP37" s="19">
        <v>0</v>
      </c>
      <c r="CQ37" s="19">
        <v>18748</v>
      </c>
      <c r="CR37" s="19">
        <v>16107</v>
      </c>
      <c r="CS37" s="19">
        <v>0</v>
      </c>
      <c r="CT37" s="19">
        <v>67</v>
      </c>
      <c r="CU37" s="19">
        <v>4679</v>
      </c>
      <c r="CV37" s="19">
        <v>10430</v>
      </c>
      <c r="CW37" s="19">
        <v>90</v>
      </c>
      <c r="CX37" s="19">
        <v>841</v>
      </c>
      <c r="CY37" s="19">
        <v>2641</v>
      </c>
      <c r="CZ37" s="19">
        <v>0</v>
      </c>
      <c r="DA37" s="19">
        <v>0</v>
      </c>
      <c r="DB37" s="19">
        <v>493</v>
      </c>
      <c r="DC37" s="19">
        <v>1633</v>
      </c>
      <c r="DD37" s="19">
        <v>1</v>
      </c>
      <c r="DE37" s="19">
        <v>514</v>
      </c>
      <c r="DF37" s="19">
        <v>5</v>
      </c>
      <c r="DG37" s="19">
        <v>0</v>
      </c>
      <c r="DH37" s="19">
        <v>0</v>
      </c>
      <c r="DI37" s="19">
        <v>0</v>
      </c>
      <c r="DJ37" s="19">
        <v>0</v>
      </c>
      <c r="DK37" s="19">
        <v>0</v>
      </c>
      <c r="DL37" s="19">
        <v>0</v>
      </c>
      <c r="DM37" s="19">
        <v>0</v>
      </c>
      <c r="DN37" s="19">
        <v>5</v>
      </c>
      <c r="DO37" s="19">
        <v>0</v>
      </c>
      <c r="DP37" s="19">
        <v>0</v>
      </c>
      <c r="DQ37" s="19">
        <v>4</v>
      </c>
      <c r="DR37" s="19">
        <v>0</v>
      </c>
      <c r="DS37" s="19">
        <v>0</v>
      </c>
      <c r="DT37" s="19">
        <v>1</v>
      </c>
      <c r="DU37" s="19">
        <v>29115</v>
      </c>
      <c r="DV37" s="19">
        <v>28560</v>
      </c>
      <c r="DW37" s="19">
        <v>1</v>
      </c>
      <c r="DX37" s="19">
        <v>554</v>
      </c>
      <c r="DY37" s="19">
        <v>0</v>
      </c>
      <c r="DZ37" s="19">
        <v>197</v>
      </c>
      <c r="EA37" s="19">
        <v>0</v>
      </c>
      <c r="EB37" s="19">
        <v>0</v>
      </c>
      <c r="EC37" s="19">
        <v>0</v>
      </c>
      <c r="ED37" s="19">
        <v>0</v>
      </c>
      <c r="EE37" s="19">
        <v>0</v>
      </c>
      <c r="EF37" s="19">
        <v>0</v>
      </c>
      <c r="EG37" s="19">
        <v>0</v>
      </c>
      <c r="EH37" s="19">
        <v>197</v>
      </c>
      <c r="EI37" s="19">
        <v>0</v>
      </c>
      <c r="EJ37" s="19">
        <v>0</v>
      </c>
      <c r="EK37" s="19">
        <v>0</v>
      </c>
      <c r="EL37" s="19">
        <v>0</v>
      </c>
      <c r="EM37" s="19">
        <v>197</v>
      </c>
      <c r="EN37" s="19">
        <v>0</v>
      </c>
    </row>
    <row r="38" spans="1:144" ht="13.5" customHeight="1">
      <c r="A38" s="17" t="s">
        <v>120</v>
      </c>
      <c r="B38" s="18" t="s">
        <v>121</v>
      </c>
      <c r="C38" s="17" t="s">
        <v>59</v>
      </c>
      <c r="D38" s="19">
        <v>228418</v>
      </c>
      <c r="E38" s="19">
        <v>173422</v>
      </c>
      <c r="F38" s="19">
        <v>148309</v>
      </c>
      <c r="G38" s="19">
        <v>0</v>
      </c>
      <c r="H38" s="19">
        <v>148092</v>
      </c>
      <c r="I38" s="19">
        <v>0</v>
      </c>
      <c r="J38" s="19">
        <v>0</v>
      </c>
      <c r="K38" s="19">
        <v>0</v>
      </c>
      <c r="L38" s="19">
        <v>217</v>
      </c>
      <c r="M38" s="19">
        <v>25113</v>
      </c>
      <c r="N38" s="19">
        <v>4889</v>
      </c>
      <c r="O38" s="19">
        <v>20130</v>
      </c>
      <c r="P38" s="19">
        <v>0</v>
      </c>
      <c r="Q38" s="19">
        <v>0</v>
      </c>
      <c r="R38" s="19">
        <v>45</v>
      </c>
      <c r="S38" s="19">
        <v>49</v>
      </c>
      <c r="T38" s="19">
        <v>9028</v>
      </c>
      <c r="U38" s="19">
        <v>6733</v>
      </c>
      <c r="V38" s="19">
        <v>0</v>
      </c>
      <c r="W38" s="19">
        <v>0</v>
      </c>
      <c r="X38" s="19">
        <v>5945</v>
      </c>
      <c r="Y38" s="19">
        <v>483</v>
      </c>
      <c r="Z38" s="19">
        <v>3</v>
      </c>
      <c r="AA38" s="19">
        <v>302</v>
      </c>
      <c r="AB38" s="19">
        <v>2295</v>
      </c>
      <c r="AC38" s="19">
        <v>0</v>
      </c>
      <c r="AD38" s="19">
        <v>0</v>
      </c>
      <c r="AE38" s="19">
        <v>1501</v>
      </c>
      <c r="AF38" s="19">
        <v>105</v>
      </c>
      <c r="AG38" s="19">
        <v>0</v>
      </c>
      <c r="AH38" s="19">
        <v>689</v>
      </c>
      <c r="AI38" s="19">
        <v>3241</v>
      </c>
      <c r="AJ38" s="19">
        <v>3241</v>
      </c>
      <c r="AK38" s="19">
        <v>0</v>
      </c>
      <c r="AL38" s="19">
        <v>0</v>
      </c>
      <c r="AM38" s="19">
        <v>0</v>
      </c>
      <c r="AN38" s="19">
        <v>3241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181</v>
      </c>
      <c r="AY38" s="19">
        <v>181</v>
      </c>
      <c r="AZ38" s="19">
        <v>0</v>
      </c>
      <c r="BA38" s="19">
        <v>0</v>
      </c>
      <c r="BB38" s="19">
        <v>0</v>
      </c>
      <c r="BC38" s="19">
        <v>181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9546</v>
      </c>
      <c r="CC38" s="19">
        <v>7679</v>
      </c>
      <c r="CD38" s="19">
        <v>0</v>
      </c>
      <c r="CE38" s="19">
        <v>6144</v>
      </c>
      <c r="CF38" s="19">
        <v>0</v>
      </c>
      <c r="CG38" s="19">
        <v>1535</v>
      </c>
      <c r="CH38" s="19">
        <v>0</v>
      </c>
      <c r="CI38" s="19">
        <v>0</v>
      </c>
      <c r="CJ38" s="19">
        <v>1867</v>
      </c>
      <c r="CK38" s="19">
        <v>0</v>
      </c>
      <c r="CL38" s="19">
        <v>1705</v>
      </c>
      <c r="CM38" s="19">
        <v>81</v>
      </c>
      <c r="CN38" s="19">
        <v>81</v>
      </c>
      <c r="CO38" s="19">
        <v>0</v>
      </c>
      <c r="CP38" s="19">
        <v>0</v>
      </c>
      <c r="CQ38" s="19">
        <v>19346</v>
      </c>
      <c r="CR38" s="19">
        <v>16237</v>
      </c>
      <c r="CS38" s="19">
        <v>0</v>
      </c>
      <c r="CT38" s="19">
        <v>0</v>
      </c>
      <c r="CU38" s="19">
        <v>1106</v>
      </c>
      <c r="CV38" s="19">
        <v>14723</v>
      </c>
      <c r="CW38" s="19">
        <v>0</v>
      </c>
      <c r="CX38" s="19">
        <v>408</v>
      </c>
      <c r="CY38" s="19">
        <v>3109</v>
      </c>
      <c r="CZ38" s="19">
        <v>0</v>
      </c>
      <c r="DA38" s="19">
        <v>89</v>
      </c>
      <c r="DB38" s="19">
        <v>1228</v>
      </c>
      <c r="DC38" s="19">
        <v>1417</v>
      </c>
      <c r="DD38" s="19">
        <v>0</v>
      </c>
      <c r="DE38" s="19">
        <v>375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6974</v>
      </c>
      <c r="DV38" s="19">
        <v>5952</v>
      </c>
      <c r="DW38" s="19">
        <v>95</v>
      </c>
      <c r="DX38" s="19">
        <v>926</v>
      </c>
      <c r="DY38" s="19">
        <v>1</v>
      </c>
      <c r="DZ38" s="19">
        <v>6680</v>
      </c>
      <c r="EA38" s="19">
        <v>4181</v>
      </c>
      <c r="EB38" s="19">
        <v>0</v>
      </c>
      <c r="EC38" s="19">
        <v>0</v>
      </c>
      <c r="ED38" s="19">
        <v>4181</v>
      </c>
      <c r="EE38" s="19">
        <v>0</v>
      </c>
      <c r="EF38" s="19">
        <v>0</v>
      </c>
      <c r="EG38" s="19">
        <v>0</v>
      </c>
      <c r="EH38" s="19">
        <v>2499</v>
      </c>
      <c r="EI38" s="19">
        <v>426</v>
      </c>
      <c r="EJ38" s="19">
        <v>0</v>
      </c>
      <c r="EK38" s="19">
        <v>1805</v>
      </c>
      <c r="EL38" s="19">
        <v>0</v>
      </c>
      <c r="EM38" s="19">
        <v>0</v>
      </c>
      <c r="EN38" s="19">
        <v>268</v>
      </c>
    </row>
    <row r="39" spans="1:144" ht="13.5" customHeight="1">
      <c r="A39" s="17" t="s">
        <v>122</v>
      </c>
      <c r="B39" s="18" t="s">
        <v>123</v>
      </c>
      <c r="C39" s="17" t="s">
        <v>59</v>
      </c>
      <c r="D39" s="19">
        <v>609795</v>
      </c>
      <c r="E39" s="19">
        <v>543011</v>
      </c>
      <c r="F39" s="19">
        <v>481540</v>
      </c>
      <c r="G39" s="19">
        <v>0</v>
      </c>
      <c r="H39" s="19">
        <v>480754</v>
      </c>
      <c r="I39" s="19">
        <v>23</v>
      </c>
      <c r="J39" s="19">
        <v>26</v>
      </c>
      <c r="K39" s="19">
        <v>0</v>
      </c>
      <c r="L39" s="19">
        <v>737</v>
      </c>
      <c r="M39" s="19">
        <v>61471</v>
      </c>
      <c r="N39" s="19">
        <v>0</v>
      </c>
      <c r="O39" s="19">
        <v>57984</v>
      </c>
      <c r="P39" s="19">
        <v>1</v>
      </c>
      <c r="Q39" s="19">
        <v>2</v>
      </c>
      <c r="R39" s="19">
        <v>0</v>
      </c>
      <c r="S39" s="19">
        <v>3484</v>
      </c>
      <c r="T39" s="19">
        <v>21794</v>
      </c>
      <c r="U39" s="19">
        <v>11906</v>
      </c>
      <c r="V39" s="19">
        <v>0</v>
      </c>
      <c r="W39" s="19">
        <v>0</v>
      </c>
      <c r="X39" s="19">
        <v>7892</v>
      </c>
      <c r="Y39" s="19">
        <v>251</v>
      </c>
      <c r="Z39" s="19">
        <v>0</v>
      </c>
      <c r="AA39" s="19">
        <v>3763</v>
      </c>
      <c r="AB39" s="19">
        <v>9888</v>
      </c>
      <c r="AC39" s="19">
        <v>0</v>
      </c>
      <c r="AD39" s="19">
        <v>0</v>
      </c>
      <c r="AE39" s="19">
        <v>617</v>
      </c>
      <c r="AF39" s="19">
        <v>21</v>
      </c>
      <c r="AG39" s="19">
        <v>0</v>
      </c>
      <c r="AH39" s="19">
        <v>9250</v>
      </c>
      <c r="AI39" s="19">
        <v>567</v>
      </c>
      <c r="AJ39" s="19">
        <v>509</v>
      </c>
      <c r="AK39" s="19">
        <v>0</v>
      </c>
      <c r="AL39" s="19">
        <v>0</v>
      </c>
      <c r="AM39" s="19">
        <v>0</v>
      </c>
      <c r="AN39" s="19">
        <v>509</v>
      </c>
      <c r="AO39" s="19">
        <v>0</v>
      </c>
      <c r="AP39" s="19">
        <v>0</v>
      </c>
      <c r="AQ39" s="19">
        <v>58</v>
      </c>
      <c r="AR39" s="19">
        <v>0</v>
      </c>
      <c r="AS39" s="19">
        <v>0</v>
      </c>
      <c r="AT39" s="19">
        <v>0</v>
      </c>
      <c r="AU39" s="19">
        <v>58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389</v>
      </c>
      <c r="BN39" s="19">
        <v>389</v>
      </c>
      <c r="BO39" s="19">
        <v>0</v>
      </c>
      <c r="BP39" s="19">
        <v>0</v>
      </c>
      <c r="BQ39" s="19">
        <v>0</v>
      </c>
      <c r="BR39" s="19">
        <v>389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431</v>
      </c>
      <c r="CC39" s="19">
        <v>152</v>
      </c>
      <c r="CD39" s="19">
        <v>0</v>
      </c>
      <c r="CE39" s="19">
        <v>0</v>
      </c>
      <c r="CF39" s="19">
        <v>0</v>
      </c>
      <c r="CG39" s="19">
        <v>136</v>
      </c>
      <c r="CH39" s="19">
        <v>0</v>
      </c>
      <c r="CI39" s="19">
        <v>16</v>
      </c>
      <c r="CJ39" s="19">
        <v>279</v>
      </c>
      <c r="CK39" s="19">
        <v>0</v>
      </c>
      <c r="CL39" s="19">
        <v>0</v>
      </c>
      <c r="CM39" s="19">
        <v>0</v>
      </c>
      <c r="CN39" s="19">
        <v>24</v>
      </c>
      <c r="CO39" s="19">
        <v>0</v>
      </c>
      <c r="CP39" s="19">
        <v>255</v>
      </c>
      <c r="CQ39" s="19">
        <v>22246</v>
      </c>
      <c r="CR39" s="19">
        <v>18374</v>
      </c>
      <c r="CS39" s="19">
        <v>0</v>
      </c>
      <c r="CT39" s="19">
        <v>0</v>
      </c>
      <c r="CU39" s="19">
        <v>982</v>
      </c>
      <c r="CV39" s="19">
        <v>16848</v>
      </c>
      <c r="CW39" s="19">
        <v>140</v>
      </c>
      <c r="CX39" s="19">
        <v>404</v>
      </c>
      <c r="CY39" s="19">
        <v>3872</v>
      </c>
      <c r="CZ39" s="19">
        <v>0</v>
      </c>
      <c r="DA39" s="19">
        <v>0</v>
      </c>
      <c r="DB39" s="19">
        <v>341</v>
      </c>
      <c r="DC39" s="19">
        <v>2787</v>
      </c>
      <c r="DD39" s="19">
        <v>33</v>
      </c>
      <c r="DE39" s="19">
        <v>711</v>
      </c>
      <c r="DF39" s="19">
        <v>1792</v>
      </c>
      <c r="DG39" s="19">
        <v>1654</v>
      </c>
      <c r="DH39" s="19">
        <v>0</v>
      </c>
      <c r="DI39" s="19">
        <v>0</v>
      </c>
      <c r="DJ39" s="19">
        <v>1654</v>
      </c>
      <c r="DK39" s="19">
        <v>0</v>
      </c>
      <c r="DL39" s="19">
        <v>0</v>
      </c>
      <c r="DM39" s="19">
        <v>0</v>
      </c>
      <c r="DN39" s="19">
        <v>138</v>
      </c>
      <c r="DO39" s="19">
        <v>0</v>
      </c>
      <c r="DP39" s="19">
        <v>0</v>
      </c>
      <c r="DQ39" s="19">
        <v>138</v>
      </c>
      <c r="DR39" s="19">
        <v>0</v>
      </c>
      <c r="DS39" s="19">
        <v>0</v>
      </c>
      <c r="DT39" s="19">
        <v>0</v>
      </c>
      <c r="DU39" s="19">
        <v>16468</v>
      </c>
      <c r="DV39" s="19">
        <v>12893</v>
      </c>
      <c r="DW39" s="19">
        <v>0</v>
      </c>
      <c r="DX39" s="19">
        <v>3575</v>
      </c>
      <c r="DY39" s="19">
        <v>0</v>
      </c>
      <c r="DZ39" s="19">
        <v>3097</v>
      </c>
      <c r="EA39" s="19">
        <v>2077</v>
      </c>
      <c r="EB39" s="19">
        <v>0</v>
      </c>
      <c r="EC39" s="19">
        <v>0</v>
      </c>
      <c r="ED39" s="19">
        <v>2077</v>
      </c>
      <c r="EE39" s="19">
        <v>0</v>
      </c>
      <c r="EF39" s="19">
        <v>0</v>
      </c>
      <c r="EG39" s="19">
        <v>0</v>
      </c>
      <c r="EH39" s="19">
        <v>1020</v>
      </c>
      <c r="EI39" s="19">
        <v>0</v>
      </c>
      <c r="EJ39" s="19">
        <v>0</v>
      </c>
      <c r="EK39" s="19">
        <v>1020</v>
      </c>
      <c r="EL39" s="19">
        <v>0</v>
      </c>
      <c r="EM39" s="19">
        <v>0</v>
      </c>
      <c r="EN39" s="19">
        <v>0</v>
      </c>
    </row>
    <row r="40" spans="1:144" ht="13.5" customHeight="1">
      <c r="A40" s="17" t="s">
        <v>124</v>
      </c>
      <c r="B40" s="18" t="s">
        <v>125</v>
      </c>
      <c r="C40" s="17" t="s">
        <v>59</v>
      </c>
      <c r="D40" s="19">
        <v>881131</v>
      </c>
      <c r="E40" s="19">
        <v>605893</v>
      </c>
      <c r="F40" s="19">
        <v>566877</v>
      </c>
      <c r="G40" s="19">
        <v>0</v>
      </c>
      <c r="H40" s="19">
        <v>564118</v>
      </c>
      <c r="I40" s="19">
        <v>133</v>
      </c>
      <c r="J40" s="19">
        <v>366</v>
      </c>
      <c r="K40" s="19">
        <v>0</v>
      </c>
      <c r="L40" s="19">
        <v>2260</v>
      </c>
      <c r="M40" s="19">
        <v>39016</v>
      </c>
      <c r="N40" s="19">
        <v>0</v>
      </c>
      <c r="O40" s="19">
        <v>34812</v>
      </c>
      <c r="P40" s="19">
        <v>0</v>
      </c>
      <c r="Q40" s="19">
        <v>0</v>
      </c>
      <c r="R40" s="19">
        <v>0</v>
      </c>
      <c r="S40" s="19">
        <v>4204</v>
      </c>
      <c r="T40" s="19">
        <v>49228</v>
      </c>
      <c r="U40" s="19">
        <v>29385</v>
      </c>
      <c r="V40" s="19">
        <v>0</v>
      </c>
      <c r="W40" s="19">
        <v>0</v>
      </c>
      <c r="X40" s="19">
        <v>11796</v>
      </c>
      <c r="Y40" s="19">
        <v>4491</v>
      </c>
      <c r="Z40" s="19">
        <v>0</v>
      </c>
      <c r="AA40" s="19">
        <v>13098</v>
      </c>
      <c r="AB40" s="19">
        <v>19843</v>
      </c>
      <c r="AC40" s="19">
        <v>0</v>
      </c>
      <c r="AD40" s="19">
        <v>0</v>
      </c>
      <c r="AE40" s="19">
        <v>3012</v>
      </c>
      <c r="AF40" s="19">
        <v>128</v>
      </c>
      <c r="AG40" s="19">
        <v>0</v>
      </c>
      <c r="AH40" s="19">
        <v>16703</v>
      </c>
      <c r="AI40" s="19">
        <v>1462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1462</v>
      </c>
      <c r="AR40" s="19">
        <v>0</v>
      </c>
      <c r="AS40" s="19">
        <v>0</v>
      </c>
      <c r="AT40" s="19">
        <v>0</v>
      </c>
      <c r="AU40" s="19">
        <v>1462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97992</v>
      </c>
      <c r="CC40" s="19">
        <v>92569</v>
      </c>
      <c r="CD40" s="19">
        <v>0</v>
      </c>
      <c r="CE40" s="19">
        <v>89781</v>
      </c>
      <c r="CF40" s="19">
        <v>3</v>
      </c>
      <c r="CG40" s="19">
        <v>780</v>
      </c>
      <c r="CH40" s="19">
        <v>0</v>
      </c>
      <c r="CI40" s="19">
        <v>2005</v>
      </c>
      <c r="CJ40" s="19">
        <v>5423</v>
      </c>
      <c r="CK40" s="19">
        <v>0</v>
      </c>
      <c r="CL40" s="19">
        <v>2536</v>
      </c>
      <c r="CM40" s="19">
        <v>0</v>
      </c>
      <c r="CN40" s="19">
        <v>792</v>
      </c>
      <c r="CO40" s="19">
        <v>0</v>
      </c>
      <c r="CP40" s="19">
        <v>2095</v>
      </c>
      <c r="CQ40" s="19">
        <v>99417</v>
      </c>
      <c r="CR40" s="19">
        <v>93684</v>
      </c>
      <c r="CS40" s="19">
        <v>0</v>
      </c>
      <c r="CT40" s="19">
        <v>116</v>
      </c>
      <c r="CU40" s="19">
        <v>3589</v>
      </c>
      <c r="CV40" s="19">
        <v>89007</v>
      </c>
      <c r="CW40" s="19">
        <v>557</v>
      </c>
      <c r="CX40" s="19">
        <v>415</v>
      </c>
      <c r="CY40" s="19">
        <v>5733</v>
      </c>
      <c r="CZ40" s="19">
        <v>0</v>
      </c>
      <c r="DA40" s="19">
        <v>50</v>
      </c>
      <c r="DB40" s="19">
        <v>726</v>
      </c>
      <c r="DC40" s="19">
        <v>2679</v>
      </c>
      <c r="DD40" s="19">
        <v>36</v>
      </c>
      <c r="DE40" s="19">
        <v>2242</v>
      </c>
      <c r="DF40" s="19">
        <v>1478</v>
      </c>
      <c r="DG40" s="19">
        <v>1135</v>
      </c>
      <c r="DH40" s="19">
        <v>0</v>
      </c>
      <c r="DI40" s="19">
        <v>708</v>
      </c>
      <c r="DJ40" s="19">
        <v>228</v>
      </c>
      <c r="DK40" s="19">
        <v>23</v>
      </c>
      <c r="DL40" s="19">
        <v>0</v>
      </c>
      <c r="DM40" s="19">
        <v>176</v>
      </c>
      <c r="DN40" s="19">
        <v>343</v>
      </c>
      <c r="DO40" s="19">
        <v>0</v>
      </c>
      <c r="DP40" s="19">
        <v>141</v>
      </c>
      <c r="DQ40" s="19">
        <v>143</v>
      </c>
      <c r="DR40" s="19">
        <v>0</v>
      </c>
      <c r="DS40" s="19">
        <v>1</v>
      </c>
      <c r="DT40" s="19">
        <v>58</v>
      </c>
      <c r="DU40" s="19">
        <v>13002</v>
      </c>
      <c r="DV40" s="19">
        <v>11364</v>
      </c>
      <c r="DW40" s="19">
        <v>0</v>
      </c>
      <c r="DX40" s="19">
        <v>1629</v>
      </c>
      <c r="DY40" s="19">
        <v>9</v>
      </c>
      <c r="DZ40" s="19">
        <v>12659</v>
      </c>
      <c r="EA40" s="19">
        <v>9088</v>
      </c>
      <c r="EB40" s="19">
        <v>0</v>
      </c>
      <c r="EC40" s="19">
        <v>0</v>
      </c>
      <c r="ED40" s="19">
        <v>8919</v>
      </c>
      <c r="EE40" s="19">
        <v>0</v>
      </c>
      <c r="EF40" s="19">
        <v>169</v>
      </c>
      <c r="EG40" s="19">
        <v>0</v>
      </c>
      <c r="EH40" s="19">
        <v>3571</v>
      </c>
      <c r="EI40" s="19">
        <v>0</v>
      </c>
      <c r="EJ40" s="19">
        <v>0</v>
      </c>
      <c r="EK40" s="19">
        <v>3212</v>
      </c>
      <c r="EL40" s="19">
        <v>0</v>
      </c>
      <c r="EM40" s="19">
        <v>51</v>
      </c>
      <c r="EN40" s="19">
        <v>308</v>
      </c>
    </row>
    <row r="41" spans="1:144" ht="13.5" customHeight="1">
      <c r="A41" s="17" t="s">
        <v>126</v>
      </c>
      <c r="B41" s="18" t="s">
        <v>127</v>
      </c>
      <c r="C41" s="17" t="s">
        <v>59</v>
      </c>
      <c r="D41" s="19">
        <v>469382</v>
      </c>
      <c r="E41" s="19">
        <v>363670</v>
      </c>
      <c r="F41" s="19">
        <v>283077</v>
      </c>
      <c r="G41" s="19">
        <v>0</v>
      </c>
      <c r="H41" s="19">
        <v>279855</v>
      </c>
      <c r="I41" s="19">
        <v>125</v>
      </c>
      <c r="J41" s="19">
        <v>0</v>
      </c>
      <c r="K41" s="19">
        <v>0</v>
      </c>
      <c r="L41" s="19">
        <v>3097</v>
      </c>
      <c r="M41" s="19">
        <v>80593</v>
      </c>
      <c r="N41" s="19">
        <v>0</v>
      </c>
      <c r="O41" s="19">
        <v>77367</v>
      </c>
      <c r="P41" s="19">
        <v>108</v>
      </c>
      <c r="Q41" s="19">
        <v>0</v>
      </c>
      <c r="R41" s="19">
        <v>0</v>
      </c>
      <c r="S41" s="19">
        <v>3118</v>
      </c>
      <c r="T41" s="19">
        <v>21059</v>
      </c>
      <c r="U41" s="19">
        <v>6513</v>
      </c>
      <c r="V41" s="19">
        <v>1</v>
      </c>
      <c r="W41" s="19">
        <v>0</v>
      </c>
      <c r="X41" s="19">
        <v>2921</v>
      </c>
      <c r="Y41" s="19">
        <v>0</v>
      </c>
      <c r="Z41" s="19">
        <v>142</v>
      </c>
      <c r="AA41" s="19">
        <v>3449</v>
      </c>
      <c r="AB41" s="19">
        <v>14546</v>
      </c>
      <c r="AC41" s="19">
        <v>797</v>
      </c>
      <c r="AD41" s="19">
        <v>0</v>
      </c>
      <c r="AE41" s="19">
        <v>4033</v>
      </c>
      <c r="AF41" s="19">
        <v>0</v>
      </c>
      <c r="AG41" s="19">
        <v>0</v>
      </c>
      <c r="AH41" s="19">
        <v>9716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5676</v>
      </c>
      <c r="BN41" s="19">
        <v>5676</v>
      </c>
      <c r="BO41" s="19">
        <v>0</v>
      </c>
      <c r="BP41" s="19">
        <v>5676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6168</v>
      </c>
      <c r="CC41" s="19">
        <v>5423</v>
      </c>
      <c r="CD41" s="19">
        <v>0</v>
      </c>
      <c r="CE41" s="19">
        <v>5284</v>
      </c>
      <c r="CF41" s="19">
        <v>0</v>
      </c>
      <c r="CG41" s="19">
        <v>0</v>
      </c>
      <c r="CH41" s="19">
        <v>0</v>
      </c>
      <c r="CI41" s="19">
        <v>139</v>
      </c>
      <c r="CJ41" s="19">
        <v>745</v>
      </c>
      <c r="CK41" s="19">
        <v>0</v>
      </c>
      <c r="CL41" s="19">
        <v>463</v>
      </c>
      <c r="CM41" s="19">
        <v>0</v>
      </c>
      <c r="CN41" s="19">
        <v>0</v>
      </c>
      <c r="CO41" s="19">
        <v>0</v>
      </c>
      <c r="CP41" s="19">
        <v>282</v>
      </c>
      <c r="CQ41" s="19">
        <v>42786</v>
      </c>
      <c r="CR41" s="19">
        <v>35726</v>
      </c>
      <c r="CS41" s="19">
        <v>0</v>
      </c>
      <c r="CT41" s="19">
        <v>0</v>
      </c>
      <c r="CU41" s="19">
        <v>3723</v>
      </c>
      <c r="CV41" s="19">
        <v>30541</v>
      </c>
      <c r="CW41" s="19">
        <v>923</v>
      </c>
      <c r="CX41" s="19">
        <v>539</v>
      </c>
      <c r="CY41" s="19">
        <v>7060</v>
      </c>
      <c r="CZ41" s="19">
        <v>0</v>
      </c>
      <c r="DA41" s="19">
        <v>39</v>
      </c>
      <c r="DB41" s="19">
        <v>1815</v>
      </c>
      <c r="DC41" s="19">
        <v>4810</v>
      </c>
      <c r="DD41" s="19">
        <v>61</v>
      </c>
      <c r="DE41" s="19">
        <v>335</v>
      </c>
      <c r="DF41" s="19">
        <v>607</v>
      </c>
      <c r="DG41" s="19">
        <v>521</v>
      </c>
      <c r="DH41" s="19">
        <v>0</v>
      </c>
      <c r="DI41" s="19">
        <v>0</v>
      </c>
      <c r="DJ41" s="19">
        <v>490</v>
      </c>
      <c r="DK41" s="19">
        <v>0</v>
      </c>
      <c r="DL41" s="19">
        <v>31</v>
      </c>
      <c r="DM41" s="19">
        <v>0</v>
      </c>
      <c r="DN41" s="19">
        <v>86</v>
      </c>
      <c r="DO41" s="19">
        <v>0</v>
      </c>
      <c r="DP41" s="19">
        <v>0</v>
      </c>
      <c r="DQ41" s="19">
        <v>86</v>
      </c>
      <c r="DR41" s="19">
        <v>0</v>
      </c>
      <c r="DS41" s="19">
        <v>0</v>
      </c>
      <c r="DT41" s="19">
        <v>0</v>
      </c>
      <c r="DU41" s="19">
        <v>22226</v>
      </c>
      <c r="DV41" s="19">
        <v>17895</v>
      </c>
      <c r="DW41" s="19">
        <v>37</v>
      </c>
      <c r="DX41" s="19">
        <v>4254</v>
      </c>
      <c r="DY41" s="19">
        <v>40</v>
      </c>
      <c r="DZ41" s="19">
        <v>7190</v>
      </c>
      <c r="EA41" s="19">
        <v>2702</v>
      </c>
      <c r="EB41" s="19">
        <v>0</v>
      </c>
      <c r="EC41" s="19">
        <v>0</v>
      </c>
      <c r="ED41" s="19">
        <v>2533</v>
      </c>
      <c r="EE41" s="19">
        <v>0</v>
      </c>
      <c r="EF41" s="19">
        <v>169</v>
      </c>
      <c r="EG41" s="19">
        <v>0</v>
      </c>
      <c r="EH41" s="19">
        <v>4488</v>
      </c>
      <c r="EI41" s="19">
        <v>0</v>
      </c>
      <c r="EJ41" s="19">
        <v>0</v>
      </c>
      <c r="EK41" s="19">
        <v>3069</v>
      </c>
      <c r="EL41" s="19">
        <v>0</v>
      </c>
      <c r="EM41" s="19">
        <v>109</v>
      </c>
      <c r="EN41" s="19">
        <v>1310</v>
      </c>
    </row>
    <row r="42" spans="1:144" ht="13.5" customHeight="1">
      <c r="A42" s="17" t="s">
        <v>128</v>
      </c>
      <c r="B42" s="18" t="s">
        <v>129</v>
      </c>
      <c r="C42" s="17" t="s">
        <v>59</v>
      </c>
      <c r="D42" s="19">
        <v>247783</v>
      </c>
      <c r="E42" s="19">
        <v>193967</v>
      </c>
      <c r="F42" s="19">
        <v>186654</v>
      </c>
      <c r="G42" s="19">
        <v>0</v>
      </c>
      <c r="H42" s="19">
        <v>185913</v>
      </c>
      <c r="I42" s="19">
        <v>342</v>
      </c>
      <c r="J42" s="19">
        <v>189</v>
      </c>
      <c r="K42" s="19">
        <v>210</v>
      </c>
      <c r="L42" s="19">
        <v>0</v>
      </c>
      <c r="M42" s="19">
        <v>7313</v>
      </c>
      <c r="N42" s="19">
        <v>0</v>
      </c>
      <c r="O42" s="19">
        <v>7075</v>
      </c>
      <c r="P42" s="19">
        <v>23</v>
      </c>
      <c r="Q42" s="19">
        <v>9</v>
      </c>
      <c r="R42" s="19">
        <v>0</v>
      </c>
      <c r="S42" s="19">
        <v>206</v>
      </c>
      <c r="T42" s="19">
        <v>21197</v>
      </c>
      <c r="U42" s="19">
        <v>17484</v>
      </c>
      <c r="V42" s="19">
        <v>0</v>
      </c>
      <c r="W42" s="19">
        <v>0</v>
      </c>
      <c r="X42" s="19">
        <v>7417</v>
      </c>
      <c r="Y42" s="19">
        <v>5348</v>
      </c>
      <c r="Z42" s="19">
        <v>0</v>
      </c>
      <c r="AA42" s="19">
        <v>4719</v>
      </c>
      <c r="AB42" s="19">
        <v>3713</v>
      </c>
      <c r="AC42" s="19">
        <v>0</v>
      </c>
      <c r="AD42" s="19">
        <v>0</v>
      </c>
      <c r="AE42" s="19">
        <v>2862</v>
      </c>
      <c r="AF42" s="19">
        <v>92</v>
      </c>
      <c r="AG42" s="19">
        <v>0</v>
      </c>
      <c r="AH42" s="19">
        <v>759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951</v>
      </c>
      <c r="CC42" s="19">
        <v>188</v>
      </c>
      <c r="CD42" s="19">
        <v>0</v>
      </c>
      <c r="CE42" s="19">
        <v>0</v>
      </c>
      <c r="CF42" s="19">
        <v>52</v>
      </c>
      <c r="CG42" s="19">
        <v>136</v>
      </c>
      <c r="CH42" s="19">
        <v>0</v>
      </c>
      <c r="CI42" s="19">
        <v>0</v>
      </c>
      <c r="CJ42" s="19">
        <v>763</v>
      </c>
      <c r="CK42" s="19">
        <v>0</v>
      </c>
      <c r="CL42" s="19">
        <v>0</v>
      </c>
      <c r="CM42" s="19">
        <v>3</v>
      </c>
      <c r="CN42" s="19">
        <v>2</v>
      </c>
      <c r="CO42" s="19">
        <v>0</v>
      </c>
      <c r="CP42" s="19">
        <v>758</v>
      </c>
      <c r="CQ42" s="19">
        <v>16697</v>
      </c>
      <c r="CR42" s="19">
        <v>16287</v>
      </c>
      <c r="CS42" s="19">
        <v>0</v>
      </c>
      <c r="CT42" s="19">
        <v>0</v>
      </c>
      <c r="CU42" s="19">
        <v>3962</v>
      </c>
      <c r="CV42" s="19">
        <v>10971</v>
      </c>
      <c r="CW42" s="19">
        <v>1084</v>
      </c>
      <c r="CX42" s="19">
        <v>270</v>
      </c>
      <c r="CY42" s="19">
        <v>410</v>
      </c>
      <c r="CZ42" s="19">
        <v>0</v>
      </c>
      <c r="DA42" s="19">
        <v>0</v>
      </c>
      <c r="DB42" s="19">
        <v>168</v>
      </c>
      <c r="DC42" s="19">
        <v>82</v>
      </c>
      <c r="DD42" s="19">
        <v>2</v>
      </c>
      <c r="DE42" s="19">
        <v>158</v>
      </c>
      <c r="DF42" s="19">
        <v>153</v>
      </c>
      <c r="DG42" s="19">
        <v>91</v>
      </c>
      <c r="DH42" s="19">
        <v>0</v>
      </c>
      <c r="DI42" s="19">
        <v>0</v>
      </c>
      <c r="DJ42" s="19">
        <v>17</v>
      </c>
      <c r="DK42" s="19">
        <v>0</v>
      </c>
      <c r="DL42" s="19">
        <v>0</v>
      </c>
      <c r="DM42" s="19">
        <v>74</v>
      </c>
      <c r="DN42" s="19">
        <v>62</v>
      </c>
      <c r="DO42" s="19">
        <v>0</v>
      </c>
      <c r="DP42" s="19">
        <v>0</v>
      </c>
      <c r="DQ42" s="19">
        <v>62</v>
      </c>
      <c r="DR42" s="19">
        <v>0</v>
      </c>
      <c r="DS42" s="19">
        <v>0</v>
      </c>
      <c r="DT42" s="19">
        <v>0</v>
      </c>
      <c r="DU42" s="19">
        <v>14221</v>
      </c>
      <c r="DV42" s="19">
        <v>13369</v>
      </c>
      <c r="DW42" s="19">
        <v>70</v>
      </c>
      <c r="DX42" s="19">
        <v>779</v>
      </c>
      <c r="DY42" s="19">
        <v>3</v>
      </c>
      <c r="DZ42" s="19">
        <v>597</v>
      </c>
      <c r="EA42" s="19">
        <v>565</v>
      </c>
      <c r="EB42" s="19">
        <v>0</v>
      </c>
      <c r="EC42" s="19">
        <v>0</v>
      </c>
      <c r="ED42" s="19">
        <v>536</v>
      </c>
      <c r="EE42" s="19">
        <v>25</v>
      </c>
      <c r="EF42" s="19">
        <v>4</v>
      </c>
      <c r="EG42" s="19">
        <v>0</v>
      </c>
      <c r="EH42" s="19">
        <v>32</v>
      </c>
      <c r="EI42" s="19">
        <v>0</v>
      </c>
      <c r="EJ42" s="19">
        <v>0</v>
      </c>
      <c r="EK42" s="19">
        <v>5</v>
      </c>
      <c r="EL42" s="19">
        <v>1</v>
      </c>
      <c r="EM42" s="19">
        <v>0</v>
      </c>
      <c r="EN42" s="19">
        <v>26</v>
      </c>
    </row>
    <row r="43" spans="1:144" ht="13.5" customHeight="1">
      <c r="A43" s="17" t="s">
        <v>130</v>
      </c>
      <c r="B43" s="18" t="s">
        <v>131</v>
      </c>
      <c r="C43" s="17" t="s">
        <v>59</v>
      </c>
      <c r="D43" s="19">
        <v>298582</v>
      </c>
      <c r="E43" s="19">
        <v>222191</v>
      </c>
      <c r="F43" s="19">
        <v>215004</v>
      </c>
      <c r="G43" s="19">
        <v>0</v>
      </c>
      <c r="H43" s="19">
        <v>213235</v>
      </c>
      <c r="I43" s="19">
        <v>1554</v>
      </c>
      <c r="J43" s="19">
        <v>14</v>
      </c>
      <c r="K43" s="19">
        <v>0</v>
      </c>
      <c r="L43" s="19">
        <v>201</v>
      </c>
      <c r="M43" s="19">
        <v>7187</v>
      </c>
      <c r="N43" s="19">
        <v>0</v>
      </c>
      <c r="O43" s="19">
        <v>6994</v>
      </c>
      <c r="P43" s="19">
        <v>21</v>
      </c>
      <c r="Q43" s="19">
        <v>0</v>
      </c>
      <c r="R43" s="19">
        <v>0</v>
      </c>
      <c r="S43" s="19">
        <v>172</v>
      </c>
      <c r="T43" s="19">
        <v>11412</v>
      </c>
      <c r="U43" s="19">
        <v>8978</v>
      </c>
      <c r="V43" s="19">
        <v>0</v>
      </c>
      <c r="W43" s="19">
        <v>0</v>
      </c>
      <c r="X43" s="19">
        <v>7672</v>
      </c>
      <c r="Y43" s="19">
        <v>0</v>
      </c>
      <c r="Z43" s="19">
        <v>0</v>
      </c>
      <c r="AA43" s="19">
        <v>1306</v>
      </c>
      <c r="AB43" s="19">
        <v>2434</v>
      </c>
      <c r="AC43" s="19">
        <v>0</v>
      </c>
      <c r="AD43" s="19">
        <v>0</v>
      </c>
      <c r="AE43" s="19">
        <v>1259</v>
      </c>
      <c r="AF43" s="19">
        <v>0</v>
      </c>
      <c r="AG43" s="19">
        <v>0</v>
      </c>
      <c r="AH43" s="19">
        <v>1175</v>
      </c>
      <c r="AI43" s="19">
        <v>602</v>
      </c>
      <c r="AJ43" s="19">
        <v>602</v>
      </c>
      <c r="AK43" s="19">
        <v>0</v>
      </c>
      <c r="AL43" s="19">
        <v>602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12460</v>
      </c>
      <c r="CC43" s="19">
        <v>12460</v>
      </c>
      <c r="CD43" s="19">
        <v>0</v>
      </c>
      <c r="CE43" s="19">
        <v>9650</v>
      </c>
      <c r="CF43" s="19">
        <v>2120</v>
      </c>
      <c r="CG43" s="19">
        <v>690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37968</v>
      </c>
      <c r="CR43" s="19">
        <v>35740</v>
      </c>
      <c r="CS43" s="19">
        <v>0</v>
      </c>
      <c r="CT43" s="19">
        <v>1223</v>
      </c>
      <c r="CU43" s="19">
        <v>3966</v>
      </c>
      <c r="CV43" s="19">
        <v>29920</v>
      </c>
      <c r="CW43" s="19">
        <v>22</v>
      </c>
      <c r="CX43" s="19">
        <v>609</v>
      </c>
      <c r="CY43" s="19">
        <v>2228</v>
      </c>
      <c r="CZ43" s="19">
        <v>0</v>
      </c>
      <c r="DA43" s="19">
        <v>0</v>
      </c>
      <c r="DB43" s="19">
        <v>1740</v>
      </c>
      <c r="DC43" s="19">
        <v>381</v>
      </c>
      <c r="DD43" s="19">
        <v>0</v>
      </c>
      <c r="DE43" s="19">
        <v>107</v>
      </c>
      <c r="DF43" s="19">
        <v>409</v>
      </c>
      <c r="DG43" s="19">
        <v>278</v>
      </c>
      <c r="DH43" s="19">
        <v>0</v>
      </c>
      <c r="DI43" s="19">
        <v>0</v>
      </c>
      <c r="DJ43" s="19">
        <v>278</v>
      </c>
      <c r="DK43" s="19">
        <v>0</v>
      </c>
      <c r="DL43" s="19">
        <v>0</v>
      </c>
      <c r="DM43" s="19">
        <v>0</v>
      </c>
      <c r="DN43" s="19">
        <v>131</v>
      </c>
      <c r="DO43" s="19">
        <v>0</v>
      </c>
      <c r="DP43" s="19">
        <v>0</v>
      </c>
      <c r="DQ43" s="19">
        <v>131</v>
      </c>
      <c r="DR43" s="19">
        <v>0</v>
      </c>
      <c r="DS43" s="19">
        <v>0</v>
      </c>
      <c r="DT43" s="19">
        <v>0</v>
      </c>
      <c r="DU43" s="19">
        <v>10524</v>
      </c>
      <c r="DV43" s="19">
        <v>10436</v>
      </c>
      <c r="DW43" s="19">
        <v>0</v>
      </c>
      <c r="DX43" s="19">
        <v>88</v>
      </c>
      <c r="DY43" s="19">
        <v>0</v>
      </c>
      <c r="DZ43" s="19">
        <v>3016</v>
      </c>
      <c r="EA43" s="19">
        <v>1795</v>
      </c>
      <c r="EB43" s="19">
        <v>0</v>
      </c>
      <c r="EC43" s="19">
        <v>0</v>
      </c>
      <c r="ED43" s="19">
        <v>1786</v>
      </c>
      <c r="EE43" s="19">
        <v>0</v>
      </c>
      <c r="EF43" s="19">
        <v>2</v>
      </c>
      <c r="EG43" s="19">
        <v>7</v>
      </c>
      <c r="EH43" s="19">
        <v>1221</v>
      </c>
      <c r="EI43" s="19">
        <v>0</v>
      </c>
      <c r="EJ43" s="19">
        <v>0</v>
      </c>
      <c r="EK43" s="19">
        <v>872</v>
      </c>
      <c r="EL43" s="19">
        <v>0</v>
      </c>
      <c r="EM43" s="19">
        <v>336</v>
      </c>
      <c r="EN43" s="19">
        <v>13</v>
      </c>
    </row>
    <row r="44" spans="1:144" ht="13.5" customHeight="1">
      <c r="A44" s="17" t="s">
        <v>132</v>
      </c>
      <c r="B44" s="18" t="s">
        <v>133</v>
      </c>
      <c r="C44" s="17" t="s">
        <v>59</v>
      </c>
      <c r="D44" s="19">
        <v>425481</v>
      </c>
      <c r="E44" s="19">
        <v>343282</v>
      </c>
      <c r="F44" s="19">
        <v>294180</v>
      </c>
      <c r="G44" s="19">
        <v>0</v>
      </c>
      <c r="H44" s="19">
        <v>293700</v>
      </c>
      <c r="I44" s="19">
        <v>180</v>
      </c>
      <c r="J44" s="19">
        <v>0</v>
      </c>
      <c r="K44" s="19">
        <v>132</v>
      </c>
      <c r="L44" s="19">
        <v>168</v>
      </c>
      <c r="M44" s="19">
        <v>49102</v>
      </c>
      <c r="N44" s="19">
        <v>0</v>
      </c>
      <c r="O44" s="19">
        <v>48704</v>
      </c>
      <c r="P44" s="19">
        <v>25</v>
      </c>
      <c r="Q44" s="19">
        <v>0</v>
      </c>
      <c r="R44" s="19">
        <v>4</v>
      </c>
      <c r="S44" s="19">
        <v>369</v>
      </c>
      <c r="T44" s="19">
        <v>24499</v>
      </c>
      <c r="U44" s="19">
        <v>11650</v>
      </c>
      <c r="V44" s="19">
        <v>0</v>
      </c>
      <c r="W44" s="19">
        <v>219</v>
      </c>
      <c r="X44" s="19">
        <v>5054</v>
      </c>
      <c r="Y44" s="19">
        <v>0</v>
      </c>
      <c r="Z44" s="19">
        <v>0</v>
      </c>
      <c r="AA44" s="19">
        <v>6377</v>
      </c>
      <c r="AB44" s="19">
        <v>12849</v>
      </c>
      <c r="AC44" s="19">
        <v>0</v>
      </c>
      <c r="AD44" s="19">
        <v>945</v>
      </c>
      <c r="AE44" s="19">
        <v>1394</v>
      </c>
      <c r="AF44" s="19">
        <v>0</v>
      </c>
      <c r="AG44" s="19">
        <v>0</v>
      </c>
      <c r="AH44" s="19">
        <v>10510</v>
      </c>
      <c r="AI44" s="19">
        <v>1445</v>
      </c>
      <c r="AJ44" s="19">
        <v>1013</v>
      </c>
      <c r="AK44" s="19">
        <v>0</v>
      </c>
      <c r="AL44" s="19">
        <v>0</v>
      </c>
      <c r="AM44" s="19">
        <v>0</v>
      </c>
      <c r="AN44" s="19">
        <v>1013</v>
      </c>
      <c r="AO44" s="19">
        <v>0</v>
      </c>
      <c r="AP44" s="19">
        <v>0</v>
      </c>
      <c r="AQ44" s="19">
        <v>432</v>
      </c>
      <c r="AR44" s="19">
        <v>0</v>
      </c>
      <c r="AS44" s="19">
        <v>0</v>
      </c>
      <c r="AT44" s="19">
        <v>12</v>
      </c>
      <c r="AU44" s="19">
        <v>420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25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25</v>
      </c>
      <c r="CK44" s="19">
        <v>0</v>
      </c>
      <c r="CL44" s="19">
        <v>0</v>
      </c>
      <c r="CM44" s="19">
        <v>0</v>
      </c>
      <c r="CN44" s="19">
        <v>0</v>
      </c>
      <c r="CO44" s="19">
        <v>25</v>
      </c>
      <c r="CP44" s="19">
        <v>0</v>
      </c>
      <c r="CQ44" s="19">
        <v>38622</v>
      </c>
      <c r="CR44" s="19">
        <v>37105</v>
      </c>
      <c r="CS44" s="19">
        <v>0</v>
      </c>
      <c r="CT44" s="19">
        <v>46</v>
      </c>
      <c r="CU44" s="19">
        <v>2238</v>
      </c>
      <c r="CV44" s="19">
        <v>34448</v>
      </c>
      <c r="CW44" s="19">
        <v>109</v>
      </c>
      <c r="CX44" s="19">
        <v>264</v>
      </c>
      <c r="CY44" s="19">
        <v>1517</v>
      </c>
      <c r="CZ44" s="19">
        <v>0</v>
      </c>
      <c r="DA44" s="19">
        <v>77</v>
      </c>
      <c r="DB44" s="19">
        <v>427</v>
      </c>
      <c r="DC44" s="19">
        <v>851</v>
      </c>
      <c r="DD44" s="19">
        <v>3</v>
      </c>
      <c r="DE44" s="19">
        <v>159</v>
      </c>
      <c r="DF44" s="19">
        <v>224</v>
      </c>
      <c r="DG44" s="19">
        <v>224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224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11311</v>
      </c>
      <c r="DV44" s="19">
        <v>8108</v>
      </c>
      <c r="DW44" s="19">
        <v>122</v>
      </c>
      <c r="DX44" s="19">
        <v>3081</v>
      </c>
      <c r="DY44" s="19">
        <v>0</v>
      </c>
      <c r="DZ44" s="19">
        <v>6073</v>
      </c>
      <c r="EA44" s="19">
        <v>2985</v>
      </c>
      <c r="EB44" s="19">
        <v>0</v>
      </c>
      <c r="EC44" s="19">
        <v>0</v>
      </c>
      <c r="ED44" s="19">
        <v>2985</v>
      </c>
      <c r="EE44" s="19">
        <v>0</v>
      </c>
      <c r="EF44" s="19">
        <v>0</v>
      </c>
      <c r="EG44" s="19">
        <v>0</v>
      </c>
      <c r="EH44" s="19">
        <v>3088</v>
      </c>
      <c r="EI44" s="19">
        <v>0</v>
      </c>
      <c r="EJ44" s="19">
        <v>0</v>
      </c>
      <c r="EK44" s="19">
        <v>3060</v>
      </c>
      <c r="EL44" s="19">
        <v>0</v>
      </c>
      <c r="EM44" s="19">
        <v>0</v>
      </c>
      <c r="EN44" s="19">
        <v>28</v>
      </c>
    </row>
    <row r="45" spans="1:144" ht="13.5" customHeight="1">
      <c r="A45" s="17" t="s">
        <v>134</v>
      </c>
      <c r="B45" s="18" t="s">
        <v>135</v>
      </c>
      <c r="C45" s="17" t="s">
        <v>59</v>
      </c>
      <c r="D45" s="19">
        <v>241890</v>
      </c>
      <c r="E45" s="19">
        <v>199642</v>
      </c>
      <c r="F45" s="19">
        <v>177009</v>
      </c>
      <c r="G45" s="19">
        <v>23886</v>
      </c>
      <c r="H45" s="19">
        <v>147896</v>
      </c>
      <c r="I45" s="19">
        <v>40</v>
      </c>
      <c r="J45" s="19">
        <v>0</v>
      </c>
      <c r="K45" s="19">
        <v>80</v>
      </c>
      <c r="L45" s="19">
        <v>5107</v>
      </c>
      <c r="M45" s="19">
        <v>22633</v>
      </c>
      <c r="N45" s="19">
        <v>2298</v>
      </c>
      <c r="O45" s="19">
        <v>19499</v>
      </c>
      <c r="P45" s="19">
        <v>32</v>
      </c>
      <c r="Q45" s="19">
        <v>7</v>
      </c>
      <c r="R45" s="19">
        <v>230</v>
      </c>
      <c r="S45" s="19">
        <v>567</v>
      </c>
      <c r="T45" s="19">
        <v>3908</v>
      </c>
      <c r="U45" s="19">
        <v>1868</v>
      </c>
      <c r="V45" s="19">
        <v>0</v>
      </c>
      <c r="W45" s="19">
        <v>0</v>
      </c>
      <c r="X45" s="19">
        <v>852</v>
      </c>
      <c r="Y45" s="19">
        <v>138</v>
      </c>
      <c r="Z45" s="19">
        <v>91</v>
      </c>
      <c r="AA45" s="19">
        <v>787</v>
      </c>
      <c r="AB45" s="19">
        <v>2040</v>
      </c>
      <c r="AC45" s="19">
        <v>0</v>
      </c>
      <c r="AD45" s="19">
        <v>0</v>
      </c>
      <c r="AE45" s="19">
        <v>290</v>
      </c>
      <c r="AF45" s="19">
        <v>66</v>
      </c>
      <c r="AG45" s="19">
        <v>0</v>
      </c>
      <c r="AH45" s="19">
        <v>1684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9127</v>
      </c>
      <c r="CC45" s="19">
        <v>8150</v>
      </c>
      <c r="CD45" s="19">
        <v>0</v>
      </c>
      <c r="CE45" s="19">
        <v>8150</v>
      </c>
      <c r="CF45" s="19">
        <v>0</v>
      </c>
      <c r="CG45" s="19">
        <v>0</v>
      </c>
      <c r="CH45" s="19">
        <v>0</v>
      </c>
      <c r="CI45" s="19">
        <v>0</v>
      </c>
      <c r="CJ45" s="19">
        <v>977</v>
      </c>
      <c r="CK45" s="19">
        <v>0</v>
      </c>
      <c r="CL45" s="19">
        <v>676</v>
      </c>
      <c r="CM45" s="19">
        <v>0</v>
      </c>
      <c r="CN45" s="19">
        <v>301</v>
      </c>
      <c r="CO45" s="19">
        <v>0</v>
      </c>
      <c r="CP45" s="19">
        <v>0</v>
      </c>
      <c r="CQ45" s="19">
        <v>19082</v>
      </c>
      <c r="CR45" s="19">
        <v>18200</v>
      </c>
      <c r="CS45" s="19">
        <v>0</v>
      </c>
      <c r="CT45" s="19">
        <v>0</v>
      </c>
      <c r="CU45" s="19">
        <v>2001</v>
      </c>
      <c r="CV45" s="19">
        <v>15369</v>
      </c>
      <c r="CW45" s="19">
        <v>118</v>
      </c>
      <c r="CX45" s="19">
        <v>712</v>
      </c>
      <c r="CY45" s="19">
        <v>882</v>
      </c>
      <c r="CZ45" s="19">
        <v>0</v>
      </c>
      <c r="DA45" s="19">
        <v>0</v>
      </c>
      <c r="DB45" s="19">
        <v>209</v>
      </c>
      <c r="DC45" s="19">
        <v>673</v>
      </c>
      <c r="DD45" s="19">
        <v>0</v>
      </c>
      <c r="DE45" s="19">
        <v>0</v>
      </c>
      <c r="DF45" s="19">
        <v>738</v>
      </c>
      <c r="DG45" s="19">
        <v>590</v>
      </c>
      <c r="DH45" s="19">
        <v>0</v>
      </c>
      <c r="DI45" s="19">
        <v>0</v>
      </c>
      <c r="DJ45" s="19">
        <v>553</v>
      </c>
      <c r="DK45" s="19">
        <v>0</v>
      </c>
      <c r="DL45" s="19">
        <v>0</v>
      </c>
      <c r="DM45" s="19">
        <v>37</v>
      </c>
      <c r="DN45" s="19">
        <v>148</v>
      </c>
      <c r="DO45" s="19">
        <v>0</v>
      </c>
      <c r="DP45" s="19">
        <v>0</v>
      </c>
      <c r="DQ45" s="19">
        <v>0</v>
      </c>
      <c r="DR45" s="19">
        <v>0</v>
      </c>
      <c r="DS45" s="19">
        <v>0</v>
      </c>
      <c r="DT45" s="19">
        <v>148</v>
      </c>
      <c r="DU45" s="19">
        <v>5801</v>
      </c>
      <c r="DV45" s="19">
        <v>5522</v>
      </c>
      <c r="DW45" s="19">
        <v>0</v>
      </c>
      <c r="DX45" s="19">
        <v>256</v>
      </c>
      <c r="DY45" s="19">
        <v>23</v>
      </c>
      <c r="DZ45" s="19">
        <v>3592</v>
      </c>
      <c r="EA45" s="19">
        <v>2335</v>
      </c>
      <c r="EB45" s="19">
        <v>0</v>
      </c>
      <c r="EC45" s="19">
        <v>0</v>
      </c>
      <c r="ED45" s="19">
        <v>2176</v>
      </c>
      <c r="EE45" s="19">
        <v>0</v>
      </c>
      <c r="EF45" s="19">
        <v>97</v>
      </c>
      <c r="EG45" s="19">
        <v>62</v>
      </c>
      <c r="EH45" s="19">
        <v>1257</v>
      </c>
      <c r="EI45" s="19">
        <v>0</v>
      </c>
      <c r="EJ45" s="19">
        <v>0</v>
      </c>
      <c r="EK45" s="19">
        <v>1199</v>
      </c>
      <c r="EL45" s="19">
        <v>0</v>
      </c>
      <c r="EM45" s="19">
        <v>58</v>
      </c>
      <c r="EN45" s="19">
        <v>0</v>
      </c>
    </row>
    <row r="46" spans="1:144" ht="13.5" customHeight="1">
      <c r="A46" s="17" t="s">
        <v>136</v>
      </c>
      <c r="B46" s="18" t="s">
        <v>137</v>
      </c>
      <c r="C46" s="17" t="s">
        <v>59</v>
      </c>
      <c r="D46" s="19">
        <v>1666046</v>
      </c>
      <c r="E46" s="19">
        <v>1289615</v>
      </c>
      <c r="F46" s="19">
        <v>1082958</v>
      </c>
      <c r="G46" s="19">
        <v>177217</v>
      </c>
      <c r="H46" s="19">
        <v>899918</v>
      </c>
      <c r="I46" s="19">
        <v>331</v>
      </c>
      <c r="J46" s="19">
        <v>258</v>
      </c>
      <c r="K46" s="19">
        <v>16</v>
      </c>
      <c r="L46" s="19">
        <v>5218</v>
      </c>
      <c r="M46" s="19">
        <v>206657</v>
      </c>
      <c r="N46" s="19">
        <v>132868</v>
      </c>
      <c r="O46" s="19">
        <v>69257</v>
      </c>
      <c r="P46" s="19">
        <v>37</v>
      </c>
      <c r="Q46" s="19">
        <v>0</v>
      </c>
      <c r="R46" s="19">
        <v>1398</v>
      </c>
      <c r="S46" s="19">
        <v>3097</v>
      </c>
      <c r="T46" s="19">
        <v>66572</v>
      </c>
      <c r="U46" s="19">
        <v>44801</v>
      </c>
      <c r="V46" s="19">
        <v>0</v>
      </c>
      <c r="W46" s="19">
        <v>0</v>
      </c>
      <c r="X46" s="19">
        <v>28273</v>
      </c>
      <c r="Y46" s="19">
        <v>1293</v>
      </c>
      <c r="Z46" s="19">
        <v>16</v>
      </c>
      <c r="AA46" s="19">
        <v>15219</v>
      </c>
      <c r="AB46" s="19">
        <v>21771</v>
      </c>
      <c r="AC46" s="19">
        <v>0</v>
      </c>
      <c r="AD46" s="19">
        <v>0</v>
      </c>
      <c r="AE46" s="19">
        <v>2615</v>
      </c>
      <c r="AF46" s="19">
        <v>9</v>
      </c>
      <c r="AG46" s="19">
        <v>29</v>
      </c>
      <c r="AH46" s="19">
        <v>19118</v>
      </c>
      <c r="AI46" s="19">
        <v>473</v>
      </c>
      <c r="AJ46" s="19">
        <v>22</v>
      </c>
      <c r="AK46" s="19">
        <v>0</v>
      </c>
      <c r="AL46" s="19">
        <v>0</v>
      </c>
      <c r="AM46" s="19">
        <v>0</v>
      </c>
      <c r="AN46" s="19">
        <v>22</v>
      </c>
      <c r="AO46" s="19">
        <v>0</v>
      </c>
      <c r="AP46" s="19">
        <v>0</v>
      </c>
      <c r="AQ46" s="19">
        <v>451</v>
      </c>
      <c r="AR46" s="19">
        <v>0</v>
      </c>
      <c r="AS46" s="19">
        <v>0</v>
      </c>
      <c r="AT46" s="19">
        <v>0</v>
      </c>
      <c r="AU46" s="19">
        <v>451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2830</v>
      </c>
      <c r="BN46" s="19">
        <v>2451</v>
      </c>
      <c r="BO46" s="19">
        <v>0</v>
      </c>
      <c r="BP46" s="19">
        <v>0</v>
      </c>
      <c r="BQ46" s="19">
        <v>0</v>
      </c>
      <c r="BR46" s="19">
        <v>2451</v>
      </c>
      <c r="BS46" s="19">
        <v>0</v>
      </c>
      <c r="BT46" s="19">
        <v>0</v>
      </c>
      <c r="BU46" s="19">
        <v>379</v>
      </c>
      <c r="BV46" s="19">
        <v>0</v>
      </c>
      <c r="BW46" s="19">
        <v>0</v>
      </c>
      <c r="BX46" s="19">
        <v>0</v>
      </c>
      <c r="BY46" s="19">
        <v>379</v>
      </c>
      <c r="BZ46" s="19">
        <v>0</v>
      </c>
      <c r="CA46" s="19">
        <v>0</v>
      </c>
      <c r="CB46" s="19">
        <v>120094</v>
      </c>
      <c r="CC46" s="19">
        <v>114843</v>
      </c>
      <c r="CD46" s="19">
        <v>0</v>
      </c>
      <c r="CE46" s="19">
        <v>114077</v>
      </c>
      <c r="CF46" s="19">
        <v>95</v>
      </c>
      <c r="CG46" s="19">
        <v>0</v>
      </c>
      <c r="CH46" s="19">
        <v>0</v>
      </c>
      <c r="CI46" s="19">
        <v>671</v>
      </c>
      <c r="CJ46" s="19">
        <v>5251</v>
      </c>
      <c r="CK46" s="19">
        <v>0</v>
      </c>
      <c r="CL46" s="19">
        <v>4716</v>
      </c>
      <c r="CM46" s="19">
        <v>0</v>
      </c>
      <c r="CN46" s="19">
        <v>0</v>
      </c>
      <c r="CO46" s="19">
        <v>0</v>
      </c>
      <c r="CP46" s="19">
        <v>535</v>
      </c>
      <c r="CQ46" s="19">
        <v>82664</v>
      </c>
      <c r="CR46" s="19">
        <v>69850</v>
      </c>
      <c r="CS46" s="19">
        <v>0</v>
      </c>
      <c r="CT46" s="19">
        <v>19</v>
      </c>
      <c r="CU46" s="19">
        <v>9343</v>
      </c>
      <c r="CV46" s="19">
        <v>57836</v>
      </c>
      <c r="CW46" s="19">
        <v>98</v>
      </c>
      <c r="CX46" s="19">
        <v>2554</v>
      </c>
      <c r="CY46" s="19">
        <v>12814</v>
      </c>
      <c r="CZ46" s="19">
        <v>0</v>
      </c>
      <c r="DA46" s="19">
        <v>413</v>
      </c>
      <c r="DB46" s="19">
        <v>3103</v>
      </c>
      <c r="DC46" s="19">
        <v>3456</v>
      </c>
      <c r="DD46" s="19">
        <v>7</v>
      </c>
      <c r="DE46" s="19">
        <v>5835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90939</v>
      </c>
      <c r="DV46" s="19">
        <v>17070</v>
      </c>
      <c r="DW46" s="19">
        <v>125</v>
      </c>
      <c r="DX46" s="19">
        <v>73621</v>
      </c>
      <c r="DY46" s="19">
        <v>123</v>
      </c>
      <c r="DZ46" s="19">
        <v>12859</v>
      </c>
      <c r="EA46" s="19">
        <v>2740</v>
      </c>
      <c r="EB46" s="19">
        <v>0</v>
      </c>
      <c r="EC46" s="19">
        <v>0</v>
      </c>
      <c r="ED46" s="19">
        <v>2053</v>
      </c>
      <c r="EE46" s="19">
        <v>687</v>
      </c>
      <c r="EF46" s="19">
        <v>0</v>
      </c>
      <c r="EG46" s="19">
        <v>0</v>
      </c>
      <c r="EH46" s="19">
        <v>10119</v>
      </c>
      <c r="EI46" s="19">
        <v>122</v>
      </c>
      <c r="EJ46" s="19">
        <v>0</v>
      </c>
      <c r="EK46" s="19">
        <v>9972</v>
      </c>
      <c r="EL46" s="19">
        <v>8</v>
      </c>
      <c r="EM46" s="19">
        <v>17</v>
      </c>
      <c r="EN46" s="19">
        <v>0</v>
      </c>
    </row>
    <row r="47" spans="1:144" ht="13.5" customHeight="1">
      <c r="A47" s="17" t="s">
        <v>138</v>
      </c>
      <c r="B47" s="18" t="s">
        <v>139</v>
      </c>
      <c r="C47" s="17" t="s">
        <v>59</v>
      </c>
      <c r="D47" s="19">
        <v>256724</v>
      </c>
      <c r="E47" s="19">
        <v>211474</v>
      </c>
      <c r="F47" s="19">
        <v>195470</v>
      </c>
      <c r="G47" s="19">
        <v>0</v>
      </c>
      <c r="H47" s="19">
        <v>194930</v>
      </c>
      <c r="I47" s="19">
        <v>0</v>
      </c>
      <c r="J47" s="19">
        <v>0</v>
      </c>
      <c r="K47" s="19">
        <v>0</v>
      </c>
      <c r="L47" s="19">
        <v>540</v>
      </c>
      <c r="M47" s="19">
        <v>16004</v>
      </c>
      <c r="N47" s="19">
        <v>0</v>
      </c>
      <c r="O47" s="19">
        <v>14391</v>
      </c>
      <c r="P47" s="19">
        <v>0</v>
      </c>
      <c r="Q47" s="19">
        <v>0</v>
      </c>
      <c r="R47" s="19">
        <v>0</v>
      </c>
      <c r="S47" s="19">
        <v>1613</v>
      </c>
      <c r="T47" s="19">
        <v>11185</v>
      </c>
      <c r="U47" s="19">
        <v>5644</v>
      </c>
      <c r="V47" s="19">
        <v>0</v>
      </c>
      <c r="W47" s="19">
        <v>0</v>
      </c>
      <c r="X47" s="19">
        <v>3705</v>
      </c>
      <c r="Y47" s="19">
        <v>69</v>
      </c>
      <c r="Z47" s="19">
        <v>0</v>
      </c>
      <c r="AA47" s="19">
        <v>1870</v>
      </c>
      <c r="AB47" s="19">
        <v>5541</v>
      </c>
      <c r="AC47" s="19">
        <v>0</v>
      </c>
      <c r="AD47" s="19">
        <v>0</v>
      </c>
      <c r="AE47" s="19">
        <v>811</v>
      </c>
      <c r="AF47" s="19">
        <v>0</v>
      </c>
      <c r="AG47" s="19">
        <v>1</v>
      </c>
      <c r="AH47" s="19">
        <v>4729</v>
      </c>
      <c r="AI47" s="19">
        <v>2017</v>
      </c>
      <c r="AJ47" s="19">
        <v>832</v>
      </c>
      <c r="AK47" s="19">
        <v>0</v>
      </c>
      <c r="AL47" s="19">
        <v>0</v>
      </c>
      <c r="AM47" s="19">
        <v>0</v>
      </c>
      <c r="AN47" s="19">
        <v>832</v>
      </c>
      <c r="AO47" s="19">
        <v>0</v>
      </c>
      <c r="AP47" s="19">
        <v>0</v>
      </c>
      <c r="AQ47" s="19">
        <v>1185</v>
      </c>
      <c r="AR47" s="19">
        <v>0</v>
      </c>
      <c r="AS47" s="19">
        <v>615</v>
      </c>
      <c r="AT47" s="19">
        <v>0</v>
      </c>
      <c r="AU47" s="19">
        <v>570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97</v>
      </c>
      <c r="BN47" s="19">
        <v>97</v>
      </c>
      <c r="BO47" s="19">
        <v>0</v>
      </c>
      <c r="BP47" s="19">
        <v>0</v>
      </c>
      <c r="BQ47" s="19">
        <v>0</v>
      </c>
      <c r="BR47" s="19">
        <v>97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664</v>
      </c>
      <c r="CC47" s="19">
        <v>233</v>
      </c>
      <c r="CD47" s="19">
        <v>0</v>
      </c>
      <c r="CE47" s="19">
        <v>0</v>
      </c>
      <c r="CF47" s="19">
        <v>0</v>
      </c>
      <c r="CG47" s="19">
        <v>233</v>
      </c>
      <c r="CH47" s="19">
        <v>0</v>
      </c>
      <c r="CI47" s="19">
        <v>0</v>
      </c>
      <c r="CJ47" s="19">
        <v>431</v>
      </c>
      <c r="CK47" s="19">
        <v>0</v>
      </c>
      <c r="CL47" s="19">
        <v>430</v>
      </c>
      <c r="CM47" s="19">
        <v>0</v>
      </c>
      <c r="CN47" s="19">
        <v>1</v>
      </c>
      <c r="CO47" s="19">
        <v>0</v>
      </c>
      <c r="CP47" s="19">
        <v>0</v>
      </c>
      <c r="CQ47" s="19">
        <v>23612</v>
      </c>
      <c r="CR47" s="19">
        <v>16890</v>
      </c>
      <c r="CS47" s="19">
        <v>0</v>
      </c>
      <c r="CT47" s="19">
        <v>0</v>
      </c>
      <c r="CU47" s="19">
        <v>3939</v>
      </c>
      <c r="CV47" s="19">
        <v>12104</v>
      </c>
      <c r="CW47" s="19">
        <v>165</v>
      </c>
      <c r="CX47" s="19">
        <v>682</v>
      </c>
      <c r="CY47" s="19">
        <v>6722</v>
      </c>
      <c r="CZ47" s="19">
        <v>0</v>
      </c>
      <c r="DA47" s="19">
        <v>3</v>
      </c>
      <c r="DB47" s="19">
        <v>1236</v>
      </c>
      <c r="DC47" s="19">
        <v>1579</v>
      </c>
      <c r="DD47" s="19">
        <v>63</v>
      </c>
      <c r="DE47" s="19">
        <v>3841</v>
      </c>
      <c r="DF47" s="19">
        <v>240</v>
      </c>
      <c r="DG47" s="19">
        <v>109</v>
      </c>
      <c r="DH47" s="19">
        <v>0</v>
      </c>
      <c r="DI47" s="19">
        <v>0</v>
      </c>
      <c r="DJ47" s="19">
        <v>109</v>
      </c>
      <c r="DK47" s="19">
        <v>0</v>
      </c>
      <c r="DL47" s="19">
        <v>0</v>
      </c>
      <c r="DM47" s="19">
        <v>0</v>
      </c>
      <c r="DN47" s="19">
        <v>131</v>
      </c>
      <c r="DO47" s="19">
        <v>0</v>
      </c>
      <c r="DP47" s="19">
        <v>0</v>
      </c>
      <c r="DQ47" s="19">
        <v>131</v>
      </c>
      <c r="DR47" s="19">
        <v>0</v>
      </c>
      <c r="DS47" s="19">
        <v>0</v>
      </c>
      <c r="DT47" s="19">
        <v>0</v>
      </c>
      <c r="DU47" s="19">
        <v>7430</v>
      </c>
      <c r="DV47" s="19">
        <v>7271</v>
      </c>
      <c r="DW47" s="19">
        <v>34</v>
      </c>
      <c r="DX47" s="19">
        <v>122</v>
      </c>
      <c r="DY47" s="19">
        <v>3</v>
      </c>
      <c r="DZ47" s="19">
        <v>5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5</v>
      </c>
      <c r="EI47" s="19">
        <v>0</v>
      </c>
      <c r="EJ47" s="19">
        <v>0</v>
      </c>
      <c r="EK47" s="19">
        <v>5</v>
      </c>
      <c r="EL47" s="19">
        <v>0</v>
      </c>
      <c r="EM47" s="19">
        <v>0</v>
      </c>
      <c r="EN47" s="19">
        <v>0</v>
      </c>
    </row>
    <row r="48" spans="1:144" ht="13.5" customHeight="1">
      <c r="A48" s="17" t="s">
        <v>140</v>
      </c>
      <c r="B48" s="18" t="s">
        <v>141</v>
      </c>
      <c r="C48" s="17" t="s">
        <v>59</v>
      </c>
      <c r="D48" s="19">
        <v>449125</v>
      </c>
      <c r="E48" s="19">
        <v>389725</v>
      </c>
      <c r="F48" s="19">
        <v>326328</v>
      </c>
      <c r="G48" s="19">
        <v>0</v>
      </c>
      <c r="H48" s="19">
        <v>325023</v>
      </c>
      <c r="I48" s="19">
        <v>305</v>
      </c>
      <c r="J48" s="19">
        <v>206</v>
      </c>
      <c r="K48" s="19">
        <v>0</v>
      </c>
      <c r="L48" s="19">
        <v>794</v>
      </c>
      <c r="M48" s="19">
        <v>63397</v>
      </c>
      <c r="N48" s="19">
        <v>0</v>
      </c>
      <c r="O48" s="19">
        <v>61168</v>
      </c>
      <c r="P48" s="19">
        <v>291</v>
      </c>
      <c r="Q48" s="19">
        <v>106</v>
      </c>
      <c r="R48" s="19">
        <v>0</v>
      </c>
      <c r="S48" s="19">
        <v>1832</v>
      </c>
      <c r="T48" s="19">
        <v>5315</v>
      </c>
      <c r="U48" s="19">
        <v>4565</v>
      </c>
      <c r="V48" s="19">
        <v>0</v>
      </c>
      <c r="W48" s="19">
        <v>0</v>
      </c>
      <c r="X48" s="19">
        <v>3839</v>
      </c>
      <c r="Y48" s="19">
        <v>437</v>
      </c>
      <c r="Z48" s="19">
        <v>0</v>
      </c>
      <c r="AA48" s="19">
        <v>289</v>
      </c>
      <c r="AB48" s="19">
        <v>750</v>
      </c>
      <c r="AC48" s="19">
        <v>0</v>
      </c>
      <c r="AD48" s="19">
        <v>0</v>
      </c>
      <c r="AE48" s="19">
        <v>432</v>
      </c>
      <c r="AF48" s="19">
        <v>318</v>
      </c>
      <c r="AG48" s="19">
        <v>0</v>
      </c>
      <c r="AH48" s="19">
        <v>0</v>
      </c>
      <c r="AI48" s="19">
        <v>49</v>
      </c>
      <c r="AJ48" s="19">
        <v>49</v>
      </c>
      <c r="AK48" s="19">
        <v>0</v>
      </c>
      <c r="AL48" s="19">
        <v>0</v>
      </c>
      <c r="AM48" s="19">
        <v>0</v>
      </c>
      <c r="AN48" s="19">
        <v>49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351</v>
      </c>
      <c r="CC48" s="19">
        <v>351</v>
      </c>
      <c r="CD48" s="19">
        <v>0</v>
      </c>
      <c r="CE48" s="19">
        <v>0</v>
      </c>
      <c r="CF48" s="19">
        <v>0</v>
      </c>
      <c r="CG48" s="19">
        <v>7</v>
      </c>
      <c r="CH48" s="19">
        <v>0</v>
      </c>
      <c r="CI48" s="19">
        <v>344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38111</v>
      </c>
      <c r="CR48" s="19">
        <v>35277</v>
      </c>
      <c r="CS48" s="19">
        <v>0</v>
      </c>
      <c r="CT48" s="19">
        <v>0</v>
      </c>
      <c r="CU48" s="19">
        <v>5802</v>
      </c>
      <c r="CV48" s="19">
        <v>28321</v>
      </c>
      <c r="CW48" s="19">
        <v>453</v>
      </c>
      <c r="CX48" s="19">
        <v>701</v>
      </c>
      <c r="CY48" s="19">
        <v>2834</v>
      </c>
      <c r="CZ48" s="19">
        <v>0</v>
      </c>
      <c r="DA48" s="19">
        <v>21</v>
      </c>
      <c r="DB48" s="19">
        <v>1136</v>
      </c>
      <c r="DC48" s="19">
        <v>1036</v>
      </c>
      <c r="DD48" s="19">
        <v>1</v>
      </c>
      <c r="DE48" s="19">
        <v>640</v>
      </c>
      <c r="DF48" s="19">
        <v>1659</v>
      </c>
      <c r="DG48" s="19">
        <v>87</v>
      </c>
      <c r="DH48" s="19">
        <v>0</v>
      </c>
      <c r="DI48" s="19">
        <v>0</v>
      </c>
      <c r="DJ48" s="19">
        <v>87</v>
      </c>
      <c r="DK48" s="19">
        <v>0</v>
      </c>
      <c r="DL48" s="19">
        <v>0</v>
      </c>
      <c r="DM48" s="19">
        <v>0</v>
      </c>
      <c r="DN48" s="19">
        <v>1572</v>
      </c>
      <c r="DO48" s="19">
        <v>0</v>
      </c>
      <c r="DP48" s="19">
        <v>0</v>
      </c>
      <c r="DQ48" s="19">
        <v>110</v>
      </c>
      <c r="DR48" s="19">
        <v>0</v>
      </c>
      <c r="DS48" s="19">
        <v>1462</v>
      </c>
      <c r="DT48" s="19">
        <v>0</v>
      </c>
      <c r="DU48" s="19">
        <v>4498</v>
      </c>
      <c r="DV48" s="19">
        <v>3521</v>
      </c>
      <c r="DW48" s="19">
        <v>3</v>
      </c>
      <c r="DX48" s="19">
        <v>972</v>
      </c>
      <c r="DY48" s="19">
        <v>2</v>
      </c>
      <c r="DZ48" s="19">
        <v>9417</v>
      </c>
      <c r="EA48" s="19">
        <v>7094</v>
      </c>
      <c r="EB48" s="19">
        <v>0</v>
      </c>
      <c r="EC48" s="19">
        <v>0</v>
      </c>
      <c r="ED48" s="19">
        <v>6732</v>
      </c>
      <c r="EE48" s="19">
        <v>0</v>
      </c>
      <c r="EF48" s="19">
        <v>0</v>
      </c>
      <c r="EG48" s="19">
        <v>362</v>
      </c>
      <c r="EH48" s="19">
        <v>2323</v>
      </c>
      <c r="EI48" s="19">
        <v>0</v>
      </c>
      <c r="EJ48" s="19">
        <v>0</v>
      </c>
      <c r="EK48" s="19">
        <v>2202</v>
      </c>
      <c r="EL48" s="19">
        <v>0</v>
      </c>
      <c r="EM48" s="19">
        <v>121</v>
      </c>
      <c r="EN48" s="19">
        <v>0</v>
      </c>
    </row>
    <row r="49" spans="1:144" ht="13.5" customHeight="1">
      <c r="A49" s="17" t="s">
        <v>142</v>
      </c>
      <c r="B49" s="18" t="s">
        <v>143</v>
      </c>
      <c r="C49" s="17" t="s">
        <v>59</v>
      </c>
      <c r="D49" s="19">
        <v>543006</v>
      </c>
      <c r="E49" s="19">
        <v>421358</v>
      </c>
      <c r="F49" s="19">
        <v>385801</v>
      </c>
      <c r="G49" s="19">
        <v>0</v>
      </c>
      <c r="H49" s="19">
        <v>384420</v>
      </c>
      <c r="I49" s="19">
        <v>0</v>
      </c>
      <c r="J49" s="19">
        <v>0</v>
      </c>
      <c r="K49" s="19">
        <v>0</v>
      </c>
      <c r="L49" s="19">
        <v>1381</v>
      </c>
      <c r="M49" s="19">
        <v>35557</v>
      </c>
      <c r="N49" s="19">
        <v>0</v>
      </c>
      <c r="O49" s="19">
        <v>34873</v>
      </c>
      <c r="P49" s="19">
        <v>0</v>
      </c>
      <c r="Q49" s="19">
        <v>0</v>
      </c>
      <c r="R49" s="19">
        <v>0</v>
      </c>
      <c r="S49" s="19">
        <v>684</v>
      </c>
      <c r="T49" s="19">
        <v>13591</v>
      </c>
      <c r="U49" s="19">
        <v>9391</v>
      </c>
      <c r="V49" s="19">
        <v>0</v>
      </c>
      <c r="W49" s="19">
        <v>0</v>
      </c>
      <c r="X49" s="19">
        <v>4732</v>
      </c>
      <c r="Y49" s="19">
        <v>2626</v>
      </c>
      <c r="Z49" s="19">
        <v>5</v>
      </c>
      <c r="AA49" s="19">
        <v>2028</v>
      </c>
      <c r="AB49" s="19">
        <v>4200</v>
      </c>
      <c r="AC49" s="19">
        <v>0</v>
      </c>
      <c r="AD49" s="19">
        <v>0</v>
      </c>
      <c r="AE49" s="19">
        <v>2305</v>
      </c>
      <c r="AF49" s="19">
        <v>67</v>
      </c>
      <c r="AG49" s="19">
        <v>0</v>
      </c>
      <c r="AH49" s="19">
        <v>1828</v>
      </c>
      <c r="AI49" s="19">
        <v>2330</v>
      </c>
      <c r="AJ49" s="19">
        <v>1324</v>
      </c>
      <c r="AK49" s="19">
        <v>0</v>
      </c>
      <c r="AL49" s="19">
        <v>0</v>
      </c>
      <c r="AM49" s="19">
        <v>0</v>
      </c>
      <c r="AN49" s="19">
        <v>1324</v>
      </c>
      <c r="AO49" s="19">
        <v>0</v>
      </c>
      <c r="AP49" s="19">
        <v>0</v>
      </c>
      <c r="AQ49" s="19">
        <v>1006</v>
      </c>
      <c r="AR49" s="19">
        <v>0</v>
      </c>
      <c r="AS49" s="19">
        <v>0</v>
      </c>
      <c r="AT49" s="19">
        <v>0</v>
      </c>
      <c r="AU49" s="19">
        <v>1006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>
        <v>0</v>
      </c>
      <c r="BW49" s="19">
        <v>0</v>
      </c>
      <c r="BX49" s="19">
        <v>0</v>
      </c>
      <c r="BY49" s="19">
        <v>0</v>
      </c>
      <c r="BZ49" s="19">
        <v>0</v>
      </c>
      <c r="CA49" s="19">
        <v>0</v>
      </c>
      <c r="CB49" s="19">
        <v>27704</v>
      </c>
      <c r="CC49" s="19">
        <v>25221</v>
      </c>
      <c r="CD49" s="19">
        <v>0</v>
      </c>
      <c r="CE49" s="19">
        <v>24634</v>
      </c>
      <c r="CF49" s="19">
        <v>0</v>
      </c>
      <c r="CG49" s="19">
        <v>400</v>
      </c>
      <c r="CH49" s="19">
        <v>0</v>
      </c>
      <c r="CI49" s="19">
        <v>187</v>
      </c>
      <c r="CJ49" s="19">
        <v>2483</v>
      </c>
      <c r="CK49" s="19">
        <v>0</v>
      </c>
      <c r="CL49" s="19">
        <v>2481</v>
      </c>
      <c r="CM49" s="19">
        <v>0</v>
      </c>
      <c r="CN49" s="19">
        <v>2</v>
      </c>
      <c r="CO49" s="19">
        <v>0</v>
      </c>
      <c r="CP49" s="19">
        <v>0</v>
      </c>
      <c r="CQ49" s="19">
        <v>65687</v>
      </c>
      <c r="CR49" s="19">
        <v>51759</v>
      </c>
      <c r="CS49" s="19">
        <v>0</v>
      </c>
      <c r="CT49" s="19">
        <v>0</v>
      </c>
      <c r="CU49" s="19">
        <v>4964</v>
      </c>
      <c r="CV49" s="19">
        <v>46368</v>
      </c>
      <c r="CW49" s="19">
        <v>379</v>
      </c>
      <c r="CX49" s="19">
        <v>48</v>
      </c>
      <c r="CY49" s="19">
        <v>13928</v>
      </c>
      <c r="CZ49" s="19">
        <v>0</v>
      </c>
      <c r="DA49" s="19">
        <v>0</v>
      </c>
      <c r="DB49" s="19">
        <v>252</v>
      </c>
      <c r="DC49" s="19">
        <v>13533</v>
      </c>
      <c r="DD49" s="19">
        <v>3</v>
      </c>
      <c r="DE49" s="19">
        <v>140</v>
      </c>
      <c r="DF49" s="19">
        <v>41</v>
      </c>
      <c r="DG49" s="19">
        <v>24</v>
      </c>
      <c r="DH49" s="19">
        <v>0</v>
      </c>
      <c r="DI49" s="19">
        <v>0</v>
      </c>
      <c r="DJ49" s="19">
        <v>24</v>
      </c>
      <c r="DK49" s="19">
        <v>0</v>
      </c>
      <c r="DL49" s="19">
        <v>0</v>
      </c>
      <c r="DM49" s="19">
        <v>0</v>
      </c>
      <c r="DN49" s="19">
        <v>17</v>
      </c>
      <c r="DO49" s="19">
        <v>0</v>
      </c>
      <c r="DP49" s="19">
        <v>0</v>
      </c>
      <c r="DQ49" s="19">
        <v>17</v>
      </c>
      <c r="DR49" s="19">
        <v>0</v>
      </c>
      <c r="DS49" s="19">
        <v>0</v>
      </c>
      <c r="DT49" s="19">
        <v>0</v>
      </c>
      <c r="DU49" s="19">
        <v>9021</v>
      </c>
      <c r="DV49" s="19">
        <v>8344</v>
      </c>
      <c r="DW49" s="19">
        <v>77</v>
      </c>
      <c r="DX49" s="19">
        <v>600</v>
      </c>
      <c r="DY49" s="19">
        <v>0</v>
      </c>
      <c r="DZ49" s="19">
        <v>3274</v>
      </c>
      <c r="EA49" s="19">
        <v>1175</v>
      </c>
      <c r="EB49" s="19">
        <v>0</v>
      </c>
      <c r="EC49" s="19">
        <v>0</v>
      </c>
      <c r="ED49" s="19">
        <v>791</v>
      </c>
      <c r="EE49" s="19">
        <v>366</v>
      </c>
      <c r="EF49" s="19">
        <v>0</v>
      </c>
      <c r="EG49" s="19">
        <v>18</v>
      </c>
      <c r="EH49" s="19">
        <v>2099</v>
      </c>
      <c r="EI49" s="19">
        <v>0</v>
      </c>
      <c r="EJ49" s="19">
        <v>0</v>
      </c>
      <c r="EK49" s="19">
        <v>2009</v>
      </c>
      <c r="EL49" s="19">
        <v>38</v>
      </c>
      <c r="EM49" s="19">
        <v>52</v>
      </c>
      <c r="EN49" s="19">
        <v>0</v>
      </c>
    </row>
    <row r="50" spans="1:144" ht="13.5" customHeight="1">
      <c r="A50" s="17" t="s">
        <v>144</v>
      </c>
      <c r="B50" s="18" t="s">
        <v>145</v>
      </c>
      <c r="C50" s="17" t="s">
        <v>59</v>
      </c>
      <c r="D50" s="19">
        <v>387177</v>
      </c>
      <c r="E50" s="19">
        <v>317802</v>
      </c>
      <c r="F50" s="19">
        <v>283317</v>
      </c>
      <c r="G50" s="19">
        <v>0</v>
      </c>
      <c r="H50" s="19">
        <v>283050</v>
      </c>
      <c r="I50" s="19">
        <v>232</v>
      </c>
      <c r="J50" s="19">
        <v>11</v>
      </c>
      <c r="K50" s="19">
        <v>0</v>
      </c>
      <c r="L50" s="19">
        <v>24</v>
      </c>
      <c r="M50" s="19">
        <v>34485</v>
      </c>
      <c r="N50" s="19">
        <v>0</v>
      </c>
      <c r="O50" s="19">
        <v>34443</v>
      </c>
      <c r="P50" s="19">
        <v>42</v>
      </c>
      <c r="Q50" s="19">
        <v>0</v>
      </c>
      <c r="R50" s="19">
        <v>0</v>
      </c>
      <c r="S50" s="19">
        <v>0</v>
      </c>
      <c r="T50" s="19">
        <v>10067</v>
      </c>
      <c r="U50" s="19">
        <v>5246</v>
      </c>
      <c r="V50" s="19">
        <v>0</v>
      </c>
      <c r="W50" s="19">
        <v>0</v>
      </c>
      <c r="X50" s="19">
        <v>3164</v>
      </c>
      <c r="Y50" s="19">
        <v>0</v>
      </c>
      <c r="Z50" s="19">
        <v>0</v>
      </c>
      <c r="AA50" s="19">
        <v>2082</v>
      </c>
      <c r="AB50" s="19">
        <v>4821</v>
      </c>
      <c r="AC50" s="19">
        <v>0</v>
      </c>
      <c r="AD50" s="19">
        <v>0</v>
      </c>
      <c r="AE50" s="19">
        <v>259</v>
      </c>
      <c r="AF50" s="19">
        <v>0</v>
      </c>
      <c r="AG50" s="19">
        <v>0</v>
      </c>
      <c r="AH50" s="19">
        <v>4562</v>
      </c>
      <c r="AI50" s="19">
        <v>466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466</v>
      </c>
      <c r="AR50" s="19">
        <v>0</v>
      </c>
      <c r="AS50" s="19">
        <v>0</v>
      </c>
      <c r="AT50" s="19">
        <v>466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2747</v>
      </c>
      <c r="BN50" s="19">
        <v>2745</v>
      </c>
      <c r="BO50" s="19">
        <v>0</v>
      </c>
      <c r="BP50" s="19">
        <v>0</v>
      </c>
      <c r="BQ50" s="19">
        <v>0</v>
      </c>
      <c r="BR50" s="19">
        <v>2745</v>
      </c>
      <c r="BS50" s="19">
        <v>0</v>
      </c>
      <c r="BT50" s="19">
        <v>0</v>
      </c>
      <c r="BU50" s="19">
        <v>2</v>
      </c>
      <c r="BV50" s="19">
        <v>0</v>
      </c>
      <c r="BW50" s="19">
        <v>0</v>
      </c>
      <c r="BX50" s="19">
        <v>0</v>
      </c>
      <c r="BY50" s="19">
        <v>2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44171</v>
      </c>
      <c r="CR50" s="19">
        <v>39863</v>
      </c>
      <c r="CS50" s="19">
        <v>0</v>
      </c>
      <c r="CT50" s="19">
        <v>0</v>
      </c>
      <c r="CU50" s="19">
        <v>7166</v>
      </c>
      <c r="CV50" s="19">
        <v>31306</v>
      </c>
      <c r="CW50" s="19">
        <v>17</v>
      </c>
      <c r="CX50" s="19">
        <v>1374</v>
      </c>
      <c r="CY50" s="19">
        <v>4308</v>
      </c>
      <c r="CZ50" s="19">
        <v>0</v>
      </c>
      <c r="DA50" s="19">
        <v>0</v>
      </c>
      <c r="DB50" s="19">
        <v>2180</v>
      </c>
      <c r="DC50" s="19">
        <v>1458</v>
      </c>
      <c r="DD50" s="19">
        <v>0</v>
      </c>
      <c r="DE50" s="19">
        <v>670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0</v>
      </c>
      <c r="DR50" s="19">
        <v>0</v>
      </c>
      <c r="DS50" s="19">
        <v>0</v>
      </c>
      <c r="DT50" s="19">
        <v>0</v>
      </c>
      <c r="DU50" s="19">
        <v>9077</v>
      </c>
      <c r="DV50" s="19">
        <v>8547</v>
      </c>
      <c r="DW50" s="19">
        <v>4</v>
      </c>
      <c r="DX50" s="19">
        <v>526</v>
      </c>
      <c r="DY50" s="19">
        <v>0</v>
      </c>
      <c r="DZ50" s="19">
        <v>2847</v>
      </c>
      <c r="EA50" s="19">
        <v>1242</v>
      </c>
      <c r="EB50" s="19">
        <v>0</v>
      </c>
      <c r="EC50" s="19">
        <v>0</v>
      </c>
      <c r="ED50" s="19">
        <v>1187</v>
      </c>
      <c r="EE50" s="19">
        <v>0</v>
      </c>
      <c r="EF50" s="19">
        <v>0</v>
      </c>
      <c r="EG50" s="19">
        <v>55</v>
      </c>
      <c r="EH50" s="19">
        <v>1605</v>
      </c>
      <c r="EI50" s="19">
        <v>0</v>
      </c>
      <c r="EJ50" s="19">
        <v>0</v>
      </c>
      <c r="EK50" s="19">
        <v>1557</v>
      </c>
      <c r="EL50" s="19">
        <v>0</v>
      </c>
      <c r="EM50" s="19">
        <v>48</v>
      </c>
      <c r="EN50" s="19">
        <v>0</v>
      </c>
    </row>
    <row r="51" spans="1:144" ht="13.5" customHeight="1">
      <c r="A51" s="17" t="s">
        <v>146</v>
      </c>
      <c r="B51" s="18" t="s">
        <v>147</v>
      </c>
      <c r="C51" s="17" t="s">
        <v>59</v>
      </c>
      <c r="D51" s="19">
        <v>376667</v>
      </c>
      <c r="E51" s="19">
        <v>287043</v>
      </c>
      <c r="F51" s="19">
        <v>247658</v>
      </c>
      <c r="G51" s="19">
        <v>0</v>
      </c>
      <c r="H51" s="19">
        <v>246458</v>
      </c>
      <c r="I51" s="19">
        <v>7</v>
      </c>
      <c r="J51" s="19">
        <v>753</v>
      </c>
      <c r="K51" s="19">
        <v>0</v>
      </c>
      <c r="L51" s="19">
        <v>440</v>
      </c>
      <c r="M51" s="19">
        <v>39385</v>
      </c>
      <c r="N51" s="19">
        <v>0</v>
      </c>
      <c r="O51" s="19">
        <v>35539</v>
      </c>
      <c r="P51" s="19">
        <v>0</v>
      </c>
      <c r="Q51" s="19">
        <v>0</v>
      </c>
      <c r="R51" s="19">
        <v>0</v>
      </c>
      <c r="S51" s="19">
        <v>3846</v>
      </c>
      <c r="T51" s="19">
        <v>3565</v>
      </c>
      <c r="U51" s="19">
        <v>1926</v>
      </c>
      <c r="V51" s="19">
        <v>0</v>
      </c>
      <c r="W51" s="19">
        <v>0</v>
      </c>
      <c r="X51" s="19">
        <v>1826</v>
      </c>
      <c r="Y51" s="19">
        <v>0</v>
      </c>
      <c r="Z51" s="19">
        <v>0</v>
      </c>
      <c r="AA51" s="19">
        <v>100</v>
      </c>
      <c r="AB51" s="19">
        <v>1639</v>
      </c>
      <c r="AC51" s="19">
        <v>0</v>
      </c>
      <c r="AD51" s="19">
        <v>0</v>
      </c>
      <c r="AE51" s="19">
        <v>1178</v>
      </c>
      <c r="AF51" s="19">
        <v>0</v>
      </c>
      <c r="AG51" s="19">
        <v>0</v>
      </c>
      <c r="AH51" s="19">
        <v>461</v>
      </c>
      <c r="AI51" s="19">
        <v>3548</v>
      </c>
      <c r="AJ51" s="19">
        <v>3340</v>
      </c>
      <c r="AK51" s="19">
        <v>0</v>
      </c>
      <c r="AL51" s="19">
        <v>0</v>
      </c>
      <c r="AM51" s="19">
        <v>0</v>
      </c>
      <c r="AN51" s="19">
        <v>3340</v>
      </c>
      <c r="AO51" s="19">
        <v>0</v>
      </c>
      <c r="AP51" s="19">
        <v>0</v>
      </c>
      <c r="AQ51" s="19">
        <v>208</v>
      </c>
      <c r="AR51" s="19">
        <v>0</v>
      </c>
      <c r="AS51" s="19">
        <v>0</v>
      </c>
      <c r="AT51" s="19">
        <v>0</v>
      </c>
      <c r="AU51" s="19">
        <v>73</v>
      </c>
      <c r="AV51" s="19">
        <v>0</v>
      </c>
      <c r="AW51" s="19">
        <v>135</v>
      </c>
      <c r="AX51" s="19">
        <v>171</v>
      </c>
      <c r="AY51" s="19">
        <v>171</v>
      </c>
      <c r="AZ51" s="19">
        <v>0</v>
      </c>
      <c r="BA51" s="19">
        <v>0</v>
      </c>
      <c r="BB51" s="19">
        <v>0</v>
      </c>
      <c r="BC51" s="19">
        <v>171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204</v>
      </c>
      <c r="CC51" s="19">
        <v>7</v>
      </c>
      <c r="CD51" s="19">
        <v>0</v>
      </c>
      <c r="CE51" s="19">
        <v>0</v>
      </c>
      <c r="CF51" s="19">
        <v>0</v>
      </c>
      <c r="CG51" s="19">
        <v>7</v>
      </c>
      <c r="CH51" s="19">
        <v>0</v>
      </c>
      <c r="CI51" s="19">
        <v>0</v>
      </c>
      <c r="CJ51" s="19">
        <v>197</v>
      </c>
      <c r="CK51" s="19">
        <v>0</v>
      </c>
      <c r="CL51" s="19">
        <v>0</v>
      </c>
      <c r="CM51" s="19">
        <v>0</v>
      </c>
      <c r="CN51" s="19">
        <v>1</v>
      </c>
      <c r="CO51" s="19">
        <v>0</v>
      </c>
      <c r="CP51" s="19">
        <v>196</v>
      </c>
      <c r="CQ51" s="19">
        <v>43907</v>
      </c>
      <c r="CR51" s="19">
        <v>32253</v>
      </c>
      <c r="CS51" s="19">
        <v>0</v>
      </c>
      <c r="CT51" s="19">
        <v>0</v>
      </c>
      <c r="CU51" s="19">
        <v>6571</v>
      </c>
      <c r="CV51" s="19">
        <v>24897</v>
      </c>
      <c r="CW51" s="19">
        <v>129</v>
      </c>
      <c r="CX51" s="19">
        <v>656</v>
      </c>
      <c r="CY51" s="19">
        <v>11654</v>
      </c>
      <c r="CZ51" s="19">
        <v>0</v>
      </c>
      <c r="DA51" s="19">
        <v>4</v>
      </c>
      <c r="DB51" s="19">
        <v>5164</v>
      </c>
      <c r="DC51" s="19">
        <v>3590</v>
      </c>
      <c r="DD51" s="19">
        <v>37</v>
      </c>
      <c r="DE51" s="19">
        <v>2859</v>
      </c>
      <c r="DF51" s="19">
        <v>4701</v>
      </c>
      <c r="DG51" s="19">
        <v>3256</v>
      </c>
      <c r="DH51" s="19">
        <v>0</v>
      </c>
      <c r="DI51" s="19">
        <v>3025</v>
      </c>
      <c r="DJ51" s="19">
        <v>177</v>
      </c>
      <c r="DK51" s="19">
        <v>0</v>
      </c>
      <c r="DL51" s="19">
        <v>3</v>
      </c>
      <c r="DM51" s="19">
        <v>51</v>
      </c>
      <c r="DN51" s="19">
        <v>1445</v>
      </c>
      <c r="DO51" s="19">
        <v>0</v>
      </c>
      <c r="DP51" s="19">
        <v>1153</v>
      </c>
      <c r="DQ51" s="19">
        <v>292</v>
      </c>
      <c r="DR51" s="19">
        <v>0</v>
      </c>
      <c r="DS51" s="19">
        <v>0</v>
      </c>
      <c r="DT51" s="19">
        <v>0</v>
      </c>
      <c r="DU51" s="19">
        <v>30269</v>
      </c>
      <c r="DV51" s="19">
        <v>29831</v>
      </c>
      <c r="DW51" s="19">
        <v>0</v>
      </c>
      <c r="DX51" s="19">
        <v>438</v>
      </c>
      <c r="DY51" s="19">
        <v>0</v>
      </c>
      <c r="DZ51" s="19">
        <v>3259</v>
      </c>
      <c r="EA51" s="19">
        <v>1201</v>
      </c>
      <c r="EB51" s="19">
        <v>3</v>
      </c>
      <c r="EC51" s="19">
        <v>0</v>
      </c>
      <c r="ED51" s="19">
        <v>1132</v>
      </c>
      <c r="EE51" s="19">
        <v>0</v>
      </c>
      <c r="EF51" s="19">
        <v>66</v>
      </c>
      <c r="EG51" s="19">
        <v>0</v>
      </c>
      <c r="EH51" s="19">
        <v>2058</v>
      </c>
      <c r="EI51" s="19">
        <v>0</v>
      </c>
      <c r="EJ51" s="19">
        <v>0</v>
      </c>
      <c r="EK51" s="19">
        <v>830</v>
      </c>
      <c r="EL51" s="19">
        <v>0</v>
      </c>
      <c r="EM51" s="19">
        <v>1228</v>
      </c>
      <c r="EN51" s="19">
        <v>0</v>
      </c>
    </row>
    <row r="52" spans="1:144" ht="13.5" customHeight="1">
      <c r="A52" s="17" t="s">
        <v>148</v>
      </c>
      <c r="B52" s="18" t="s">
        <v>149</v>
      </c>
      <c r="C52" s="17" t="s">
        <v>59</v>
      </c>
      <c r="D52" s="19">
        <v>525330</v>
      </c>
      <c r="E52" s="19">
        <v>406901</v>
      </c>
      <c r="F52" s="19">
        <v>370010</v>
      </c>
      <c r="G52" s="19">
        <v>4079</v>
      </c>
      <c r="H52" s="19">
        <v>364358</v>
      </c>
      <c r="I52" s="19">
        <v>393</v>
      </c>
      <c r="J52" s="19">
        <v>574</v>
      </c>
      <c r="K52" s="19">
        <v>0</v>
      </c>
      <c r="L52" s="19">
        <v>606</v>
      </c>
      <c r="M52" s="19">
        <v>36891</v>
      </c>
      <c r="N52" s="19">
        <v>1033</v>
      </c>
      <c r="O52" s="19">
        <v>33102</v>
      </c>
      <c r="P52" s="19">
        <v>273</v>
      </c>
      <c r="Q52" s="19">
        <v>0</v>
      </c>
      <c r="R52" s="19">
        <v>95</v>
      </c>
      <c r="S52" s="19">
        <v>2388</v>
      </c>
      <c r="T52" s="19">
        <v>25709</v>
      </c>
      <c r="U52" s="19">
        <v>10727</v>
      </c>
      <c r="V52" s="19">
        <v>40</v>
      </c>
      <c r="W52" s="19">
        <v>0</v>
      </c>
      <c r="X52" s="19">
        <v>5413</v>
      </c>
      <c r="Y52" s="19">
        <v>295</v>
      </c>
      <c r="Z52" s="19">
        <v>0</v>
      </c>
      <c r="AA52" s="19">
        <v>4979</v>
      </c>
      <c r="AB52" s="19">
        <v>14982</v>
      </c>
      <c r="AC52" s="19">
        <v>240</v>
      </c>
      <c r="AD52" s="19">
        <v>0</v>
      </c>
      <c r="AE52" s="19">
        <v>4174</v>
      </c>
      <c r="AF52" s="19">
        <v>198</v>
      </c>
      <c r="AG52" s="19">
        <v>0</v>
      </c>
      <c r="AH52" s="19">
        <v>10370</v>
      </c>
      <c r="AI52" s="19">
        <v>11322</v>
      </c>
      <c r="AJ52" s="19">
        <v>9089</v>
      </c>
      <c r="AK52" s="19">
        <v>0</v>
      </c>
      <c r="AL52" s="19">
        <v>43</v>
      </c>
      <c r="AM52" s="19">
        <v>0</v>
      </c>
      <c r="AN52" s="19">
        <v>9046</v>
      </c>
      <c r="AO52" s="19">
        <v>0</v>
      </c>
      <c r="AP52" s="19">
        <v>0</v>
      </c>
      <c r="AQ52" s="19">
        <v>2233</v>
      </c>
      <c r="AR52" s="19">
        <v>0</v>
      </c>
      <c r="AS52" s="19">
        <v>0</v>
      </c>
      <c r="AT52" s="19">
        <v>0</v>
      </c>
      <c r="AU52" s="19">
        <v>2086</v>
      </c>
      <c r="AV52" s="19">
        <v>147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7094</v>
      </c>
      <c r="BN52" s="19">
        <v>6778</v>
      </c>
      <c r="BO52" s="19">
        <v>0</v>
      </c>
      <c r="BP52" s="19">
        <v>6778</v>
      </c>
      <c r="BQ52" s="19">
        <v>0</v>
      </c>
      <c r="BR52" s="19">
        <v>0</v>
      </c>
      <c r="BS52" s="19">
        <v>0</v>
      </c>
      <c r="BT52" s="19">
        <v>0</v>
      </c>
      <c r="BU52" s="19">
        <v>316</v>
      </c>
      <c r="BV52" s="19">
        <v>0</v>
      </c>
      <c r="BW52" s="19">
        <v>316</v>
      </c>
      <c r="BX52" s="19">
        <v>0</v>
      </c>
      <c r="BY52" s="19">
        <v>0</v>
      </c>
      <c r="BZ52" s="19">
        <v>0</v>
      </c>
      <c r="CA52" s="19">
        <v>0</v>
      </c>
      <c r="CB52" s="19">
        <v>1075</v>
      </c>
      <c r="CC52" s="19">
        <v>549</v>
      </c>
      <c r="CD52" s="19">
        <v>0</v>
      </c>
      <c r="CE52" s="19">
        <v>0</v>
      </c>
      <c r="CF52" s="19">
        <v>139</v>
      </c>
      <c r="CG52" s="19">
        <v>78</v>
      </c>
      <c r="CH52" s="19">
        <v>1</v>
      </c>
      <c r="CI52" s="19">
        <v>331</v>
      </c>
      <c r="CJ52" s="19">
        <v>526</v>
      </c>
      <c r="CK52" s="19">
        <v>0</v>
      </c>
      <c r="CL52" s="19">
        <v>0</v>
      </c>
      <c r="CM52" s="19">
        <v>193</v>
      </c>
      <c r="CN52" s="19">
        <v>60</v>
      </c>
      <c r="CO52" s="19">
        <v>0</v>
      </c>
      <c r="CP52" s="19">
        <v>273</v>
      </c>
      <c r="CQ52" s="19">
        <v>36616</v>
      </c>
      <c r="CR52" s="19">
        <v>32254</v>
      </c>
      <c r="CS52" s="19">
        <v>0</v>
      </c>
      <c r="CT52" s="19">
        <v>0</v>
      </c>
      <c r="CU52" s="19">
        <v>1608</v>
      </c>
      <c r="CV52" s="19">
        <v>28863</v>
      </c>
      <c r="CW52" s="19">
        <v>0</v>
      </c>
      <c r="CX52" s="19">
        <v>1783</v>
      </c>
      <c r="CY52" s="19">
        <v>4362</v>
      </c>
      <c r="CZ52" s="19">
        <v>0</v>
      </c>
      <c r="DA52" s="19">
        <v>0</v>
      </c>
      <c r="DB52" s="19">
        <v>683</v>
      </c>
      <c r="DC52" s="19">
        <v>3126</v>
      </c>
      <c r="DD52" s="19">
        <v>0</v>
      </c>
      <c r="DE52" s="19">
        <v>553</v>
      </c>
      <c r="DF52" s="19">
        <v>1381</v>
      </c>
      <c r="DG52" s="19">
        <v>572</v>
      </c>
      <c r="DH52" s="19">
        <v>0</v>
      </c>
      <c r="DI52" s="19">
        <v>0</v>
      </c>
      <c r="DJ52" s="19">
        <v>571</v>
      </c>
      <c r="DK52" s="19">
        <v>0</v>
      </c>
      <c r="DL52" s="19">
        <v>0</v>
      </c>
      <c r="DM52" s="19">
        <v>1</v>
      </c>
      <c r="DN52" s="19">
        <v>809</v>
      </c>
      <c r="DO52" s="19">
        <v>0</v>
      </c>
      <c r="DP52" s="19">
        <v>0</v>
      </c>
      <c r="DQ52" s="19">
        <v>508</v>
      </c>
      <c r="DR52" s="19">
        <v>0</v>
      </c>
      <c r="DS52" s="19">
        <v>0</v>
      </c>
      <c r="DT52" s="19">
        <v>301</v>
      </c>
      <c r="DU52" s="19">
        <v>26198</v>
      </c>
      <c r="DV52" s="19">
        <v>24980</v>
      </c>
      <c r="DW52" s="19">
        <v>95</v>
      </c>
      <c r="DX52" s="19">
        <v>1002</v>
      </c>
      <c r="DY52" s="19">
        <v>121</v>
      </c>
      <c r="DZ52" s="19">
        <v>9034</v>
      </c>
      <c r="EA52" s="19">
        <v>5885</v>
      </c>
      <c r="EB52" s="19">
        <v>564</v>
      </c>
      <c r="EC52" s="19">
        <v>0</v>
      </c>
      <c r="ED52" s="19">
        <v>5213</v>
      </c>
      <c r="EE52" s="19">
        <v>0</v>
      </c>
      <c r="EF52" s="19">
        <v>108</v>
      </c>
      <c r="EG52" s="19">
        <v>0</v>
      </c>
      <c r="EH52" s="19">
        <v>3149</v>
      </c>
      <c r="EI52" s="19">
        <v>150</v>
      </c>
      <c r="EJ52" s="19">
        <v>0</v>
      </c>
      <c r="EK52" s="19">
        <v>2939</v>
      </c>
      <c r="EL52" s="19">
        <v>0</v>
      </c>
      <c r="EM52" s="19">
        <v>60</v>
      </c>
      <c r="EN52" s="19">
        <v>0</v>
      </c>
    </row>
    <row r="53" spans="1:144" ht="13.5" customHeight="1">
      <c r="A53" s="17" t="s">
        <v>150</v>
      </c>
      <c r="B53" s="18" t="s">
        <v>151</v>
      </c>
      <c r="C53" s="17" t="s">
        <v>59</v>
      </c>
      <c r="D53" s="19">
        <v>476952</v>
      </c>
      <c r="E53" s="19">
        <v>398874</v>
      </c>
      <c r="F53" s="19">
        <v>385164</v>
      </c>
      <c r="G53" s="19">
        <v>0</v>
      </c>
      <c r="H53" s="19">
        <v>380733</v>
      </c>
      <c r="I53" s="19">
        <v>265</v>
      </c>
      <c r="J53" s="19">
        <v>665</v>
      </c>
      <c r="K53" s="19">
        <v>1608</v>
      </c>
      <c r="L53" s="19">
        <v>1893</v>
      </c>
      <c r="M53" s="19">
        <v>13710</v>
      </c>
      <c r="N53" s="19">
        <v>0</v>
      </c>
      <c r="O53" s="19">
        <v>12471</v>
      </c>
      <c r="P53" s="19">
        <v>6</v>
      </c>
      <c r="Q53" s="19">
        <v>0</v>
      </c>
      <c r="R53" s="19">
        <v>41</v>
      </c>
      <c r="S53" s="19">
        <v>1192</v>
      </c>
      <c r="T53" s="19">
        <v>14225</v>
      </c>
      <c r="U53" s="19">
        <v>11722</v>
      </c>
      <c r="V53" s="19">
        <v>0</v>
      </c>
      <c r="W53" s="19">
        <v>0</v>
      </c>
      <c r="X53" s="19">
        <v>5559</v>
      </c>
      <c r="Y53" s="19">
        <v>300</v>
      </c>
      <c r="Z53" s="19">
        <v>0</v>
      </c>
      <c r="AA53" s="19">
        <v>5863</v>
      </c>
      <c r="AB53" s="19">
        <v>2503</v>
      </c>
      <c r="AC53" s="19">
        <v>0</v>
      </c>
      <c r="AD53" s="19">
        <v>0</v>
      </c>
      <c r="AE53" s="19">
        <v>398</v>
      </c>
      <c r="AF53" s="19">
        <v>66</v>
      </c>
      <c r="AG53" s="19">
        <v>0</v>
      </c>
      <c r="AH53" s="19">
        <v>2039</v>
      </c>
      <c r="AI53" s="19">
        <v>4854</v>
      </c>
      <c r="AJ53" s="19">
        <v>3863</v>
      </c>
      <c r="AK53" s="19">
        <v>0</v>
      </c>
      <c r="AL53" s="19">
        <v>0</v>
      </c>
      <c r="AM53" s="19">
        <v>0</v>
      </c>
      <c r="AN53" s="19">
        <v>3826</v>
      </c>
      <c r="AO53" s="19">
        <v>37</v>
      </c>
      <c r="AP53" s="19">
        <v>0</v>
      </c>
      <c r="AQ53" s="19">
        <v>991</v>
      </c>
      <c r="AR53" s="19">
        <v>0</v>
      </c>
      <c r="AS53" s="19">
        <v>0</v>
      </c>
      <c r="AT53" s="19">
        <v>0</v>
      </c>
      <c r="AU53" s="19">
        <v>467</v>
      </c>
      <c r="AV53" s="19">
        <v>524</v>
      </c>
      <c r="AW53" s="19">
        <v>0</v>
      </c>
      <c r="AX53" s="19">
        <v>136</v>
      </c>
      <c r="AY53" s="19">
        <v>136</v>
      </c>
      <c r="AZ53" s="19">
        <v>0</v>
      </c>
      <c r="BA53" s="19">
        <v>0</v>
      </c>
      <c r="BB53" s="19">
        <v>0</v>
      </c>
      <c r="BC53" s="19">
        <v>136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0</v>
      </c>
      <c r="CA53" s="19">
        <v>0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>
        <v>0</v>
      </c>
      <c r="CQ53" s="19">
        <v>35940</v>
      </c>
      <c r="CR53" s="19">
        <v>34669</v>
      </c>
      <c r="CS53" s="19">
        <v>0</v>
      </c>
      <c r="CT53" s="19">
        <v>0</v>
      </c>
      <c r="CU53" s="19">
        <v>2896</v>
      </c>
      <c r="CV53" s="19">
        <v>30657</v>
      </c>
      <c r="CW53" s="19">
        <v>268</v>
      </c>
      <c r="CX53" s="19">
        <v>848</v>
      </c>
      <c r="CY53" s="19">
        <v>1271</v>
      </c>
      <c r="CZ53" s="19">
        <v>0</v>
      </c>
      <c r="DA53" s="19">
        <v>0</v>
      </c>
      <c r="DB53" s="19">
        <v>47</v>
      </c>
      <c r="DC53" s="19">
        <v>1107</v>
      </c>
      <c r="DD53" s="19">
        <v>12</v>
      </c>
      <c r="DE53" s="19">
        <v>105</v>
      </c>
      <c r="DF53" s="19">
        <v>1418</v>
      </c>
      <c r="DG53" s="19">
        <v>1254</v>
      </c>
      <c r="DH53" s="19">
        <v>0</v>
      </c>
      <c r="DI53" s="19">
        <v>108</v>
      </c>
      <c r="DJ53" s="19">
        <v>698</v>
      </c>
      <c r="DK53" s="19">
        <v>392</v>
      </c>
      <c r="DL53" s="19">
        <v>41</v>
      </c>
      <c r="DM53" s="19">
        <v>15</v>
      </c>
      <c r="DN53" s="19">
        <v>164</v>
      </c>
      <c r="DO53" s="19">
        <v>0</v>
      </c>
      <c r="DP53" s="19">
        <v>0</v>
      </c>
      <c r="DQ53" s="19">
        <v>29</v>
      </c>
      <c r="DR53" s="19">
        <v>32</v>
      </c>
      <c r="DS53" s="19">
        <v>0</v>
      </c>
      <c r="DT53" s="19">
        <v>103</v>
      </c>
      <c r="DU53" s="19">
        <v>18888</v>
      </c>
      <c r="DV53" s="19">
        <v>16535</v>
      </c>
      <c r="DW53" s="19">
        <v>10</v>
      </c>
      <c r="DX53" s="19">
        <v>2343</v>
      </c>
      <c r="DY53" s="19">
        <v>0</v>
      </c>
      <c r="DZ53" s="19">
        <v>2617</v>
      </c>
      <c r="EA53" s="19">
        <v>1732</v>
      </c>
      <c r="EB53" s="19">
        <v>0</v>
      </c>
      <c r="EC53" s="19">
        <v>18</v>
      </c>
      <c r="ED53" s="19">
        <v>1554</v>
      </c>
      <c r="EE53" s="19">
        <v>7</v>
      </c>
      <c r="EF53" s="19">
        <v>2</v>
      </c>
      <c r="EG53" s="19">
        <v>151</v>
      </c>
      <c r="EH53" s="19">
        <v>885</v>
      </c>
      <c r="EI53" s="19">
        <v>0</v>
      </c>
      <c r="EJ53" s="19">
        <v>0</v>
      </c>
      <c r="EK53" s="19">
        <v>664</v>
      </c>
      <c r="EL53" s="19">
        <v>0</v>
      </c>
      <c r="EM53" s="19">
        <v>7</v>
      </c>
      <c r="EN53" s="19">
        <v>214</v>
      </c>
    </row>
    <row r="54" spans="1:144" ht="13.5" customHeight="1">
      <c r="A54" s="17" t="s">
        <v>152</v>
      </c>
      <c r="B54" s="18" t="s">
        <v>153</v>
      </c>
      <c r="C54" s="17" t="s">
        <v>59</v>
      </c>
      <c r="D54" s="19">
        <v>39359760.090000004</v>
      </c>
      <c r="E54" s="19">
        <v>31505110.09</v>
      </c>
      <c r="F54" s="19">
        <v>29227083.09</v>
      </c>
      <c r="G54" s="19">
        <v>2402242</v>
      </c>
      <c r="H54" s="19">
        <v>26680253.09</v>
      </c>
      <c r="I54" s="19">
        <v>20834</v>
      </c>
      <c r="J54" s="19">
        <v>18727</v>
      </c>
      <c r="K54" s="19">
        <v>8944</v>
      </c>
      <c r="L54" s="19">
        <v>96083</v>
      </c>
      <c r="M54" s="19">
        <v>2278027</v>
      </c>
      <c r="N54" s="19">
        <v>211783</v>
      </c>
      <c r="O54" s="19">
        <v>1977361</v>
      </c>
      <c r="P54" s="19">
        <v>3866</v>
      </c>
      <c r="Q54" s="19">
        <v>1793</v>
      </c>
      <c r="R54" s="19">
        <v>17211</v>
      </c>
      <c r="S54" s="19">
        <v>66013</v>
      </c>
      <c r="T54" s="19">
        <v>1802277</v>
      </c>
      <c r="U54" s="19">
        <v>1201980</v>
      </c>
      <c r="V54" s="19">
        <v>5977</v>
      </c>
      <c r="W54" s="19">
        <v>10009</v>
      </c>
      <c r="X54" s="19">
        <v>601828</v>
      </c>
      <c r="Y54" s="19">
        <v>136438</v>
      </c>
      <c r="Z54" s="19">
        <v>6097</v>
      </c>
      <c r="AA54" s="19">
        <v>441631</v>
      </c>
      <c r="AB54" s="19">
        <v>600297</v>
      </c>
      <c r="AC54" s="19">
        <v>4695</v>
      </c>
      <c r="AD54" s="19">
        <v>12395</v>
      </c>
      <c r="AE54" s="19">
        <v>147936</v>
      </c>
      <c r="AF54" s="19">
        <v>11223</v>
      </c>
      <c r="AG54" s="19">
        <v>1213</v>
      </c>
      <c r="AH54" s="19">
        <v>422835</v>
      </c>
      <c r="AI54" s="19">
        <v>183548</v>
      </c>
      <c r="AJ54" s="19">
        <v>118669</v>
      </c>
      <c r="AK54" s="19">
        <v>0</v>
      </c>
      <c r="AL54" s="19">
        <v>1294</v>
      </c>
      <c r="AM54" s="19">
        <v>2891</v>
      </c>
      <c r="AN54" s="19">
        <v>106755</v>
      </c>
      <c r="AO54" s="19">
        <v>7704</v>
      </c>
      <c r="AP54" s="19">
        <v>25</v>
      </c>
      <c r="AQ54" s="19">
        <v>64879</v>
      </c>
      <c r="AR54" s="19">
        <v>0</v>
      </c>
      <c r="AS54" s="19">
        <v>1470</v>
      </c>
      <c r="AT54" s="19">
        <v>600</v>
      </c>
      <c r="AU54" s="19">
        <v>53188</v>
      </c>
      <c r="AV54" s="19">
        <v>3235</v>
      </c>
      <c r="AW54" s="19">
        <v>6386</v>
      </c>
      <c r="AX54" s="19">
        <v>9633</v>
      </c>
      <c r="AY54" s="19">
        <v>5945</v>
      </c>
      <c r="AZ54" s="19">
        <v>0</v>
      </c>
      <c r="BA54" s="19">
        <v>117</v>
      </c>
      <c r="BB54" s="19">
        <v>0</v>
      </c>
      <c r="BC54" s="19">
        <v>5828</v>
      </c>
      <c r="BD54" s="19">
        <v>0</v>
      </c>
      <c r="BE54" s="19">
        <v>0</v>
      </c>
      <c r="BF54" s="19">
        <v>3688</v>
      </c>
      <c r="BG54" s="19">
        <v>0</v>
      </c>
      <c r="BH54" s="19">
        <v>0</v>
      </c>
      <c r="BI54" s="19">
        <v>0</v>
      </c>
      <c r="BJ54" s="19">
        <v>2928</v>
      </c>
      <c r="BK54" s="19">
        <v>760</v>
      </c>
      <c r="BL54" s="19">
        <v>0</v>
      </c>
      <c r="BM54" s="19">
        <v>105199</v>
      </c>
      <c r="BN54" s="19">
        <v>97734</v>
      </c>
      <c r="BO54" s="19">
        <v>15101</v>
      </c>
      <c r="BP54" s="19">
        <v>21920</v>
      </c>
      <c r="BQ54" s="19">
        <v>0</v>
      </c>
      <c r="BR54" s="19">
        <v>57949</v>
      </c>
      <c r="BS54" s="19">
        <v>2764</v>
      </c>
      <c r="BT54" s="19">
        <v>0</v>
      </c>
      <c r="BU54" s="19">
        <v>7465</v>
      </c>
      <c r="BV54" s="19">
        <v>0</v>
      </c>
      <c r="BW54" s="19">
        <v>1849</v>
      </c>
      <c r="BX54" s="19">
        <v>0</v>
      </c>
      <c r="BY54" s="19">
        <v>4725</v>
      </c>
      <c r="BZ54" s="19">
        <v>891</v>
      </c>
      <c r="CA54" s="19">
        <v>0</v>
      </c>
      <c r="CB54" s="19">
        <v>511545</v>
      </c>
      <c r="CC54" s="19">
        <v>433104</v>
      </c>
      <c r="CD54" s="19">
        <v>1317</v>
      </c>
      <c r="CE54" s="19">
        <v>395604</v>
      </c>
      <c r="CF54" s="19">
        <v>4636</v>
      </c>
      <c r="CG54" s="19">
        <v>26722</v>
      </c>
      <c r="CH54" s="19">
        <v>180</v>
      </c>
      <c r="CI54" s="19">
        <v>4645</v>
      </c>
      <c r="CJ54" s="19">
        <v>78441</v>
      </c>
      <c r="CK54" s="19">
        <v>163</v>
      </c>
      <c r="CL54" s="19">
        <v>26265</v>
      </c>
      <c r="CM54" s="19">
        <v>790</v>
      </c>
      <c r="CN54" s="19">
        <v>42619</v>
      </c>
      <c r="CO54" s="19">
        <v>340</v>
      </c>
      <c r="CP54" s="19">
        <v>8264</v>
      </c>
      <c r="CQ54" s="19">
        <v>2945823</v>
      </c>
      <c r="CR54" s="19">
        <v>2660195</v>
      </c>
      <c r="CS54" s="19">
        <v>12587</v>
      </c>
      <c r="CT54" s="19">
        <v>6038</v>
      </c>
      <c r="CU54" s="19">
        <v>242637</v>
      </c>
      <c r="CV54" s="19">
        <v>2328415</v>
      </c>
      <c r="CW54" s="19">
        <v>15682</v>
      </c>
      <c r="CX54" s="19">
        <v>54836</v>
      </c>
      <c r="CY54" s="19">
        <v>285628</v>
      </c>
      <c r="CZ54" s="19">
        <v>743</v>
      </c>
      <c r="DA54" s="19">
        <v>8188</v>
      </c>
      <c r="DB54" s="19">
        <v>62302</v>
      </c>
      <c r="DC54" s="19">
        <v>142765</v>
      </c>
      <c r="DD54" s="19">
        <v>4176</v>
      </c>
      <c r="DE54" s="19">
        <v>67454</v>
      </c>
      <c r="DF54" s="19">
        <v>57364</v>
      </c>
      <c r="DG54" s="19">
        <v>37032</v>
      </c>
      <c r="DH54" s="19">
        <v>176</v>
      </c>
      <c r="DI54" s="19">
        <v>8339</v>
      </c>
      <c r="DJ54" s="19">
        <v>19709</v>
      </c>
      <c r="DK54" s="19">
        <v>1536</v>
      </c>
      <c r="DL54" s="19">
        <v>4282</v>
      </c>
      <c r="DM54" s="19">
        <v>2990</v>
      </c>
      <c r="DN54" s="19">
        <v>20332</v>
      </c>
      <c r="DO54" s="19">
        <v>619</v>
      </c>
      <c r="DP54" s="19">
        <v>1621</v>
      </c>
      <c r="DQ54" s="19">
        <v>5504</v>
      </c>
      <c r="DR54" s="19">
        <v>1068</v>
      </c>
      <c r="DS54" s="19">
        <v>5470</v>
      </c>
      <c r="DT54" s="19">
        <v>6050</v>
      </c>
      <c r="DU54" s="19">
        <v>1891455</v>
      </c>
      <c r="DV54" s="19">
        <v>1688787</v>
      </c>
      <c r="DW54" s="19">
        <v>3862</v>
      </c>
      <c r="DX54" s="19">
        <v>195817</v>
      </c>
      <c r="DY54" s="19">
        <v>2989</v>
      </c>
      <c r="DZ54" s="19">
        <v>347806</v>
      </c>
      <c r="EA54" s="19">
        <v>183211</v>
      </c>
      <c r="EB54" s="19">
        <v>30465</v>
      </c>
      <c r="EC54" s="19">
        <v>5032</v>
      </c>
      <c r="ED54" s="19">
        <v>133579</v>
      </c>
      <c r="EE54" s="19">
        <v>2071</v>
      </c>
      <c r="EF54" s="19">
        <v>7278</v>
      </c>
      <c r="EG54" s="19">
        <v>4786</v>
      </c>
      <c r="EH54" s="19">
        <v>164595</v>
      </c>
      <c r="EI54" s="19">
        <v>14014</v>
      </c>
      <c r="EJ54" s="19">
        <v>4068</v>
      </c>
      <c r="EK54" s="19">
        <v>123787</v>
      </c>
      <c r="EL54" s="19">
        <v>1312</v>
      </c>
      <c r="EM54" s="19">
        <v>15049</v>
      </c>
      <c r="EN54" s="19">
        <v>6365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61" orientation="landscape" r:id="rId1"/>
  <headerFooter alignWithMargins="0">
    <oddHeader>&amp;L処理施設別ごみ搬入量の状況（令和2年度実績）</oddHeader>
  </headerFooter>
  <colBreaks count="8" manualBreakCount="8">
    <brk id="19" min="1" max="23" man="1"/>
    <brk id="34" min="1" max="23" man="1"/>
    <brk id="49" min="1" max="23" man="1"/>
    <brk id="64" min="1" max="23" man="1"/>
    <brk id="79" min="1" max="23" man="1"/>
    <brk id="94" min="1" max="23" man="1"/>
    <brk id="109" min="1" max="23" man="1"/>
    <brk id="124" min="1" max="2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S53"/>
  <sheetViews>
    <sheetView zoomScaleNormal="100" workbookViewId="0">
      <pane xSplit="3" ySplit="5" topLeftCell="D6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/>
  <cols>
    <col min="1" max="1" width="10.75" style="10" customWidth="1"/>
    <col min="2" max="2" width="8.75" style="13" customWidth="1"/>
    <col min="3" max="3" width="12.625" style="10" customWidth="1"/>
    <col min="4" max="36" width="10.625" style="14" customWidth="1"/>
    <col min="37" max="16384" width="9" style="10"/>
  </cols>
  <sheetData>
    <row r="1" spans="1:45" s="3" customFormat="1" ht="17.25">
      <c r="A1" s="1" t="s">
        <v>243</v>
      </c>
      <c r="B1" s="2"/>
      <c r="C1" s="2"/>
      <c r="E1" s="4"/>
      <c r="M1" s="6"/>
      <c r="P1" s="4"/>
      <c r="Q1" s="4"/>
      <c r="R1" s="4"/>
      <c r="Y1" s="6"/>
      <c r="AJ1" s="6"/>
    </row>
    <row r="2" spans="1:45" ht="25.5" customHeight="1">
      <c r="A2" s="7" t="s">
        <v>1</v>
      </c>
      <c r="B2" s="7" t="s">
        <v>2</v>
      </c>
      <c r="C2" s="8" t="s">
        <v>3</v>
      </c>
      <c r="D2" s="22" t="s">
        <v>244</v>
      </c>
      <c r="E2" s="22" t="s">
        <v>244</v>
      </c>
      <c r="F2" s="22" t="s">
        <v>244</v>
      </c>
      <c r="G2" s="22" t="s">
        <v>244</v>
      </c>
      <c r="H2" s="22" t="s">
        <v>244</v>
      </c>
      <c r="I2" s="22" t="s">
        <v>244</v>
      </c>
      <c r="J2" s="22" t="s">
        <v>244</v>
      </c>
      <c r="K2" s="22" t="s">
        <v>244</v>
      </c>
      <c r="L2" s="22" t="s">
        <v>244</v>
      </c>
      <c r="M2" s="22" t="s">
        <v>244</v>
      </c>
      <c r="N2" s="22" t="s">
        <v>244</v>
      </c>
      <c r="O2" s="22" t="s">
        <v>244</v>
      </c>
      <c r="P2" s="22" t="s">
        <v>245</v>
      </c>
      <c r="Q2" s="22" t="s">
        <v>245</v>
      </c>
      <c r="R2" s="22" t="s">
        <v>245</v>
      </c>
      <c r="S2" s="22" t="s">
        <v>245</v>
      </c>
      <c r="T2" s="22" t="s">
        <v>245</v>
      </c>
      <c r="U2" s="22" t="s">
        <v>245</v>
      </c>
      <c r="V2" s="22" t="s">
        <v>245</v>
      </c>
      <c r="W2" s="22" t="s">
        <v>245</v>
      </c>
      <c r="X2" s="22" t="s">
        <v>245</v>
      </c>
      <c r="Y2" s="22" t="s">
        <v>245</v>
      </c>
      <c r="Z2" s="9" t="s">
        <v>246</v>
      </c>
      <c r="AA2" s="9" t="s">
        <v>246</v>
      </c>
      <c r="AB2" s="9" t="s">
        <v>246</v>
      </c>
      <c r="AC2" s="22" t="s">
        <v>246</v>
      </c>
      <c r="AD2" s="22" t="s">
        <v>246</v>
      </c>
      <c r="AE2" s="22" t="s">
        <v>246</v>
      </c>
      <c r="AF2" s="22" t="s">
        <v>246</v>
      </c>
      <c r="AG2" s="22" t="s">
        <v>246</v>
      </c>
      <c r="AH2" s="22" t="s">
        <v>246</v>
      </c>
      <c r="AI2" s="22" t="s">
        <v>246</v>
      </c>
      <c r="AJ2" s="22" t="s">
        <v>246</v>
      </c>
      <c r="AK2" s="23" t="s">
        <v>247</v>
      </c>
      <c r="AL2" s="23" t="s">
        <v>247</v>
      </c>
      <c r="AM2" s="23" t="s">
        <v>247</v>
      </c>
      <c r="AN2" s="23" t="s">
        <v>247</v>
      </c>
      <c r="AO2" s="23" t="s">
        <v>247</v>
      </c>
      <c r="AP2" s="23" t="s">
        <v>247</v>
      </c>
      <c r="AQ2" s="23" t="s">
        <v>247</v>
      </c>
      <c r="AR2" s="23" t="s">
        <v>247</v>
      </c>
      <c r="AS2" s="23" t="s">
        <v>247</v>
      </c>
    </row>
    <row r="3" spans="1:45" ht="25.5" customHeight="1">
      <c r="A3" s="7"/>
      <c r="B3" s="7"/>
      <c r="C3" s="8"/>
      <c r="D3" s="11" t="s">
        <v>23</v>
      </c>
      <c r="E3" s="8" t="s">
        <v>27</v>
      </c>
      <c r="F3" s="8" t="s">
        <v>29</v>
      </c>
      <c r="G3" s="8" t="s">
        <v>29</v>
      </c>
      <c r="H3" s="8" t="s">
        <v>29</v>
      </c>
      <c r="I3" s="8" t="s">
        <v>29</v>
      </c>
      <c r="J3" s="8" t="s">
        <v>29</v>
      </c>
      <c r="K3" s="8" t="s">
        <v>29</v>
      </c>
      <c r="L3" s="8" t="s">
        <v>29</v>
      </c>
      <c r="M3" s="8" t="s">
        <v>29</v>
      </c>
      <c r="N3" s="8" t="s">
        <v>28</v>
      </c>
      <c r="O3" s="8" t="s">
        <v>31</v>
      </c>
      <c r="P3" s="11" t="s">
        <v>23</v>
      </c>
      <c r="Q3" s="8" t="s">
        <v>27</v>
      </c>
      <c r="R3" s="9" t="s">
        <v>248</v>
      </c>
      <c r="S3" s="9" t="s">
        <v>248</v>
      </c>
      <c r="T3" s="9" t="s">
        <v>248</v>
      </c>
      <c r="U3" s="9" t="s">
        <v>248</v>
      </c>
      <c r="V3" s="9" t="s">
        <v>248</v>
      </c>
      <c r="W3" s="9" t="s">
        <v>248</v>
      </c>
      <c r="X3" s="9" t="s">
        <v>248</v>
      </c>
      <c r="Y3" s="9" t="s">
        <v>248</v>
      </c>
      <c r="Z3" s="11" t="s">
        <v>23</v>
      </c>
      <c r="AA3" s="8" t="s">
        <v>28</v>
      </c>
      <c r="AB3" s="8" t="s">
        <v>41</v>
      </c>
      <c r="AC3" s="9" t="s">
        <v>249</v>
      </c>
      <c r="AD3" s="9" t="s">
        <v>249</v>
      </c>
      <c r="AE3" s="9" t="s">
        <v>249</v>
      </c>
      <c r="AF3" s="9" t="s">
        <v>249</v>
      </c>
      <c r="AG3" s="9" t="s">
        <v>249</v>
      </c>
      <c r="AH3" s="9" t="s">
        <v>249</v>
      </c>
      <c r="AI3" s="9" t="s">
        <v>249</v>
      </c>
      <c r="AJ3" s="9" t="s">
        <v>249</v>
      </c>
      <c r="AK3" s="11" t="s">
        <v>23</v>
      </c>
      <c r="AL3" s="7" t="s">
        <v>250</v>
      </c>
      <c r="AM3" s="7" t="s">
        <v>43</v>
      </c>
      <c r="AN3" s="7" t="s">
        <v>35</v>
      </c>
      <c r="AO3" s="7" t="s">
        <v>36</v>
      </c>
      <c r="AP3" s="7" t="s">
        <v>37</v>
      </c>
      <c r="AQ3" s="7" t="s">
        <v>38</v>
      </c>
      <c r="AR3" s="7" t="s">
        <v>39</v>
      </c>
      <c r="AS3" s="7" t="s">
        <v>46</v>
      </c>
    </row>
    <row r="4" spans="1:45" ht="25.5" customHeight="1">
      <c r="A4" s="7"/>
      <c r="B4" s="7"/>
      <c r="C4" s="8"/>
      <c r="D4" s="11"/>
      <c r="E4" s="8"/>
      <c r="F4" s="11" t="s">
        <v>23</v>
      </c>
      <c r="G4" s="8" t="s">
        <v>43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8" t="s">
        <v>46</v>
      </c>
      <c r="N4" s="8"/>
      <c r="O4" s="9"/>
      <c r="P4" s="11"/>
      <c r="Q4" s="8"/>
      <c r="R4" s="7" t="s">
        <v>23</v>
      </c>
      <c r="S4" s="8" t="s">
        <v>43</v>
      </c>
      <c r="T4" s="7" t="s">
        <v>35</v>
      </c>
      <c r="U4" s="7" t="s">
        <v>36</v>
      </c>
      <c r="V4" s="7" t="s">
        <v>37</v>
      </c>
      <c r="W4" s="7" t="s">
        <v>38</v>
      </c>
      <c r="X4" s="7" t="s">
        <v>39</v>
      </c>
      <c r="Y4" s="8" t="s">
        <v>46</v>
      </c>
      <c r="Z4" s="11"/>
      <c r="AA4" s="8"/>
      <c r="AB4" s="8"/>
      <c r="AC4" s="11" t="s">
        <v>23</v>
      </c>
      <c r="AD4" s="8" t="s">
        <v>43</v>
      </c>
      <c r="AE4" s="7" t="s">
        <v>35</v>
      </c>
      <c r="AF4" s="7" t="s">
        <v>36</v>
      </c>
      <c r="AG4" s="7" t="s">
        <v>37</v>
      </c>
      <c r="AH4" s="7" t="s">
        <v>38</v>
      </c>
      <c r="AI4" s="7" t="s">
        <v>39</v>
      </c>
      <c r="AJ4" s="8" t="s">
        <v>46</v>
      </c>
      <c r="AK4" s="11"/>
      <c r="AL4" s="7"/>
      <c r="AM4" s="7"/>
      <c r="AN4" s="7"/>
      <c r="AO4" s="7"/>
      <c r="AP4" s="7"/>
      <c r="AQ4" s="7"/>
      <c r="AR4" s="7"/>
      <c r="AS4" s="7"/>
    </row>
    <row r="5" spans="1:45" s="12" customFormat="1" ht="13.5" customHeight="1">
      <c r="A5" s="7"/>
      <c r="B5" s="7"/>
      <c r="C5" s="8"/>
      <c r="D5" s="24" t="s">
        <v>51</v>
      </c>
      <c r="E5" s="24" t="s">
        <v>51</v>
      </c>
      <c r="F5" s="24" t="s">
        <v>54</v>
      </c>
      <c r="G5" s="24" t="s">
        <v>51</v>
      </c>
      <c r="H5" s="24" t="s">
        <v>51</v>
      </c>
      <c r="I5" s="24" t="s">
        <v>54</v>
      </c>
      <c r="J5" s="24" t="s">
        <v>51</v>
      </c>
      <c r="K5" s="24" t="s">
        <v>54</v>
      </c>
      <c r="L5" s="24" t="s">
        <v>51</v>
      </c>
      <c r="M5" s="24" t="s">
        <v>51</v>
      </c>
      <c r="N5" s="24" t="s">
        <v>51</v>
      </c>
      <c r="O5" s="24" t="s">
        <v>54</v>
      </c>
      <c r="P5" s="24" t="s">
        <v>54</v>
      </c>
      <c r="Q5" s="24" t="s">
        <v>54</v>
      </c>
      <c r="R5" s="24" t="s">
        <v>54</v>
      </c>
      <c r="S5" s="24" t="s">
        <v>51</v>
      </c>
      <c r="T5" s="24" t="s">
        <v>54</v>
      </c>
      <c r="U5" s="24" t="s">
        <v>54</v>
      </c>
      <c r="V5" s="24" t="s">
        <v>54</v>
      </c>
      <c r="W5" s="24" t="s">
        <v>54</v>
      </c>
      <c r="X5" s="24" t="s">
        <v>54</v>
      </c>
      <c r="Y5" s="24" t="s">
        <v>54</v>
      </c>
      <c r="Z5" s="24" t="s">
        <v>51</v>
      </c>
      <c r="AA5" s="24" t="s">
        <v>54</v>
      </c>
      <c r="AB5" s="24" t="s">
        <v>54</v>
      </c>
      <c r="AC5" s="24" t="s">
        <v>54</v>
      </c>
      <c r="AD5" s="24" t="s">
        <v>54</v>
      </c>
      <c r="AE5" s="24" t="s">
        <v>51</v>
      </c>
      <c r="AF5" s="24" t="s">
        <v>51</v>
      </c>
      <c r="AG5" s="24" t="s">
        <v>54</v>
      </c>
      <c r="AH5" s="24" t="s">
        <v>54</v>
      </c>
      <c r="AI5" s="24" t="s">
        <v>54</v>
      </c>
      <c r="AJ5" s="24" t="s">
        <v>54</v>
      </c>
      <c r="AK5" s="24" t="s">
        <v>54</v>
      </c>
      <c r="AL5" s="24" t="s">
        <v>51</v>
      </c>
      <c r="AM5" s="24" t="s">
        <v>54</v>
      </c>
      <c r="AN5" s="24" t="s">
        <v>54</v>
      </c>
      <c r="AO5" s="24" t="s">
        <v>54</v>
      </c>
      <c r="AP5" s="24" t="s">
        <v>54</v>
      </c>
      <c r="AQ5" s="24" t="s">
        <v>54</v>
      </c>
      <c r="AR5" s="24" t="s">
        <v>54</v>
      </c>
      <c r="AS5" s="24" t="s">
        <v>54</v>
      </c>
    </row>
    <row r="6" spans="1:45" ht="13.5" customHeight="1">
      <c r="A6" s="17" t="s">
        <v>57</v>
      </c>
      <c r="B6" s="18" t="s">
        <v>58</v>
      </c>
      <c r="C6" s="17" t="s">
        <v>59</v>
      </c>
      <c r="D6" s="19">
        <v>1674500</v>
      </c>
      <c r="E6" s="19">
        <v>1078253</v>
      </c>
      <c r="F6" s="19">
        <v>443220</v>
      </c>
      <c r="G6" s="19">
        <v>122217</v>
      </c>
      <c r="H6" s="19">
        <v>31059</v>
      </c>
      <c r="I6" s="19">
        <v>0</v>
      </c>
      <c r="J6" s="19">
        <v>15753</v>
      </c>
      <c r="K6" s="19">
        <v>26278</v>
      </c>
      <c r="L6" s="19">
        <v>244000</v>
      </c>
      <c r="M6" s="19">
        <v>3913</v>
      </c>
      <c r="N6" s="19">
        <v>120308</v>
      </c>
      <c r="O6" s="19">
        <v>32719</v>
      </c>
      <c r="P6" s="19">
        <v>1169319</v>
      </c>
      <c r="Q6" s="19">
        <v>1078253</v>
      </c>
      <c r="R6" s="19">
        <v>91066</v>
      </c>
      <c r="S6" s="19">
        <v>67794</v>
      </c>
      <c r="T6" s="19">
        <v>112</v>
      </c>
      <c r="U6" s="19">
        <v>0</v>
      </c>
      <c r="V6" s="19">
        <v>1343</v>
      </c>
      <c r="W6" s="19">
        <v>2009</v>
      </c>
      <c r="X6" s="19">
        <v>19642</v>
      </c>
      <c r="Y6" s="19">
        <v>166</v>
      </c>
      <c r="Z6" s="19">
        <v>283015</v>
      </c>
      <c r="AA6" s="19">
        <v>120308</v>
      </c>
      <c r="AB6" s="19">
        <v>114554</v>
      </c>
      <c r="AC6" s="19">
        <v>48153</v>
      </c>
      <c r="AD6" s="19">
        <v>29585</v>
      </c>
      <c r="AE6" s="19">
        <v>1462</v>
      </c>
      <c r="AF6" s="19">
        <v>0</v>
      </c>
      <c r="AG6" s="19">
        <v>1300</v>
      </c>
      <c r="AH6" s="19">
        <v>76</v>
      </c>
      <c r="AI6" s="19">
        <v>12447</v>
      </c>
      <c r="AJ6" s="19">
        <v>3283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</row>
    <row r="7" spans="1:45" ht="13.5" customHeight="1">
      <c r="A7" s="17" t="s">
        <v>60</v>
      </c>
      <c r="B7" s="18" t="s">
        <v>61</v>
      </c>
      <c r="C7" s="17" t="s">
        <v>59</v>
      </c>
      <c r="D7" s="19">
        <v>447936.87363829999</v>
      </c>
      <c r="E7" s="19">
        <v>370158</v>
      </c>
      <c r="F7" s="19">
        <v>53341</v>
      </c>
      <c r="G7" s="19">
        <v>17524</v>
      </c>
      <c r="H7" s="19">
        <v>690</v>
      </c>
      <c r="I7" s="19">
        <v>0</v>
      </c>
      <c r="J7" s="19">
        <v>0</v>
      </c>
      <c r="K7" s="19">
        <v>36</v>
      </c>
      <c r="L7" s="19">
        <v>35008</v>
      </c>
      <c r="M7" s="19">
        <v>83</v>
      </c>
      <c r="N7" s="19">
        <v>14437</v>
      </c>
      <c r="O7" s="19">
        <v>10000.873638300001</v>
      </c>
      <c r="P7" s="19">
        <v>385421</v>
      </c>
      <c r="Q7" s="19">
        <v>370158</v>
      </c>
      <c r="R7" s="19">
        <v>15263</v>
      </c>
      <c r="S7" s="19">
        <v>9973</v>
      </c>
      <c r="T7" s="19">
        <v>0</v>
      </c>
      <c r="U7" s="19">
        <v>0</v>
      </c>
      <c r="V7" s="19">
        <v>0</v>
      </c>
      <c r="W7" s="19">
        <v>0</v>
      </c>
      <c r="X7" s="19">
        <v>5207</v>
      </c>
      <c r="Y7" s="19">
        <v>83</v>
      </c>
      <c r="Z7" s="19">
        <v>50709</v>
      </c>
      <c r="AA7" s="19">
        <v>14437</v>
      </c>
      <c r="AB7" s="19">
        <v>29817</v>
      </c>
      <c r="AC7" s="19">
        <v>6455</v>
      </c>
      <c r="AD7" s="19">
        <v>3300</v>
      </c>
      <c r="AE7" s="19">
        <v>0</v>
      </c>
      <c r="AF7" s="19">
        <v>0</v>
      </c>
      <c r="AG7" s="19">
        <v>0</v>
      </c>
      <c r="AH7" s="19">
        <v>0</v>
      </c>
      <c r="AI7" s="19">
        <v>3155</v>
      </c>
      <c r="AJ7" s="19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</row>
    <row r="8" spans="1:45" ht="13.5" customHeight="1">
      <c r="A8" s="17" t="s">
        <v>62</v>
      </c>
      <c r="B8" s="18" t="s">
        <v>63</v>
      </c>
      <c r="C8" s="17" t="s">
        <v>59</v>
      </c>
      <c r="D8" s="19">
        <v>387365</v>
      </c>
      <c r="E8" s="19">
        <v>322901</v>
      </c>
      <c r="F8" s="19">
        <v>48301</v>
      </c>
      <c r="G8" s="19">
        <v>17537</v>
      </c>
      <c r="H8" s="19">
        <v>3357</v>
      </c>
      <c r="I8" s="19">
        <v>0</v>
      </c>
      <c r="J8" s="19">
        <v>171</v>
      </c>
      <c r="K8" s="19">
        <v>14</v>
      </c>
      <c r="L8" s="19">
        <v>27151</v>
      </c>
      <c r="M8" s="19">
        <v>71</v>
      </c>
      <c r="N8" s="19">
        <v>1165</v>
      </c>
      <c r="O8" s="19">
        <v>14998</v>
      </c>
      <c r="P8" s="19">
        <v>335548</v>
      </c>
      <c r="Q8" s="19">
        <v>322901</v>
      </c>
      <c r="R8" s="19">
        <v>12647</v>
      </c>
      <c r="S8" s="19">
        <v>9183</v>
      </c>
      <c r="T8" s="19">
        <v>277</v>
      </c>
      <c r="U8" s="19">
        <v>0</v>
      </c>
      <c r="V8" s="19">
        <v>0</v>
      </c>
      <c r="W8" s="19">
        <v>0</v>
      </c>
      <c r="X8" s="19">
        <v>3180</v>
      </c>
      <c r="Y8" s="19">
        <v>7</v>
      </c>
      <c r="Z8" s="19">
        <v>37405</v>
      </c>
      <c r="AA8" s="19">
        <v>1165</v>
      </c>
      <c r="AB8" s="19">
        <v>30003</v>
      </c>
      <c r="AC8" s="19">
        <v>6237</v>
      </c>
      <c r="AD8" s="19">
        <v>4706</v>
      </c>
      <c r="AE8" s="19">
        <v>0</v>
      </c>
      <c r="AF8" s="19">
        <v>0</v>
      </c>
      <c r="AG8" s="19">
        <v>0</v>
      </c>
      <c r="AH8" s="19">
        <v>0</v>
      </c>
      <c r="AI8" s="19">
        <v>1467</v>
      </c>
      <c r="AJ8" s="19">
        <v>64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</row>
    <row r="9" spans="1:45" ht="13.5" customHeight="1">
      <c r="A9" s="17" t="s">
        <v>64</v>
      </c>
      <c r="B9" s="18" t="s">
        <v>65</v>
      </c>
      <c r="C9" s="17" t="s">
        <v>59</v>
      </c>
      <c r="D9" s="19">
        <v>780048</v>
      </c>
      <c r="E9" s="19">
        <v>628617</v>
      </c>
      <c r="F9" s="19">
        <v>140651</v>
      </c>
      <c r="G9" s="19">
        <v>56163</v>
      </c>
      <c r="H9" s="19">
        <v>1572</v>
      </c>
      <c r="I9" s="19">
        <v>0</v>
      </c>
      <c r="J9" s="19">
        <v>0</v>
      </c>
      <c r="K9" s="19">
        <v>140</v>
      </c>
      <c r="L9" s="19">
        <v>82776</v>
      </c>
      <c r="M9" s="19">
        <v>0</v>
      </c>
      <c r="N9" s="19">
        <v>5140</v>
      </c>
      <c r="O9" s="19">
        <v>5640</v>
      </c>
      <c r="P9" s="19">
        <v>675249</v>
      </c>
      <c r="Q9" s="19">
        <v>628617</v>
      </c>
      <c r="R9" s="19">
        <v>46632</v>
      </c>
      <c r="S9" s="19">
        <v>37879</v>
      </c>
      <c r="T9" s="19">
        <v>0</v>
      </c>
      <c r="U9" s="19">
        <v>0</v>
      </c>
      <c r="V9" s="19">
        <v>0</v>
      </c>
      <c r="W9" s="19">
        <v>0</v>
      </c>
      <c r="X9" s="19">
        <v>8753</v>
      </c>
      <c r="Y9" s="19">
        <v>0</v>
      </c>
      <c r="Z9" s="19">
        <v>92468</v>
      </c>
      <c r="AA9" s="19">
        <v>5140</v>
      </c>
      <c r="AB9" s="19">
        <v>79998</v>
      </c>
      <c r="AC9" s="19">
        <v>7330</v>
      </c>
      <c r="AD9" s="19">
        <v>5033</v>
      </c>
      <c r="AE9" s="19">
        <v>0</v>
      </c>
      <c r="AF9" s="19">
        <v>0</v>
      </c>
      <c r="AG9" s="19">
        <v>0</v>
      </c>
      <c r="AH9" s="19">
        <v>0</v>
      </c>
      <c r="AI9" s="19">
        <v>2297</v>
      </c>
      <c r="AJ9" s="19">
        <v>0</v>
      </c>
      <c r="AK9" s="17">
        <v>2</v>
      </c>
      <c r="AL9" s="17">
        <v>2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</row>
    <row r="10" spans="1:45" ht="13.5" customHeight="1">
      <c r="A10" s="17" t="s">
        <v>66</v>
      </c>
      <c r="B10" s="18" t="s">
        <v>67</v>
      </c>
      <c r="C10" s="17" t="s">
        <v>59</v>
      </c>
      <c r="D10" s="19">
        <v>341310</v>
      </c>
      <c r="E10" s="19">
        <v>287191</v>
      </c>
      <c r="F10" s="19">
        <v>38138</v>
      </c>
      <c r="G10" s="19">
        <v>13648</v>
      </c>
      <c r="H10" s="19">
        <v>782</v>
      </c>
      <c r="I10" s="19">
        <v>0</v>
      </c>
      <c r="J10" s="19">
        <v>0</v>
      </c>
      <c r="K10" s="19">
        <v>0</v>
      </c>
      <c r="L10" s="19">
        <v>23686</v>
      </c>
      <c r="M10" s="19">
        <v>22</v>
      </c>
      <c r="N10" s="19">
        <v>2941</v>
      </c>
      <c r="O10" s="19">
        <v>13040</v>
      </c>
      <c r="P10" s="19">
        <v>295460</v>
      </c>
      <c r="Q10" s="19">
        <v>287191</v>
      </c>
      <c r="R10" s="19">
        <v>8269</v>
      </c>
      <c r="S10" s="19">
        <v>6083</v>
      </c>
      <c r="T10" s="19">
        <v>0</v>
      </c>
      <c r="U10" s="19">
        <v>0</v>
      </c>
      <c r="V10" s="19">
        <v>0</v>
      </c>
      <c r="W10" s="19">
        <v>0</v>
      </c>
      <c r="X10" s="19">
        <v>2186</v>
      </c>
      <c r="Y10" s="19">
        <v>0</v>
      </c>
      <c r="Z10" s="19">
        <v>31766</v>
      </c>
      <c r="AA10" s="19">
        <v>2941</v>
      </c>
      <c r="AB10" s="19">
        <v>23038</v>
      </c>
      <c r="AC10" s="19">
        <v>5787</v>
      </c>
      <c r="AD10" s="19">
        <v>4751</v>
      </c>
      <c r="AE10" s="19">
        <v>0</v>
      </c>
      <c r="AF10" s="19">
        <v>0</v>
      </c>
      <c r="AG10" s="19">
        <v>0</v>
      </c>
      <c r="AH10" s="19">
        <v>0</v>
      </c>
      <c r="AI10" s="19">
        <v>1014</v>
      </c>
      <c r="AJ10" s="19">
        <v>22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</row>
    <row r="11" spans="1:45" ht="13.5" customHeight="1">
      <c r="A11" s="17" t="s">
        <v>68</v>
      </c>
      <c r="B11" s="18" t="s">
        <v>69</v>
      </c>
      <c r="C11" s="17" t="s">
        <v>59</v>
      </c>
      <c r="D11" s="19">
        <v>334209</v>
      </c>
      <c r="E11" s="19">
        <v>288805</v>
      </c>
      <c r="F11" s="19">
        <v>32128</v>
      </c>
      <c r="G11" s="19">
        <v>12648</v>
      </c>
      <c r="H11" s="19">
        <v>851</v>
      </c>
      <c r="I11" s="19">
        <v>0</v>
      </c>
      <c r="J11" s="19">
        <v>0</v>
      </c>
      <c r="K11" s="19">
        <v>0</v>
      </c>
      <c r="L11" s="19">
        <v>18122</v>
      </c>
      <c r="M11" s="19">
        <v>507</v>
      </c>
      <c r="N11" s="19">
        <v>1539</v>
      </c>
      <c r="O11" s="19">
        <v>11737</v>
      </c>
      <c r="P11" s="19">
        <v>298572</v>
      </c>
      <c r="Q11" s="19">
        <v>288805</v>
      </c>
      <c r="R11" s="19">
        <v>9767</v>
      </c>
      <c r="S11" s="19">
        <v>7127</v>
      </c>
      <c r="T11" s="19">
        <v>0</v>
      </c>
      <c r="U11" s="19">
        <v>0</v>
      </c>
      <c r="V11" s="19">
        <v>0</v>
      </c>
      <c r="W11" s="19">
        <v>0</v>
      </c>
      <c r="X11" s="19">
        <v>2640</v>
      </c>
      <c r="Y11" s="19">
        <v>0</v>
      </c>
      <c r="Z11" s="19">
        <v>32936</v>
      </c>
      <c r="AA11" s="19">
        <v>1539</v>
      </c>
      <c r="AB11" s="19">
        <v>26361</v>
      </c>
      <c r="AC11" s="19">
        <v>5036</v>
      </c>
      <c r="AD11" s="19">
        <v>2201</v>
      </c>
      <c r="AE11" s="19">
        <v>0</v>
      </c>
      <c r="AF11" s="19">
        <v>0</v>
      </c>
      <c r="AG11" s="19">
        <v>0</v>
      </c>
      <c r="AH11" s="19">
        <v>0</v>
      </c>
      <c r="AI11" s="19">
        <v>2328</v>
      </c>
      <c r="AJ11" s="19">
        <v>507</v>
      </c>
      <c r="AK11" s="17">
        <v>8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8</v>
      </c>
      <c r="AS11" s="17">
        <v>0</v>
      </c>
    </row>
    <row r="12" spans="1:45" ht="13.5" customHeight="1">
      <c r="A12" s="17" t="s">
        <v>70</v>
      </c>
      <c r="B12" s="18" t="s">
        <v>71</v>
      </c>
      <c r="C12" s="17" t="s">
        <v>59</v>
      </c>
      <c r="D12" s="19">
        <v>677679</v>
      </c>
      <c r="E12" s="19">
        <v>582341</v>
      </c>
      <c r="F12" s="19">
        <v>69277</v>
      </c>
      <c r="G12" s="19">
        <v>41031</v>
      </c>
      <c r="H12" s="19">
        <v>143</v>
      </c>
      <c r="I12" s="19">
        <v>0</v>
      </c>
      <c r="J12" s="19">
        <v>0</v>
      </c>
      <c r="K12" s="19">
        <v>7</v>
      </c>
      <c r="L12" s="19">
        <v>27498</v>
      </c>
      <c r="M12" s="19">
        <v>598</v>
      </c>
      <c r="N12" s="19">
        <v>2424</v>
      </c>
      <c r="O12" s="19">
        <v>23637</v>
      </c>
      <c r="P12" s="19">
        <v>597070</v>
      </c>
      <c r="Q12" s="19">
        <v>582341</v>
      </c>
      <c r="R12" s="19">
        <v>14729</v>
      </c>
      <c r="S12" s="19">
        <v>12763</v>
      </c>
      <c r="T12" s="19">
        <v>0</v>
      </c>
      <c r="U12" s="19">
        <v>0</v>
      </c>
      <c r="V12" s="19">
        <v>0</v>
      </c>
      <c r="W12" s="19">
        <v>0</v>
      </c>
      <c r="X12" s="19">
        <v>1966</v>
      </c>
      <c r="Y12" s="19">
        <v>0</v>
      </c>
      <c r="Z12" s="19">
        <v>80036</v>
      </c>
      <c r="AA12" s="19">
        <v>2424</v>
      </c>
      <c r="AB12" s="19">
        <v>64617</v>
      </c>
      <c r="AC12" s="19">
        <v>12995</v>
      </c>
      <c r="AD12" s="19">
        <v>11024</v>
      </c>
      <c r="AE12" s="19">
        <v>0</v>
      </c>
      <c r="AF12" s="19">
        <v>0</v>
      </c>
      <c r="AG12" s="19">
        <v>0</v>
      </c>
      <c r="AH12" s="19">
        <v>0</v>
      </c>
      <c r="AI12" s="19">
        <v>1373</v>
      </c>
      <c r="AJ12" s="19">
        <v>598</v>
      </c>
      <c r="AK12" s="17">
        <v>924</v>
      </c>
      <c r="AL12" s="17">
        <v>924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</row>
    <row r="13" spans="1:45" ht="13.5" customHeight="1">
      <c r="A13" s="17" t="s">
        <v>72</v>
      </c>
      <c r="B13" s="18" t="s">
        <v>73</v>
      </c>
      <c r="C13" s="17" t="s">
        <v>59</v>
      </c>
      <c r="D13" s="19">
        <v>997945</v>
      </c>
      <c r="E13" s="19">
        <v>766455</v>
      </c>
      <c r="F13" s="19">
        <v>160606</v>
      </c>
      <c r="G13" s="19">
        <v>42541</v>
      </c>
      <c r="H13" s="19">
        <v>10519</v>
      </c>
      <c r="I13" s="19">
        <v>0</v>
      </c>
      <c r="J13" s="19">
        <v>0</v>
      </c>
      <c r="K13" s="19">
        <v>40704</v>
      </c>
      <c r="L13" s="19">
        <v>65976</v>
      </c>
      <c r="M13" s="19">
        <v>866</v>
      </c>
      <c r="N13" s="19">
        <v>202</v>
      </c>
      <c r="O13" s="19">
        <v>70682</v>
      </c>
      <c r="P13" s="19">
        <v>804267</v>
      </c>
      <c r="Q13" s="19">
        <v>766455</v>
      </c>
      <c r="R13" s="19">
        <v>37812</v>
      </c>
      <c r="S13" s="19">
        <v>18664</v>
      </c>
      <c r="T13" s="19">
        <v>104</v>
      </c>
      <c r="U13" s="19">
        <v>0</v>
      </c>
      <c r="V13" s="19">
        <v>0</v>
      </c>
      <c r="W13" s="19">
        <v>0</v>
      </c>
      <c r="X13" s="19">
        <v>18469</v>
      </c>
      <c r="Y13" s="19">
        <v>575</v>
      </c>
      <c r="Z13" s="19">
        <v>65960</v>
      </c>
      <c r="AA13" s="19">
        <v>202</v>
      </c>
      <c r="AB13" s="19">
        <v>57341</v>
      </c>
      <c r="AC13" s="19">
        <v>8417</v>
      </c>
      <c r="AD13" s="19">
        <v>6290</v>
      </c>
      <c r="AE13" s="19">
        <v>0</v>
      </c>
      <c r="AF13" s="19">
        <v>0</v>
      </c>
      <c r="AG13" s="19">
        <v>0</v>
      </c>
      <c r="AH13" s="19">
        <v>0</v>
      </c>
      <c r="AI13" s="19">
        <v>1836</v>
      </c>
      <c r="AJ13" s="19">
        <v>291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</row>
    <row r="14" spans="1:45" ht="13.5" customHeight="1">
      <c r="A14" s="17" t="s">
        <v>74</v>
      </c>
      <c r="B14" s="18" t="s">
        <v>75</v>
      </c>
      <c r="C14" s="17" t="s">
        <v>59</v>
      </c>
      <c r="D14" s="19">
        <v>634043</v>
      </c>
      <c r="E14" s="19">
        <v>525570</v>
      </c>
      <c r="F14" s="19">
        <v>82734</v>
      </c>
      <c r="G14" s="19">
        <v>24524</v>
      </c>
      <c r="H14" s="19">
        <v>5310</v>
      </c>
      <c r="I14" s="19">
        <v>0</v>
      </c>
      <c r="J14" s="19">
        <v>0</v>
      </c>
      <c r="K14" s="19">
        <v>3</v>
      </c>
      <c r="L14" s="19">
        <v>52897</v>
      </c>
      <c r="M14" s="19">
        <v>0</v>
      </c>
      <c r="N14" s="19">
        <v>0</v>
      </c>
      <c r="O14" s="19">
        <v>25739</v>
      </c>
      <c r="P14" s="19">
        <v>542497</v>
      </c>
      <c r="Q14" s="19">
        <v>525570</v>
      </c>
      <c r="R14" s="19">
        <v>16927</v>
      </c>
      <c r="S14" s="19">
        <v>5828</v>
      </c>
      <c r="T14" s="19">
        <v>251</v>
      </c>
      <c r="U14" s="19">
        <v>0</v>
      </c>
      <c r="V14" s="19">
        <v>0</v>
      </c>
      <c r="W14" s="19">
        <v>0</v>
      </c>
      <c r="X14" s="19">
        <v>10848</v>
      </c>
      <c r="Y14" s="19">
        <v>0</v>
      </c>
      <c r="Z14" s="19">
        <v>57595</v>
      </c>
      <c r="AA14" s="19">
        <v>0</v>
      </c>
      <c r="AB14" s="19">
        <v>44402</v>
      </c>
      <c r="AC14" s="19">
        <v>13193</v>
      </c>
      <c r="AD14" s="19">
        <v>6563</v>
      </c>
      <c r="AE14" s="19">
        <v>1</v>
      </c>
      <c r="AF14" s="19">
        <v>0</v>
      </c>
      <c r="AG14" s="19">
        <v>0</v>
      </c>
      <c r="AH14" s="19">
        <v>0</v>
      </c>
      <c r="AI14" s="19">
        <v>6629</v>
      </c>
      <c r="AJ14" s="19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</row>
    <row r="15" spans="1:45" ht="13.5" customHeight="1">
      <c r="A15" s="17" t="s">
        <v>76</v>
      </c>
      <c r="B15" s="18" t="s">
        <v>77</v>
      </c>
      <c r="C15" s="17" t="s">
        <v>59</v>
      </c>
      <c r="D15" s="19">
        <v>667000</v>
      </c>
      <c r="E15" s="19">
        <v>568206</v>
      </c>
      <c r="F15" s="19">
        <v>73667</v>
      </c>
      <c r="G15" s="19">
        <v>45605</v>
      </c>
      <c r="H15" s="19">
        <v>669</v>
      </c>
      <c r="I15" s="19">
        <v>22</v>
      </c>
      <c r="J15" s="19">
        <v>0</v>
      </c>
      <c r="K15" s="19">
        <v>341</v>
      </c>
      <c r="L15" s="19">
        <v>23976</v>
      </c>
      <c r="M15" s="19">
        <v>3054</v>
      </c>
      <c r="N15" s="19">
        <v>754</v>
      </c>
      <c r="O15" s="19">
        <v>24373</v>
      </c>
      <c r="P15" s="19">
        <v>588588</v>
      </c>
      <c r="Q15" s="19">
        <v>568206</v>
      </c>
      <c r="R15" s="19">
        <v>20382</v>
      </c>
      <c r="S15" s="19">
        <v>16773</v>
      </c>
      <c r="T15" s="19">
        <v>108</v>
      </c>
      <c r="U15" s="19">
        <v>0</v>
      </c>
      <c r="V15" s="19">
        <v>0</v>
      </c>
      <c r="W15" s="19">
        <v>0</v>
      </c>
      <c r="X15" s="19">
        <v>1935</v>
      </c>
      <c r="Y15" s="19">
        <v>1566</v>
      </c>
      <c r="Z15" s="19">
        <v>67296</v>
      </c>
      <c r="AA15" s="19">
        <v>754</v>
      </c>
      <c r="AB15" s="19">
        <v>55753</v>
      </c>
      <c r="AC15" s="19">
        <v>10789</v>
      </c>
      <c r="AD15" s="19">
        <v>9897</v>
      </c>
      <c r="AE15" s="19">
        <v>0</v>
      </c>
      <c r="AF15" s="19">
        <v>0</v>
      </c>
      <c r="AG15" s="19">
        <v>0</v>
      </c>
      <c r="AH15" s="19">
        <v>0</v>
      </c>
      <c r="AI15" s="19">
        <v>485</v>
      </c>
      <c r="AJ15" s="19">
        <v>407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</row>
    <row r="16" spans="1:45" ht="13.5" customHeight="1">
      <c r="A16" s="17" t="s">
        <v>78</v>
      </c>
      <c r="B16" s="18" t="s">
        <v>79</v>
      </c>
      <c r="C16" s="17" t="s">
        <v>59</v>
      </c>
      <c r="D16" s="19">
        <v>2189208</v>
      </c>
      <c r="E16" s="19">
        <v>1758814</v>
      </c>
      <c r="F16" s="19">
        <v>283528</v>
      </c>
      <c r="G16" s="19">
        <v>94419</v>
      </c>
      <c r="H16" s="19">
        <v>1174</v>
      </c>
      <c r="I16" s="19">
        <v>0</v>
      </c>
      <c r="J16" s="19">
        <v>1049</v>
      </c>
      <c r="K16" s="19">
        <v>312</v>
      </c>
      <c r="L16" s="19">
        <v>184011</v>
      </c>
      <c r="M16" s="19">
        <v>2563</v>
      </c>
      <c r="N16" s="19">
        <v>1304</v>
      </c>
      <c r="O16" s="19">
        <v>145562</v>
      </c>
      <c r="P16" s="19">
        <v>1834790</v>
      </c>
      <c r="Q16" s="19">
        <v>1758814</v>
      </c>
      <c r="R16" s="19">
        <v>75976</v>
      </c>
      <c r="S16" s="19">
        <v>52567</v>
      </c>
      <c r="T16" s="19">
        <v>0</v>
      </c>
      <c r="U16" s="19">
        <v>0</v>
      </c>
      <c r="V16" s="19">
        <v>0</v>
      </c>
      <c r="W16" s="19">
        <v>0</v>
      </c>
      <c r="X16" s="19">
        <v>21505</v>
      </c>
      <c r="Y16" s="19">
        <v>1904</v>
      </c>
      <c r="Z16" s="19">
        <v>85774</v>
      </c>
      <c r="AA16" s="19">
        <v>1304</v>
      </c>
      <c r="AB16" s="19">
        <v>66779</v>
      </c>
      <c r="AC16" s="19">
        <v>17691</v>
      </c>
      <c r="AD16" s="19">
        <v>8830</v>
      </c>
      <c r="AE16" s="19">
        <v>0</v>
      </c>
      <c r="AF16" s="19">
        <v>0</v>
      </c>
      <c r="AG16" s="19">
        <v>0</v>
      </c>
      <c r="AH16" s="19">
        <v>0</v>
      </c>
      <c r="AI16" s="19">
        <v>8481</v>
      </c>
      <c r="AJ16" s="19">
        <v>380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</row>
    <row r="17" spans="1:45" ht="13.5" customHeight="1">
      <c r="A17" s="17" t="s">
        <v>80</v>
      </c>
      <c r="B17" s="18" t="s">
        <v>81</v>
      </c>
      <c r="C17" s="17" t="s">
        <v>59</v>
      </c>
      <c r="D17" s="19">
        <v>1950720</v>
      </c>
      <c r="E17" s="19">
        <v>1544247</v>
      </c>
      <c r="F17" s="19">
        <v>271372</v>
      </c>
      <c r="G17" s="19">
        <v>113486</v>
      </c>
      <c r="H17" s="19">
        <v>3479</v>
      </c>
      <c r="I17" s="19">
        <v>877</v>
      </c>
      <c r="J17" s="19">
        <v>248</v>
      </c>
      <c r="K17" s="19">
        <v>229</v>
      </c>
      <c r="L17" s="19">
        <v>147642</v>
      </c>
      <c r="M17" s="19">
        <v>5411</v>
      </c>
      <c r="N17" s="19">
        <v>2169</v>
      </c>
      <c r="O17" s="19">
        <v>132932</v>
      </c>
      <c r="P17" s="19">
        <v>1622547</v>
      </c>
      <c r="Q17" s="19">
        <v>1544247</v>
      </c>
      <c r="R17" s="19">
        <v>78300</v>
      </c>
      <c r="S17" s="19">
        <v>64024</v>
      </c>
      <c r="T17" s="19">
        <v>0</v>
      </c>
      <c r="U17" s="19">
        <v>0</v>
      </c>
      <c r="V17" s="19">
        <v>0</v>
      </c>
      <c r="W17" s="19">
        <v>0</v>
      </c>
      <c r="X17" s="19">
        <v>14276</v>
      </c>
      <c r="Y17" s="19">
        <v>0</v>
      </c>
      <c r="Z17" s="19">
        <v>121610</v>
      </c>
      <c r="AA17" s="19">
        <v>2169</v>
      </c>
      <c r="AB17" s="19">
        <v>107445</v>
      </c>
      <c r="AC17" s="19">
        <v>11996</v>
      </c>
      <c r="AD17" s="19">
        <v>7204</v>
      </c>
      <c r="AE17" s="19">
        <v>0</v>
      </c>
      <c r="AF17" s="19">
        <v>0</v>
      </c>
      <c r="AG17" s="19">
        <v>0</v>
      </c>
      <c r="AH17" s="19">
        <v>0</v>
      </c>
      <c r="AI17" s="19">
        <v>4189</v>
      </c>
      <c r="AJ17" s="19">
        <v>603</v>
      </c>
      <c r="AK17" s="17">
        <v>1159</v>
      </c>
      <c r="AL17" s="17">
        <v>1159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</row>
    <row r="18" spans="1:45" ht="13.5" customHeight="1">
      <c r="A18" s="17" t="s">
        <v>82</v>
      </c>
      <c r="B18" s="18" t="s">
        <v>83</v>
      </c>
      <c r="C18" s="17" t="s">
        <v>59</v>
      </c>
      <c r="D18" s="19">
        <v>3998667</v>
      </c>
      <c r="E18" s="19">
        <v>3138630</v>
      </c>
      <c r="F18" s="19">
        <v>393372</v>
      </c>
      <c r="G18" s="19">
        <v>188752</v>
      </c>
      <c r="H18" s="19">
        <v>3485</v>
      </c>
      <c r="I18" s="19">
        <v>0</v>
      </c>
      <c r="J18" s="19">
        <v>3654</v>
      </c>
      <c r="K18" s="19">
        <v>112</v>
      </c>
      <c r="L18" s="19">
        <v>196440</v>
      </c>
      <c r="M18" s="19">
        <v>929</v>
      </c>
      <c r="N18" s="19">
        <v>2463</v>
      </c>
      <c r="O18" s="19">
        <v>464202</v>
      </c>
      <c r="P18" s="19">
        <v>3308372</v>
      </c>
      <c r="Q18" s="19">
        <v>3138630</v>
      </c>
      <c r="R18" s="19">
        <v>169742</v>
      </c>
      <c r="S18" s="19">
        <v>129053</v>
      </c>
      <c r="T18" s="19">
        <v>0</v>
      </c>
      <c r="U18" s="19">
        <v>0</v>
      </c>
      <c r="V18" s="19">
        <v>2436</v>
      </c>
      <c r="W18" s="19">
        <v>0</v>
      </c>
      <c r="X18" s="19">
        <v>37670</v>
      </c>
      <c r="Y18" s="19">
        <v>583</v>
      </c>
      <c r="Z18" s="19">
        <v>224419</v>
      </c>
      <c r="AA18" s="19">
        <v>2463</v>
      </c>
      <c r="AB18" s="19">
        <v>199489</v>
      </c>
      <c r="AC18" s="19">
        <v>22467</v>
      </c>
      <c r="AD18" s="19">
        <v>2890</v>
      </c>
      <c r="AE18" s="19">
        <v>0</v>
      </c>
      <c r="AF18" s="19">
        <v>0</v>
      </c>
      <c r="AG18" s="19">
        <v>0</v>
      </c>
      <c r="AH18" s="19">
        <v>0</v>
      </c>
      <c r="AI18" s="19">
        <v>19253</v>
      </c>
      <c r="AJ18" s="19">
        <v>324</v>
      </c>
      <c r="AK18" s="17">
        <v>2</v>
      </c>
      <c r="AL18" s="17">
        <v>1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1</v>
      </c>
      <c r="AS18" s="17">
        <v>0</v>
      </c>
    </row>
    <row r="19" spans="1:45" ht="13.5" customHeight="1">
      <c r="A19" s="17" t="s">
        <v>84</v>
      </c>
      <c r="B19" s="18" t="s">
        <v>85</v>
      </c>
      <c r="C19" s="17" t="s">
        <v>59</v>
      </c>
      <c r="D19" s="19">
        <v>2528035</v>
      </c>
      <c r="E19" s="19">
        <v>2024008</v>
      </c>
      <c r="F19" s="19">
        <v>403257</v>
      </c>
      <c r="G19" s="19">
        <v>90179</v>
      </c>
      <c r="H19" s="19">
        <v>7666</v>
      </c>
      <c r="I19" s="19">
        <v>0</v>
      </c>
      <c r="J19" s="19">
        <v>1798</v>
      </c>
      <c r="K19" s="19">
        <v>14465</v>
      </c>
      <c r="L19" s="19">
        <v>289142</v>
      </c>
      <c r="M19" s="19">
        <v>7</v>
      </c>
      <c r="N19" s="19">
        <v>3276</v>
      </c>
      <c r="O19" s="19">
        <v>97494</v>
      </c>
      <c r="P19" s="19">
        <v>2105633</v>
      </c>
      <c r="Q19" s="19">
        <v>2024008</v>
      </c>
      <c r="R19" s="19">
        <v>81625</v>
      </c>
      <c r="S19" s="19">
        <v>67303</v>
      </c>
      <c r="T19" s="19">
        <v>99</v>
      </c>
      <c r="U19" s="19">
        <v>0</v>
      </c>
      <c r="V19" s="19">
        <v>750</v>
      </c>
      <c r="W19" s="19">
        <v>0</v>
      </c>
      <c r="X19" s="19">
        <v>13470</v>
      </c>
      <c r="Y19" s="19">
        <v>3</v>
      </c>
      <c r="Z19" s="19">
        <v>222804</v>
      </c>
      <c r="AA19" s="19">
        <v>3276</v>
      </c>
      <c r="AB19" s="19">
        <v>215591</v>
      </c>
      <c r="AC19" s="19">
        <v>3937</v>
      </c>
      <c r="AD19" s="19">
        <v>3922</v>
      </c>
      <c r="AE19" s="19">
        <v>0</v>
      </c>
      <c r="AF19" s="19">
        <v>0</v>
      </c>
      <c r="AG19" s="19">
        <v>0</v>
      </c>
      <c r="AH19" s="19">
        <v>0</v>
      </c>
      <c r="AI19" s="19">
        <v>11</v>
      </c>
      <c r="AJ19" s="19">
        <v>4</v>
      </c>
      <c r="AK19" s="17">
        <v>128</v>
      </c>
      <c r="AL19" s="17">
        <v>128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</row>
    <row r="20" spans="1:45" ht="13.5" customHeight="1">
      <c r="A20" s="17" t="s">
        <v>86</v>
      </c>
      <c r="B20" s="18" t="s">
        <v>87</v>
      </c>
      <c r="C20" s="17" t="s">
        <v>59</v>
      </c>
      <c r="D20" s="19">
        <v>772316</v>
      </c>
      <c r="E20" s="19">
        <v>588673</v>
      </c>
      <c r="F20" s="19">
        <v>116489</v>
      </c>
      <c r="G20" s="19">
        <v>26634</v>
      </c>
      <c r="H20" s="19">
        <v>5904</v>
      </c>
      <c r="I20" s="19">
        <v>0</v>
      </c>
      <c r="J20" s="19">
        <v>16667</v>
      </c>
      <c r="K20" s="19">
        <v>2</v>
      </c>
      <c r="L20" s="19">
        <v>67170</v>
      </c>
      <c r="M20" s="19">
        <v>112</v>
      </c>
      <c r="N20" s="19">
        <v>5933</v>
      </c>
      <c r="O20" s="19">
        <v>61221</v>
      </c>
      <c r="P20" s="19">
        <v>613790</v>
      </c>
      <c r="Q20" s="19">
        <v>588673</v>
      </c>
      <c r="R20" s="19">
        <v>25117</v>
      </c>
      <c r="S20" s="19">
        <v>14784</v>
      </c>
      <c r="T20" s="19">
        <v>0</v>
      </c>
      <c r="U20" s="19">
        <v>0</v>
      </c>
      <c r="V20" s="19">
        <v>2529</v>
      </c>
      <c r="W20" s="19">
        <v>0</v>
      </c>
      <c r="X20" s="19">
        <v>7804</v>
      </c>
      <c r="Y20" s="19">
        <v>0</v>
      </c>
      <c r="Z20" s="19">
        <v>72784</v>
      </c>
      <c r="AA20" s="19">
        <v>5933</v>
      </c>
      <c r="AB20" s="19">
        <v>55131</v>
      </c>
      <c r="AC20" s="19">
        <v>11720</v>
      </c>
      <c r="AD20" s="19">
        <v>4537</v>
      </c>
      <c r="AE20" s="19">
        <v>0</v>
      </c>
      <c r="AF20" s="19">
        <v>0</v>
      </c>
      <c r="AG20" s="19">
        <v>0</v>
      </c>
      <c r="AH20" s="19">
        <v>0</v>
      </c>
      <c r="AI20" s="19">
        <v>7071</v>
      </c>
      <c r="AJ20" s="19">
        <v>112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</row>
    <row r="21" spans="1:45" ht="13.5" customHeight="1">
      <c r="A21" s="17" t="s">
        <v>88</v>
      </c>
      <c r="B21" s="18" t="s">
        <v>89</v>
      </c>
      <c r="C21" s="17" t="s">
        <v>59</v>
      </c>
      <c r="D21" s="19">
        <v>375154</v>
      </c>
      <c r="E21" s="19">
        <v>288803</v>
      </c>
      <c r="F21" s="19">
        <v>71524</v>
      </c>
      <c r="G21" s="19">
        <v>17095</v>
      </c>
      <c r="H21" s="19">
        <v>9425</v>
      </c>
      <c r="I21" s="19">
        <v>2925</v>
      </c>
      <c r="J21" s="19">
        <v>3708</v>
      </c>
      <c r="K21" s="19">
        <v>25129</v>
      </c>
      <c r="L21" s="19">
        <v>13237</v>
      </c>
      <c r="M21" s="19">
        <v>5</v>
      </c>
      <c r="N21" s="19">
        <v>2987</v>
      </c>
      <c r="O21" s="19">
        <v>11840</v>
      </c>
      <c r="P21" s="19">
        <v>297189</v>
      </c>
      <c r="Q21" s="19">
        <v>288803</v>
      </c>
      <c r="R21" s="19">
        <v>8386</v>
      </c>
      <c r="S21" s="19">
        <v>7338</v>
      </c>
      <c r="T21" s="19">
        <v>0</v>
      </c>
      <c r="U21" s="19">
        <v>0</v>
      </c>
      <c r="V21" s="19">
        <v>0</v>
      </c>
      <c r="W21" s="19">
        <v>195</v>
      </c>
      <c r="X21" s="19">
        <v>848</v>
      </c>
      <c r="Y21" s="19">
        <v>5</v>
      </c>
      <c r="Z21" s="19">
        <v>35628</v>
      </c>
      <c r="AA21" s="19">
        <v>2987</v>
      </c>
      <c r="AB21" s="19">
        <v>29804</v>
      </c>
      <c r="AC21" s="19">
        <v>2837</v>
      </c>
      <c r="AD21" s="19">
        <v>2473</v>
      </c>
      <c r="AE21" s="19">
        <v>0</v>
      </c>
      <c r="AF21" s="19">
        <v>0</v>
      </c>
      <c r="AG21" s="19">
        <v>0</v>
      </c>
      <c r="AH21" s="19">
        <v>23</v>
      </c>
      <c r="AI21" s="19">
        <v>341</v>
      </c>
      <c r="AJ21" s="19">
        <v>0</v>
      </c>
      <c r="AK21" s="17">
        <v>38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38</v>
      </c>
      <c r="AS21" s="17">
        <v>0</v>
      </c>
    </row>
    <row r="22" spans="1:45" ht="13.5" customHeight="1">
      <c r="A22" s="17" t="s">
        <v>90</v>
      </c>
      <c r="B22" s="18" t="s">
        <v>91</v>
      </c>
      <c r="C22" s="17" t="s">
        <v>59</v>
      </c>
      <c r="D22" s="19">
        <v>366731</v>
      </c>
      <c r="E22" s="19">
        <v>213639</v>
      </c>
      <c r="F22" s="19">
        <v>124817</v>
      </c>
      <c r="G22" s="19">
        <v>6188</v>
      </c>
      <c r="H22" s="19">
        <v>954</v>
      </c>
      <c r="I22" s="19">
        <v>0</v>
      </c>
      <c r="J22" s="19">
        <v>25</v>
      </c>
      <c r="K22" s="19">
        <v>68424</v>
      </c>
      <c r="L22" s="19">
        <v>45176</v>
      </c>
      <c r="M22" s="19">
        <v>4050</v>
      </c>
      <c r="N22" s="19">
        <v>10422</v>
      </c>
      <c r="O22" s="19">
        <v>17853</v>
      </c>
      <c r="P22" s="19">
        <v>272347</v>
      </c>
      <c r="Q22" s="19">
        <v>213639</v>
      </c>
      <c r="R22" s="19">
        <v>58708</v>
      </c>
      <c r="S22" s="19">
        <v>662</v>
      </c>
      <c r="T22" s="19">
        <v>0</v>
      </c>
      <c r="U22" s="19">
        <v>0</v>
      </c>
      <c r="V22" s="19">
        <v>0</v>
      </c>
      <c r="W22" s="19">
        <v>37264</v>
      </c>
      <c r="X22" s="19">
        <v>16733</v>
      </c>
      <c r="Y22" s="19">
        <v>4049</v>
      </c>
      <c r="Z22" s="19">
        <v>42466</v>
      </c>
      <c r="AA22" s="19">
        <v>10422</v>
      </c>
      <c r="AB22" s="19">
        <v>23866</v>
      </c>
      <c r="AC22" s="19">
        <v>8178</v>
      </c>
      <c r="AD22" s="19">
        <v>702</v>
      </c>
      <c r="AE22" s="19">
        <v>0</v>
      </c>
      <c r="AF22" s="19">
        <v>0</v>
      </c>
      <c r="AG22" s="19">
        <v>0</v>
      </c>
      <c r="AH22" s="19">
        <v>448</v>
      </c>
      <c r="AI22" s="19">
        <v>7027</v>
      </c>
      <c r="AJ22" s="19">
        <v>1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</row>
    <row r="23" spans="1:45" ht="13.5" customHeight="1">
      <c r="A23" s="17" t="s">
        <v>92</v>
      </c>
      <c r="B23" s="18" t="s">
        <v>93</v>
      </c>
      <c r="C23" s="17" t="s">
        <v>59</v>
      </c>
      <c r="D23" s="19">
        <v>249536</v>
      </c>
      <c r="E23" s="19">
        <v>201394</v>
      </c>
      <c r="F23" s="19">
        <v>41446</v>
      </c>
      <c r="G23" s="19">
        <v>28031</v>
      </c>
      <c r="H23" s="19">
        <v>138</v>
      </c>
      <c r="I23" s="19">
        <v>0</v>
      </c>
      <c r="J23" s="19">
        <v>0</v>
      </c>
      <c r="K23" s="19">
        <v>0</v>
      </c>
      <c r="L23" s="19">
        <v>13277</v>
      </c>
      <c r="M23" s="19">
        <v>0</v>
      </c>
      <c r="N23" s="19">
        <v>931</v>
      </c>
      <c r="O23" s="19">
        <v>5765</v>
      </c>
      <c r="P23" s="19">
        <v>220310</v>
      </c>
      <c r="Q23" s="19">
        <v>201394</v>
      </c>
      <c r="R23" s="19">
        <v>18916</v>
      </c>
      <c r="S23" s="19">
        <v>16757</v>
      </c>
      <c r="T23" s="19">
        <v>0</v>
      </c>
      <c r="U23" s="19">
        <v>0</v>
      </c>
      <c r="V23" s="19">
        <v>0</v>
      </c>
      <c r="W23" s="19">
        <v>0</v>
      </c>
      <c r="X23" s="19">
        <v>2159</v>
      </c>
      <c r="Y23" s="19">
        <v>0</v>
      </c>
      <c r="Z23" s="19">
        <v>27708</v>
      </c>
      <c r="AA23" s="19">
        <v>931</v>
      </c>
      <c r="AB23" s="19">
        <v>23468</v>
      </c>
      <c r="AC23" s="19">
        <v>3309</v>
      </c>
      <c r="AD23" s="19">
        <v>3024</v>
      </c>
      <c r="AE23" s="19">
        <v>0</v>
      </c>
      <c r="AF23" s="19">
        <v>0</v>
      </c>
      <c r="AG23" s="19">
        <v>0</v>
      </c>
      <c r="AH23" s="19">
        <v>0</v>
      </c>
      <c r="AI23" s="19">
        <v>285</v>
      </c>
      <c r="AJ23" s="19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</row>
    <row r="24" spans="1:45" ht="13.5" customHeight="1">
      <c r="A24" s="17" t="s">
        <v>94</v>
      </c>
      <c r="B24" s="18" t="s">
        <v>95</v>
      </c>
      <c r="C24" s="17" t="s">
        <v>59</v>
      </c>
      <c r="D24" s="19">
        <v>274925</v>
      </c>
      <c r="E24" s="19">
        <v>233658</v>
      </c>
      <c r="F24" s="19">
        <v>30434</v>
      </c>
      <c r="G24" s="19">
        <v>18868</v>
      </c>
      <c r="H24" s="19">
        <v>195</v>
      </c>
      <c r="I24" s="19">
        <v>0</v>
      </c>
      <c r="J24" s="19">
        <v>0</v>
      </c>
      <c r="K24" s="19">
        <v>0</v>
      </c>
      <c r="L24" s="19">
        <v>11344</v>
      </c>
      <c r="M24" s="19">
        <v>27</v>
      </c>
      <c r="N24" s="19">
        <v>0</v>
      </c>
      <c r="O24" s="19">
        <v>10833</v>
      </c>
      <c r="P24" s="19">
        <v>234588</v>
      </c>
      <c r="Q24" s="19">
        <v>233658</v>
      </c>
      <c r="R24" s="19">
        <v>930</v>
      </c>
      <c r="S24" s="19">
        <v>612</v>
      </c>
      <c r="T24" s="19">
        <v>0</v>
      </c>
      <c r="U24" s="19">
        <v>0</v>
      </c>
      <c r="V24" s="19">
        <v>0</v>
      </c>
      <c r="W24" s="19">
        <v>0</v>
      </c>
      <c r="X24" s="19">
        <v>318</v>
      </c>
      <c r="Y24" s="19">
        <v>0</v>
      </c>
      <c r="Z24" s="19">
        <v>19307</v>
      </c>
      <c r="AA24" s="19">
        <v>0</v>
      </c>
      <c r="AB24" s="19">
        <v>15820</v>
      </c>
      <c r="AC24" s="19">
        <v>3487</v>
      </c>
      <c r="AD24" s="19">
        <v>3042</v>
      </c>
      <c r="AE24" s="19">
        <v>0</v>
      </c>
      <c r="AF24" s="19">
        <v>0</v>
      </c>
      <c r="AG24" s="19">
        <v>0</v>
      </c>
      <c r="AH24" s="19">
        <v>0</v>
      </c>
      <c r="AI24" s="19">
        <v>422</v>
      </c>
      <c r="AJ24" s="19">
        <v>23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</row>
    <row r="25" spans="1:45" ht="13.5" customHeight="1">
      <c r="A25" s="17" t="s">
        <v>96</v>
      </c>
      <c r="B25" s="18" t="s">
        <v>97</v>
      </c>
      <c r="C25" s="17" t="s">
        <v>59</v>
      </c>
      <c r="D25" s="19">
        <v>587485</v>
      </c>
      <c r="E25" s="19">
        <v>470929</v>
      </c>
      <c r="F25" s="19">
        <v>62756</v>
      </c>
      <c r="G25" s="19">
        <v>14931</v>
      </c>
      <c r="H25" s="19">
        <v>5739</v>
      </c>
      <c r="I25" s="19">
        <v>0</v>
      </c>
      <c r="J25" s="19">
        <v>0</v>
      </c>
      <c r="K25" s="19">
        <v>3</v>
      </c>
      <c r="L25" s="19">
        <v>40507</v>
      </c>
      <c r="M25" s="19">
        <v>1576</v>
      </c>
      <c r="N25" s="19">
        <v>4834</v>
      </c>
      <c r="O25" s="19">
        <v>48966</v>
      </c>
      <c r="P25" s="19">
        <v>480926</v>
      </c>
      <c r="Q25" s="19">
        <v>470929</v>
      </c>
      <c r="R25" s="19">
        <v>9997</v>
      </c>
      <c r="S25" s="19">
        <v>9362</v>
      </c>
      <c r="T25" s="19">
        <v>0</v>
      </c>
      <c r="U25" s="19">
        <v>0</v>
      </c>
      <c r="V25" s="19">
        <v>0</v>
      </c>
      <c r="W25" s="19">
        <v>0</v>
      </c>
      <c r="X25" s="19">
        <v>635</v>
      </c>
      <c r="Y25" s="19">
        <v>0</v>
      </c>
      <c r="Z25" s="19">
        <v>29554</v>
      </c>
      <c r="AA25" s="19">
        <v>4834</v>
      </c>
      <c r="AB25" s="19">
        <v>21242</v>
      </c>
      <c r="AC25" s="19">
        <v>3478</v>
      </c>
      <c r="AD25" s="19">
        <v>658</v>
      </c>
      <c r="AE25" s="19">
        <v>0</v>
      </c>
      <c r="AF25" s="19">
        <v>0</v>
      </c>
      <c r="AG25" s="19">
        <v>0</v>
      </c>
      <c r="AH25" s="19">
        <v>0</v>
      </c>
      <c r="AI25" s="19">
        <v>1330</v>
      </c>
      <c r="AJ25" s="19">
        <v>1490</v>
      </c>
      <c r="AK25" s="17">
        <v>1449</v>
      </c>
      <c r="AL25" s="17">
        <v>1449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</row>
    <row r="26" spans="1:45" ht="13.5" customHeight="1">
      <c r="A26" s="17" t="s">
        <v>98</v>
      </c>
      <c r="B26" s="18" t="s">
        <v>99</v>
      </c>
      <c r="C26" s="17" t="s">
        <v>59</v>
      </c>
      <c r="D26" s="19">
        <v>611612</v>
      </c>
      <c r="E26" s="19">
        <v>502960</v>
      </c>
      <c r="F26" s="19">
        <v>82888</v>
      </c>
      <c r="G26" s="19">
        <v>29231</v>
      </c>
      <c r="H26" s="19">
        <v>642</v>
      </c>
      <c r="I26" s="19">
        <v>0</v>
      </c>
      <c r="J26" s="19">
        <v>0</v>
      </c>
      <c r="K26" s="19">
        <v>17737</v>
      </c>
      <c r="L26" s="19">
        <v>34723</v>
      </c>
      <c r="M26" s="19">
        <v>555</v>
      </c>
      <c r="N26" s="19">
        <v>9502</v>
      </c>
      <c r="O26" s="19">
        <v>16262</v>
      </c>
      <c r="P26" s="19">
        <v>526540</v>
      </c>
      <c r="Q26" s="19">
        <v>502960</v>
      </c>
      <c r="R26" s="19">
        <v>23580</v>
      </c>
      <c r="S26" s="19">
        <v>20602</v>
      </c>
      <c r="T26" s="19">
        <v>0</v>
      </c>
      <c r="U26" s="19">
        <v>0</v>
      </c>
      <c r="V26" s="19">
        <v>0</v>
      </c>
      <c r="W26" s="19">
        <v>0</v>
      </c>
      <c r="X26" s="19">
        <v>2978</v>
      </c>
      <c r="Y26" s="19">
        <v>0</v>
      </c>
      <c r="Z26" s="19">
        <v>45997</v>
      </c>
      <c r="AA26" s="19">
        <v>9502</v>
      </c>
      <c r="AB26" s="19">
        <v>33525</v>
      </c>
      <c r="AC26" s="19">
        <v>2970</v>
      </c>
      <c r="AD26" s="19">
        <v>796</v>
      </c>
      <c r="AE26" s="19">
        <v>0</v>
      </c>
      <c r="AF26" s="19">
        <v>0</v>
      </c>
      <c r="AG26" s="19">
        <v>0</v>
      </c>
      <c r="AH26" s="19">
        <v>1</v>
      </c>
      <c r="AI26" s="19">
        <v>1902</v>
      </c>
      <c r="AJ26" s="19">
        <v>271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</row>
    <row r="27" spans="1:45" ht="13.5" customHeight="1">
      <c r="A27" s="17" t="s">
        <v>100</v>
      </c>
      <c r="B27" s="18" t="s">
        <v>101</v>
      </c>
      <c r="C27" s="17" t="s">
        <v>59</v>
      </c>
      <c r="D27" s="19">
        <v>1094069</v>
      </c>
      <c r="E27" s="19">
        <v>940248</v>
      </c>
      <c r="F27" s="19">
        <v>109299</v>
      </c>
      <c r="G27" s="19">
        <v>41093</v>
      </c>
      <c r="H27" s="19">
        <v>2052</v>
      </c>
      <c r="I27" s="19">
        <v>0</v>
      </c>
      <c r="J27" s="19">
        <v>0</v>
      </c>
      <c r="K27" s="19">
        <v>572</v>
      </c>
      <c r="L27" s="19">
        <v>63515</v>
      </c>
      <c r="M27" s="19">
        <v>2067</v>
      </c>
      <c r="N27" s="19">
        <v>5718</v>
      </c>
      <c r="O27" s="19">
        <v>38804</v>
      </c>
      <c r="P27" s="19">
        <v>961768</v>
      </c>
      <c r="Q27" s="19">
        <v>940248</v>
      </c>
      <c r="R27" s="19">
        <v>21520</v>
      </c>
      <c r="S27" s="19">
        <v>17829</v>
      </c>
      <c r="T27" s="19">
        <v>0</v>
      </c>
      <c r="U27" s="19">
        <v>0</v>
      </c>
      <c r="V27" s="19">
        <v>0</v>
      </c>
      <c r="W27" s="19">
        <v>0</v>
      </c>
      <c r="X27" s="19">
        <v>1759</v>
      </c>
      <c r="Y27" s="19">
        <v>1932</v>
      </c>
      <c r="Z27" s="19">
        <v>48470</v>
      </c>
      <c r="AA27" s="19">
        <v>5718</v>
      </c>
      <c r="AB27" s="19">
        <v>34810</v>
      </c>
      <c r="AC27" s="19">
        <v>7942</v>
      </c>
      <c r="AD27" s="19">
        <v>7154</v>
      </c>
      <c r="AE27" s="19">
        <v>0</v>
      </c>
      <c r="AF27" s="19">
        <v>0</v>
      </c>
      <c r="AG27" s="19">
        <v>0</v>
      </c>
      <c r="AH27" s="19">
        <v>0</v>
      </c>
      <c r="AI27" s="19">
        <v>654</v>
      </c>
      <c r="AJ27" s="19">
        <v>134</v>
      </c>
      <c r="AK27" s="17">
        <v>210</v>
      </c>
      <c r="AL27" s="17">
        <v>0</v>
      </c>
      <c r="AM27" s="17">
        <v>210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</row>
    <row r="28" spans="1:45" ht="13.5" customHeight="1">
      <c r="A28" s="17" t="s">
        <v>102</v>
      </c>
      <c r="B28" s="18" t="s">
        <v>103</v>
      </c>
      <c r="C28" s="17" t="s">
        <v>59</v>
      </c>
      <c r="D28" s="19">
        <v>2317359</v>
      </c>
      <c r="E28" s="19">
        <v>1824708</v>
      </c>
      <c r="F28" s="19">
        <v>379521</v>
      </c>
      <c r="G28" s="19">
        <v>116551</v>
      </c>
      <c r="H28" s="19">
        <v>34960</v>
      </c>
      <c r="I28" s="19">
        <v>5158</v>
      </c>
      <c r="J28" s="19">
        <v>22159</v>
      </c>
      <c r="K28" s="19">
        <v>6844</v>
      </c>
      <c r="L28" s="19">
        <v>190021</v>
      </c>
      <c r="M28" s="19">
        <v>3828</v>
      </c>
      <c r="N28" s="19">
        <v>15965</v>
      </c>
      <c r="O28" s="19">
        <v>97165</v>
      </c>
      <c r="P28" s="19">
        <v>1938555</v>
      </c>
      <c r="Q28" s="19">
        <v>1824708</v>
      </c>
      <c r="R28" s="19">
        <v>113847</v>
      </c>
      <c r="S28" s="19">
        <v>92893</v>
      </c>
      <c r="T28" s="19">
        <v>495</v>
      </c>
      <c r="U28" s="19">
        <v>0</v>
      </c>
      <c r="V28" s="19">
        <v>3403</v>
      </c>
      <c r="W28" s="19">
        <v>1432</v>
      </c>
      <c r="X28" s="19">
        <v>13102</v>
      </c>
      <c r="Y28" s="19">
        <v>2522</v>
      </c>
      <c r="Z28" s="19">
        <v>159559</v>
      </c>
      <c r="AA28" s="19">
        <v>15965</v>
      </c>
      <c r="AB28" s="19">
        <v>133803</v>
      </c>
      <c r="AC28" s="19">
        <v>9791</v>
      </c>
      <c r="AD28" s="19">
        <v>4896</v>
      </c>
      <c r="AE28" s="19">
        <v>0</v>
      </c>
      <c r="AF28" s="19">
        <v>0</v>
      </c>
      <c r="AG28" s="19">
        <v>0</v>
      </c>
      <c r="AH28" s="19">
        <v>0</v>
      </c>
      <c r="AI28" s="19">
        <v>3589</v>
      </c>
      <c r="AJ28" s="19">
        <v>1306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</row>
    <row r="29" spans="1:45" ht="13.5" customHeight="1">
      <c r="A29" s="17" t="s">
        <v>104</v>
      </c>
      <c r="B29" s="18" t="s">
        <v>105</v>
      </c>
      <c r="C29" s="17" t="s">
        <v>59</v>
      </c>
      <c r="D29" s="19">
        <v>601415</v>
      </c>
      <c r="E29" s="19">
        <v>502176</v>
      </c>
      <c r="F29" s="19">
        <v>66507</v>
      </c>
      <c r="G29" s="19">
        <v>26753</v>
      </c>
      <c r="H29" s="19">
        <v>505</v>
      </c>
      <c r="I29" s="19">
        <v>0</v>
      </c>
      <c r="J29" s="19">
        <v>0</v>
      </c>
      <c r="K29" s="19">
        <v>5755</v>
      </c>
      <c r="L29" s="19">
        <v>31495</v>
      </c>
      <c r="M29" s="19">
        <v>1999</v>
      </c>
      <c r="N29" s="19">
        <v>6124</v>
      </c>
      <c r="O29" s="19">
        <v>26608</v>
      </c>
      <c r="P29" s="19">
        <v>517013</v>
      </c>
      <c r="Q29" s="19">
        <v>502176</v>
      </c>
      <c r="R29" s="19">
        <v>14837</v>
      </c>
      <c r="S29" s="19">
        <v>12507</v>
      </c>
      <c r="T29" s="19">
        <v>0</v>
      </c>
      <c r="U29" s="19">
        <v>0</v>
      </c>
      <c r="V29" s="19">
        <v>0</v>
      </c>
      <c r="W29" s="19">
        <v>0</v>
      </c>
      <c r="X29" s="19">
        <v>2297</v>
      </c>
      <c r="Y29" s="19">
        <v>33</v>
      </c>
      <c r="Z29" s="19">
        <v>20601</v>
      </c>
      <c r="AA29" s="19">
        <v>6124</v>
      </c>
      <c r="AB29" s="19">
        <v>8274</v>
      </c>
      <c r="AC29" s="19">
        <v>6203</v>
      </c>
      <c r="AD29" s="19">
        <v>3902</v>
      </c>
      <c r="AE29" s="19">
        <v>0</v>
      </c>
      <c r="AF29" s="19">
        <v>0</v>
      </c>
      <c r="AG29" s="19">
        <v>0</v>
      </c>
      <c r="AH29" s="19">
        <v>0</v>
      </c>
      <c r="AI29" s="19">
        <v>1723</v>
      </c>
      <c r="AJ29" s="19">
        <v>578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</row>
    <row r="30" spans="1:45" ht="13.5" customHeight="1">
      <c r="A30" s="17" t="s">
        <v>106</v>
      </c>
      <c r="B30" s="18" t="s">
        <v>107</v>
      </c>
      <c r="C30" s="17" t="s">
        <v>59</v>
      </c>
      <c r="D30" s="19">
        <v>407478</v>
      </c>
      <c r="E30" s="19">
        <v>321988</v>
      </c>
      <c r="F30" s="19">
        <v>56550</v>
      </c>
      <c r="G30" s="19">
        <v>27829</v>
      </c>
      <c r="H30" s="19">
        <v>1323</v>
      </c>
      <c r="I30" s="19">
        <v>0</v>
      </c>
      <c r="J30" s="19">
        <v>0</v>
      </c>
      <c r="K30" s="19">
        <v>9085</v>
      </c>
      <c r="L30" s="19">
        <v>18002</v>
      </c>
      <c r="M30" s="19">
        <v>311</v>
      </c>
      <c r="N30" s="19">
        <v>3934</v>
      </c>
      <c r="O30" s="19">
        <v>25006</v>
      </c>
      <c r="P30" s="19">
        <v>342591</v>
      </c>
      <c r="Q30" s="19">
        <v>321988</v>
      </c>
      <c r="R30" s="19">
        <v>20603</v>
      </c>
      <c r="S30" s="19">
        <v>18423</v>
      </c>
      <c r="T30" s="19">
        <v>181</v>
      </c>
      <c r="U30" s="19">
        <v>0</v>
      </c>
      <c r="V30" s="19">
        <v>0</v>
      </c>
      <c r="W30" s="19">
        <v>332</v>
      </c>
      <c r="X30" s="19">
        <v>1666</v>
      </c>
      <c r="Y30" s="19">
        <v>1</v>
      </c>
      <c r="Z30" s="19">
        <v>41779</v>
      </c>
      <c r="AA30" s="19">
        <v>3934</v>
      </c>
      <c r="AB30" s="19">
        <v>34357</v>
      </c>
      <c r="AC30" s="19">
        <v>3488</v>
      </c>
      <c r="AD30" s="19">
        <v>3095</v>
      </c>
      <c r="AE30" s="19">
        <v>0</v>
      </c>
      <c r="AF30" s="19">
        <v>0</v>
      </c>
      <c r="AG30" s="19">
        <v>0</v>
      </c>
      <c r="AH30" s="19">
        <v>0</v>
      </c>
      <c r="AI30" s="19">
        <v>84</v>
      </c>
      <c r="AJ30" s="19">
        <v>309</v>
      </c>
      <c r="AK30" s="17">
        <v>24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23</v>
      </c>
      <c r="AS30" s="17">
        <v>1</v>
      </c>
    </row>
    <row r="31" spans="1:45" ht="13.5" customHeight="1">
      <c r="A31" s="17" t="s">
        <v>108</v>
      </c>
      <c r="B31" s="18" t="s">
        <v>109</v>
      </c>
      <c r="C31" s="17" t="s">
        <v>59</v>
      </c>
      <c r="D31" s="19">
        <v>690524</v>
      </c>
      <c r="E31" s="19">
        <v>552709</v>
      </c>
      <c r="F31" s="19">
        <v>124097</v>
      </c>
      <c r="G31" s="19">
        <v>41964</v>
      </c>
      <c r="H31" s="19">
        <v>298</v>
      </c>
      <c r="I31" s="19">
        <v>0</v>
      </c>
      <c r="J31" s="19">
        <v>15101</v>
      </c>
      <c r="K31" s="19">
        <v>7704</v>
      </c>
      <c r="L31" s="19">
        <v>57430</v>
      </c>
      <c r="M31" s="19">
        <v>1600</v>
      </c>
      <c r="N31" s="19">
        <v>8792</v>
      </c>
      <c r="O31" s="19">
        <v>4926</v>
      </c>
      <c r="P31" s="19">
        <v>598627</v>
      </c>
      <c r="Q31" s="19">
        <v>552709</v>
      </c>
      <c r="R31" s="19">
        <v>45918</v>
      </c>
      <c r="S31" s="19">
        <v>31764</v>
      </c>
      <c r="T31" s="19">
        <v>0</v>
      </c>
      <c r="U31" s="19">
        <v>0</v>
      </c>
      <c r="V31" s="19">
        <v>5285</v>
      </c>
      <c r="W31" s="19">
        <v>0</v>
      </c>
      <c r="X31" s="19">
        <v>8869</v>
      </c>
      <c r="Y31" s="19">
        <v>0</v>
      </c>
      <c r="Z31" s="19">
        <v>98461</v>
      </c>
      <c r="AA31" s="19">
        <v>8792</v>
      </c>
      <c r="AB31" s="19">
        <v>77584</v>
      </c>
      <c r="AC31" s="19">
        <v>12085</v>
      </c>
      <c r="AD31" s="19">
        <v>5757</v>
      </c>
      <c r="AE31" s="19">
        <v>0</v>
      </c>
      <c r="AF31" s="19">
        <v>0</v>
      </c>
      <c r="AG31" s="19">
        <v>0</v>
      </c>
      <c r="AH31" s="19">
        <v>101</v>
      </c>
      <c r="AI31" s="19">
        <v>5349</v>
      </c>
      <c r="AJ31" s="19">
        <v>878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</row>
    <row r="32" spans="1:45" ht="13.5" customHeight="1">
      <c r="A32" s="17" t="s">
        <v>110</v>
      </c>
      <c r="B32" s="18" t="s">
        <v>111</v>
      </c>
      <c r="C32" s="17" t="s">
        <v>59</v>
      </c>
      <c r="D32" s="19">
        <v>2773336</v>
      </c>
      <c r="E32" s="19">
        <v>2444662</v>
      </c>
      <c r="F32" s="19">
        <v>275712</v>
      </c>
      <c r="G32" s="19">
        <v>121523</v>
      </c>
      <c r="H32" s="19">
        <v>47</v>
      </c>
      <c r="I32" s="19">
        <v>0</v>
      </c>
      <c r="J32" s="19">
        <v>0</v>
      </c>
      <c r="K32" s="19">
        <v>0</v>
      </c>
      <c r="L32" s="19">
        <v>154142</v>
      </c>
      <c r="M32" s="19">
        <v>0</v>
      </c>
      <c r="N32" s="19">
        <v>1335</v>
      </c>
      <c r="O32" s="19">
        <v>51627</v>
      </c>
      <c r="P32" s="19">
        <v>2557201</v>
      </c>
      <c r="Q32" s="19">
        <v>2444662</v>
      </c>
      <c r="R32" s="19">
        <v>112539</v>
      </c>
      <c r="S32" s="19">
        <v>92987</v>
      </c>
      <c r="T32" s="19">
        <v>0</v>
      </c>
      <c r="U32" s="19">
        <v>0</v>
      </c>
      <c r="V32" s="19">
        <v>0</v>
      </c>
      <c r="W32" s="19">
        <v>0</v>
      </c>
      <c r="X32" s="19">
        <v>19552</v>
      </c>
      <c r="Y32" s="19">
        <v>0</v>
      </c>
      <c r="Z32" s="19">
        <v>338638</v>
      </c>
      <c r="AA32" s="19">
        <v>1335</v>
      </c>
      <c r="AB32" s="19">
        <v>331488</v>
      </c>
      <c r="AC32" s="19">
        <v>5815</v>
      </c>
      <c r="AD32" s="19">
        <v>4362</v>
      </c>
      <c r="AE32" s="19">
        <v>0</v>
      </c>
      <c r="AF32" s="19">
        <v>0</v>
      </c>
      <c r="AG32" s="19">
        <v>0</v>
      </c>
      <c r="AH32" s="19">
        <v>0</v>
      </c>
      <c r="AI32" s="19">
        <v>1453</v>
      </c>
      <c r="AJ32" s="19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</row>
    <row r="33" spans="1:45" ht="13.5" customHeight="1">
      <c r="A33" s="17" t="s">
        <v>112</v>
      </c>
      <c r="B33" s="18" t="s">
        <v>113</v>
      </c>
      <c r="C33" s="17" t="s">
        <v>59</v>
      </c>
      <c r="D33" s="19">
        <v>1697841</v>
      </c>
      <c r="E33" s="19">
        <v>1422841</v>
      </c>
      <c r="F33" s="19">
        <v>204606</v>
      </c>
      <c r="G33" s="19">
        <v>95698</v>
      </c>
      <c r="H33" s="19">
        <v>13748</v>
      </c>
      <c r="I33" s="19">
        <v>0</v>
      </c>
      <c r="J33" s="19">
        <v>3958</v>
      </c>
      <c r="K33" s="19">
        <v>4454</v>
      </c>
      <c r="L33" s="19">
        <v>85146</v>
      </c>
      <c r="M33" s="19">
        <v>1602</v>
      </c>
      <c r="N33" s="19">
        <v>16317</v>
      </c>
      <c r="O33" s="19">
        <v>54077</v>
      </c>
      <c r="P33" s="19">
        <v>1512763</v>
      </c>
      <c r="Q33" s="19">
        <v>1422841</v>
      </c>
      <c r="R33" s="19">
        <v>89922</v>
      </c>
      <c r="S33" s="19">
        <v>74821</v>
      </c>
      <c r="T33" s="19">
        <v>593</v>
      </c>
      <c r="U33" s="19">
        <v>0</v>
      </c>
      <c r="V33" s="19">
        <v>3234</v>
      </c>
      <c r="W33" s="19">
        <v>0</v>
      </c>
      <c r="X33" s="19">
        <v>11256</v>
      </c>
      <c r="Y33" s="19">
        <v>18</v>
      </c>
      <c r="Z33" s="19">
        <v>200679</v>
      </c>
      <c r="AA33" s="19">
        <v>16317</v>
      </c>
      <c r="AB33" s="19">
        <v>165289</v>
      </c>
      <c r="AC33" s="19">
        <v>19073</v>
      </c>
      <c r="AD33" s="19">
        <v>12419</v>
      </c>
      <c r="AE33" s="19">
        <v>0</v>
      </c>
      <c r="AF33" s="19">
        <v>0</v>
      </c>
      <c r="AG33" s="19">
        <v>0</v>
      </c>
      <c r="AH33" s="19">
        <v>82</v>
      </c>
      <c r="AI33" s="19">
        <v>5146</v>
      </c>
      <c r="AJ33" s="19">
        <v>1426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</row>
    <row r="34" spans="1:45" ht="13.5" customHeight="1">
      <c r="A34" s="17" t="s">
        <v>114</v>
      </c>
      <c r="B34" s="18" t="s">
        <v>115</v>
      </c>
      <c r="C34" s="17" t="s">
        <v>59</v>
      </c>
      <c r="D34" s="19">
        <v>405879</v>
      </c>
      <c r="E34" s="19">
        <v>342356</v>
      </c>
      <c r="F34" s="19">
        <v>46073</v>
      </c>
      <c r="G34" s="19">
        <v>23444</v>
      </c>
      <c r="H34" s="19">
        <v>454</v>
      </c>
      <c r="I34" s="19">
        <v>0</v>
      </c>
      <c r="J34" s="19">
        <v>0</v>
      </c>
      <c r="K34" s="19">
        <v>0</v>
      </c>
      <c r="L34" s="19">
        <v>21297</v>
      </c>
      <c r="M34" s="19">
        <v>878</v>
      </c>
      <c r="N34" s="19">
        <v>1800</v>
      </c>
      <c r="O34" s="19">
        <v>15650</v>
      </c>
      <c r="P34" s="19">
        <v>358458</v>
      </c>
      <c r="Q34" s="19">
        <v>342356</v>
      </c>
      <c r="R34" s="19">
        <v>16102</v>
      </c>
      <c r="S34" s="19">
        <v>14547</v>
      </c>
      <c r="T34" s="19">
        <v>0</v>
      </c>
      <c r="U34" s="19">
        <v>0</v>
      </c>
      <c r="V34" s="19">
        <v>0</v>
      </c>
      <c r="W34" s="19">
        <v>0</v>
      </c>
      <c r="X34" s="19">
        <v>1020</v>
      </c>
      <c r="Y34" s="19">
        <v>535</v>
      </c>
      <c r="Z34" s="19">
        <v>48547</v>
      </c>
      <c r="AA34" s="19">
        <v>1800</v>
      </c>
      <c r="AB34" s="19">
        <v>42556</v>
      </c>
      <c r="AC34" s="19">
        <v>4191</v>
      </c>
      <c r="AD34" s="19">
        <v>3683</v>
      </c>
      <c r="AE34" s="19">
        <v>0</v>
      </c>
      <c r="AF34" s="19">
        <v>0</v>
      </c>
      <c r="AG34" s="19">
        <v>0</v>
      </c>
      <c r="AH34" s="19">
        <v>0</v>
      </c>
      <c r="AI34" s="19">
        <v>420</v>
      </c>
      <c r="AJ34" s="19">
        <v>88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</row>
    <row r="35" spans="1:45" ht="13.5" customHeight="1">
      <c r="A35" s="17" t="s">
        <v>116</v>
      </c>
      <c r="B35" s="18" t="s">
        <v>117</v>
      </c>
      <c r="C35" s="17" t="s">
        <v>59</v>
      </c>
      <c r="D35" s="19">
        <v>311198</v>
      </c>
      <c r="E35" s="19">
        <v>258617</v>
      </c>
      <c r="F35" s="19">
        <v>45447</v>
      </c>
      <c r="G35" s="19">
        <v>5526</v>
      </c>
      <c r="H35" s="19">
        <v>178</v>
      </c>
      <c r="I35" s="19">
        <v>0</v>
      </c>
      <c r="J35" s="19">
        <v>0</v>
      </c>
      <c r="K35" s="19">
        <v>738</v>
      </c>
      <c r="L35" s="19">
        <v>34380</v>
      </c>
      <c r="M35" s="19">
        <v>4625</v>
      </c>
      <c r="N35" s="19">
        <v>2590</v>
      </c>
      <c r="O35" s="19">
        <v>4544</v>
      </c>
      <c r="P35" s="19">
        <v>265903</v>
      </c>
      <c r="Q35" s="19">
        <v>258617</v>
      </c>
      <c r="R35" s="19">
        <v>7286</v>
      </c>
      <c r="S35" s="19">
        <v>1418</v>
      </c>
      <c r="T35" s="19">
        <v>0</v>
      </c>
      <c r="U35" s="19">
        <v>0</v>
      </c>
      <c r="V35" s="19">
        <v>0</v>
      </c>
      <c r="W35" s="19">
        <v>0</v>
      </c>
      <c r="X35" s="19">
        <v>5484</v>
      </c>
      <c r="Y35" s="19">
        <v>384</v>
      </c>
      <c r="Z35" s="19">
        <v>39877</v>
      </c>
      <c r="AA35" s="19">
        <v>2590</v>
      </c>
      <c r="AB35" s="19">
        <v>31736</v>
      </c>
      <c r="AC35" s="19">
        <v>5551</v>
      </c>
      <c r="AD35" s="19">
        <v>796</v>
      </c>
      <c r="AE35" s="19">
        <v>0</v>
      </c>
      <c r="AF35" s="19">
        <v>0</v>
      </c>
      <c r="AG35" s="19">
        <v>0</v>
      </c>
      <c r="AH35" s="19">
        <v>0</v>
      </c>
      <c r="AI35" s="19">
        <v>1176</v>
      </c>
      <c r="AJ35" s="19">
        <v>3579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</row>
    <row r="36" spans="1:45" ht="13.5" customHeight="1">
      <c r="A36" s="17" t="s">
        <v>118</v>
      </c>
      <c r="B36" s="18" t="s">
        <v>119</v>
      </c>
      <c r="C36" s="17" t="s">
        <v>59</v>
      </c>
      <c r="D36" s="19">
        <v>197435</v>
      </c>
      <c r="E36" s="19">
        <v>142627</v>
      </c>
      <c r="F36" s="19">
        <v>25506</v>
      </c>
      <c r="G36" s="19">
        <v>1470</v>
      </c>
      <c r="H36" s="19">
        <v>4236</v>
      </c>
      <c r="I36" s="19">
        <v>163</v>
      </c>
      <c r="J36" s="19">
        <v>0</v>
      </c>
      <c r="K36" s="19">
        <v>977</v>
      </c>
      <c r="L36" s="19">
        <v>18660</v>
      </c>
      <c r="M36" s="19">
        <v>0</v>
      </c>
      <c r="N36" s="19">
        <v>197</v>
      </c>
      <c r="O36" s="19">
        <v>29105</v>
      </c>
      <c r="P36" s="19">
        <v>144101</v>
      </c>
      <c r="Q36" s="19">
        <v>142627</v>
      </c>
      <c r="R36" s="19">
        <v>1474</v>
      </c>
      <c r="S36" s="19">
        <v>410</v>
      </c>
      <c r="T36" s="19">
        <v>0</v>
      </c>
      <c r="U36" s="19">
        <v>0</v>
      </c>
      <c r="V36" s="19">
        <v>0</v>
      </c>
      <c r="W36" s="19">
        <v>0</v>
      </c>
      <c r="X36" s="19">
        <v>1064</v>
      </c>
      <c r="Y36" s="19">
        <v>0</v>
      </c>
      <c r="Z36" s="19">
        <v>12495</v>
      </c>
      <c r="AA36" s="19">
        <v>197</v>
      </c>
      <c r="AB36" s="19">
        <v>7213</v>
      </c>
      <c r="AC36" s="19">
        <v>5085</v>
      </c>
      <c r="AD36" s="19">
        <v>423</v>
      </c>
      <c r="AE36" s="19">
        <v>0</v>
      </c>
      <c r="AF36" s="19">
        <v>0</v>
      </c>
      <c r="AG36" s="19">
        <v>0</v>
      </c>
      <c r="AH36" s="19">
        <v>0</v>
      </c>
      <c r="AI36" s="19">
        <v>4662</v>
      </c>
      <c r="AJ36" s="19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</row>
    <row r="37" spans="1:45" ht="13.5" customHeight="1">
      <c r="A37" s="17" t="s">
        <v>120</v>
      </c>
      <c r="B37" s="18" t="s">
        <v>121</v>
      </c>
      <c r="C37" s="17" t="s">
        <v>59</v>
      </c>
      <c r="D37" s="19">
        <v>231029</v>
      </c>
      <c r="E37" s="19">
        <v>172745</v>
      </c>
      <c r="F37" s="19">
        <v>43637</v>
      </c>
      <c r="G37" s="19">
        <v>10523</v>
      </c>
      <c r="H37" s="19">
        <v>3241</v>
      </c>
      <c r="I37" s="19">
        <v>181</v>
      </c>
      <c r="J37" s="19">
        <v>0</v>
      </c>
      <c r="K37" s="19">
        <v>9546</v>
      </c>
      <c r="L37" s="19">
        <v>20146</v>
      </c>
      <c r="M37" s="19">
        <v>0</v>
      </c>
      <c r="N37" s="19">
        <v>6680</v>
      </c>
      <c r="O37" s="19">
        <v>7967</v>
      </c>
      <c r="P37" s="19">
        <v>178360</v>
      </c>
      <c r="Q37" s="19">
        <v>172745</v>
      </c>
      <c r="R37" s="19">
        <v>5615</v>
      </c>
      <c r="S37" s="19">
        <v>3526</v>
      </c>
      <c r="T37" s="19">
        <v>0</v>
      </c>
      <c r="U37" s="19">
        <v>0</v>
      </c>
      <c r="V37" s="19">
        <v>0</v>
      </c>
      <c r="W37" s="19">
        <v>705</v>
      </c>
      <c r="X37" s="19">
        <v>1384</v>
      </c>
      <c r="Y37" s="19">
        <v>0</v>
      </c>
      <c r="Z37" s="19">
        <v>20508</v>
      </c>
      <c r="AA37" s="19">
        <v>6680</v>
      </c>
      <c r="AB37" s="19">
        <v>9894</v>
      </c>
      <c r="AC37" s="19">
        <v>3934</v>
      </c>
      <c r="AD37" s="19">
        <v>2192</v>
      </c>
      <c r="AE37" s="19">
        <v>0</v>
      </c>
      <c r="AF37" s="19">
        <v>0</v>
      </c>
      <c r="AG37" s="19">
        <v>0</v>
      </c>
      <c r="AH37" s="19">
        <v>0</v>
      </c>
      <c r="AI37" s="19">
        <v>1742</v>
      </c>
      <c r="AJ37" s="19">
        <v>0</v>
      </c>
      <c r="AK37" s="17">
        <v>82</v>
      </c>
      <c r="AL37" s="17">
        <v>0</v>
      </c>
      <c r="AM37" s="17">
        <v>82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</row>
    <row r="38" spans="1:45" ht="13.5" customHeight="1">
      <c r="A38" s="17" t="s">
        <v>122</v>
      </c>
      <c r="B38" s="18" t="s">
        <v>123</v>
      </c>
      <c r="C38" s="17" t="s">
        <v>59</v>
      </c>
      <c r="D38" s="19">
        <v>610644</v>
      </c>
      <c r="E38" s="19">
        <v>543238</v>
      </c>
      <c r="F38" s="19">
        <v>47392</v>
      </c>
      <c r="G38" s="19">
        <v>21585</v>
      </c>
      <c r="H38" s="19">
        <v>567</v>
      </c>
      <c r="I38" s="19">
        <v>0</v>
      </c>
      <c r="J38" s="19">
        <v>389</v>
      </c>
      <c r="K38" s="19">
        <v>431</v>
      </c>
      <c r="L38" s="19">
        <v>22628</v>
      </c>
      <c r="M38" s="19">
        <v>1792</v>
      </c>
      <c r="N38" s="19">
        <v>3125</v>
      </c>
      <c r="O38" s="19">
        <v>16889</v>
      </c>
      <c r="P38" s="19">
        <v>553098</v>
      </c>
      <c r="Q38" s="19">
        <v>543238</v>
      </c>
      <c r="R38" s="19">
        <v>9860</v>
      </c>
      <c r="S38" s="19">
        <v>9415</v>
      </c>
      <c r="T38" s="19">
        <v>0</v>
      </c>
      <c r="U38" s="19">
        <v>0</v>
      </c>
      <c r="V38" s="19">
        <v>0</v>
      </c>
      <c r="W38" s="19">
        <v>0</v>
      </c>
      <c r="X38" s="19">
        <v>445</v>
      </c>
      <c r="Y38" s="19">
        <v>0</v>
      </c>
      <c r="Z38" s="19">
        <v>27453</v>
      </c>
      <c r="AA38" s="19">
        <v>3125</v>
      </c>
      <c r="AB38" s="19">
        <v>16696</v>
      </c>
      <c r="AC38" s="19">
        <v>7632</v>
      </c>
      <c r="AD38" s="19">
        <v>5207</v>
      </c>
      <c r="AE38" s="19">
        <v>0</v>
      </c>
      <c r="AF38" s="19">
        <v>0</v>
      </c>
      <c r="AG38" s="19">
        <v>0</v>
      </c>
      <c r="AH38" s="19">
        <v>0</v>
      </c>
      <c r="AI38" s="19">
        <v>792</v>
      </c>
      <c r="AJ38" s="19">
        <v>1633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</row>
    <row r="39" spans="1:45" ht="13.5" customHeight="1">
      <c r="A39" s="17" t="s">
        <v>124</v>
      </c>
      <c r="B39" s="18" t="s">
        <v>125</v>
      </c>
      <c r="C39" s="17" t="s">
        <v>59</v>
      </c>
      <c r="D39" s="19">
        <v>881406</v>
      </c>
      <c r="E39" s="19">
        <v>605144</v>
      </c>
      <c r="F39" s="19">
        <v>250564</v>
      </c>
      <c r="G39" s="19">
        <v>50132</v>
      </c>
      <c r="H39" s="19">
        <v>1462</v>
      </c>
      <c r="I39" s="19">
        <v>0</v>
      </c>
      <c r="J39" s="19">
        <v>0</v>
      </c>
      <c r="K39" s="19">
        <v>97991</v>
      </c>
      <c r="L39" s="19">
        <v>99501</v>
      </c>
      <c r="M39" s="19">
        <v>1478</v>
      </c>
      <c r="N39" s="19">
        <v>12659</v>
      </c>
      <c r="O39" s="19">
        <v>13039</v>
      </c>
      <c r="P39" s="19">
        <v>646447</v>
      </c>
      <c r="Q39" s="19">
        <v>605144</v>
      </c>
      <c r="R39" s="19">
        <v>41303</v>
      </c>
      <c r="S39" s="19">
        <v>26355</v>
      </c>
      <c r="T39" s="19">
        <v>50</v>
      </c>
      <c r="U39" s="19">
        <v>0</v>
      </c>
      <c r="V39" s="19">
        <v>0</v>
      </c>
      <c r="W39" s="19">
        <v>0</v>
      </c>
      <c r="X39" s="19">
        <v>14881</v>
      </c>
      <c r="Y39" s="19">
        <v>17</v>
      </c>
      <c r="Z39" s="19">
        <v>94880</v>
      </c>
      <c r="AA39" s="19">
        <v>12659</v>
      </c>
      <c r="AB39" s="19">
        <v>67195</v>
      </c>
      <c r="AC39" s="19">
        <v>15026</v>
      </c>
      <c r="AD39" s="19">
        <v>9716</v>
      </c>
      <c r="AE39" s="19">
        <v>0</v>
      </c>
      <c r="AF39" s="19">
        <v>0</v>
      </c>
      <c r="AG39" s="19">
        <v>0</v>
      </c>
      <c r="AH39" s="19">
        <v>138</v>
      </c>
      <c r="AI39" s="19">
        <v>4683</v>
      </c>
      <c r="AJ39" s="19">
        <v>489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</row>
    <row r="40" spans="1:45" ht="13.5" customHeight="1">
      <c r="A40" s="17" t="s">
        <v>126</v>
      </c>
      <c r="B40" s="18" t="s">
        <v>127</v>
      </c>
      <c r="C40" s="17" t="s">
        <v>59</v>
      </c>
      <c r="D40" s="19">
        <v>468828</v>
      </c>
      <c r="E40" s="19">
        <v>363629</v>
      </c>
      <c r="F40" s="19">
        <v>75779</v>
      </c>
      <c r="G40" s="19">
        <v>21058</v>
      </c>
      <c r="H40" s="19">
        <v>0</v>
      </c>
      <c r="I40" s="19">
        <v>0</v>
      </c>
      <c r="J40" s="19">
        <v>5676</v>
      </c>
      <c r="K40" s="19">
        <v>6329</v>
      </c>
      <c r="L40" s="19">
        <v>42716</v>
      </c>
      <c r="M40" s="19">
        <v>0</v>
      </c>
      <c r="N40" s="19">
        <v>7201</v>
      </c>
      <c r="O40" s="19">
        <v>22219</v>
      </c>
      <c r="P40" s="19">
        <v>385730</v>
      </c>
      <c r="Q40" s="19">
        <v>363629</v>
      </c>
      <c r="R40" s="19">
        <v>22101</v>
      </c>
      <c r="S40" s="19">
        <v>14364</v>
      </c>
      <c r="T40" s="19">
        <v>0</v>
      </c>
      <c r="U40" s="19">
        <v>0</v>
      </c>
      <c r="V40" s="19">
        <v>2514</v>
      </c>
      <c r="W40" s="19">
        <v>0</v>
      </c>
      <c r="X40" s="19">
        <v>5223</v>
      </c>
      <c r="Y40" s="19">
        <v>0</v>
      </c>
      <c r="Z40" s="19">
        <v>24360</v>
      </c>
      <c r="AA40" s="19">
        <v>7201</v>
      </c>
      <c r="AB40" s="19">
        <v>9574</v>
      </c>
      <c r="AC40" s="19">
        <v>7585</v>
      </c>
      <c r="AD40" s="19">
        <v>3008</v>
      </c>
      <c r="AE40" s="19">
        <v>0</v>
      </c>
      <c r="AF40" s="19">
        <v>0</v>
      </c>
      <c r="AG40" s="19">
        <v>0</v>
      </c>
      <c r="AH40" s="19">
        <v>0</v>
      </c>
      <c r="AI40" s="19">
        <v>4577</v>
      </c>
      <c r="AJ40" s="19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</row>
    <row r="41" spans="1:45" ht="13.5" customHeight="1">
      <c r="A41" s="17" t="s">
        <v>128</v>
      </c>
      <c r="B41" s="18" t="s">
        <v>129</v>
      </c>
      <c r="C41" s="17" t="s">
        <v>59</v>
      </c>
      <c r="D41" s="19">
        <v>247574</v>
      </c>
      <c r="E41" s="19">
        <v>193758</v>
      </c>
      <c r="F41" s="19">
        <v>39063</v>
      </c>
      <c r="G41" s="19">
        <v>21085</v>
      </c>
      <c r="H41" s="19">
        <v>0</v>
      </c>
      <c r="I41" s="19">
        <v>0</v>
      </c>
      <c r="J41" s="19">
        <v>0</v>
      </c>
      <c r="K41" s="19">
        <v>952</v>
      </c>
      <c r="L41" s="19">
        <v>16925</v>
      </c>
      <c r="M41" s="19">
        <v>101</v>
      </c>
      <c r="N41" s="19">
        <v>570</v>
      </c>
      <c r="O41" s="19">
        <v>14183</v>
      </c>
      <c r="P41" s="19">
        <v>199578</v>
      </c>
      <c r="Q41" s="19">
        <v>193758</v>
      </c>
      <c r="R41" s="19">
        <v>5820</v>
      </c>
      <c r="S41" s="19">
        <v>4670</v>
      </c>
      <c r="T41" s="19">
        <v>0</v>
      </c>
      <c r="U41" s="19">
        <v>0</v>
      </c>
      <c r="V41" s="19">
        <v>0</v>
      </c>
      <c r="W41" s="19">
        <v>0</v>
      </c>
      <c r="X41" s="19">
        <v>1150</v>
      </c>
      <c r="Y41" s="19">
        <v>0</v>
      </c>
      <c r="Z41" s="19">
        <v>28721</v>
      </c>
      <c r="AA41" s="19">
        <v>570</v>
      </c>
      <c r="AB41" s="19">
        <v>19891</v>
      </c>
      <c r="AC41" s="19">
        <v>8260</v>
      </c>
      <c r="AD41" s="19">
        <v>7740</v>
      </c>
      <c r="AE41" s="19">
        <v>0</v>
      </c>
      <c r="AF41" s="19">
        <v>0</v>
      </c>
      <c r="AG41" s="19">
        <v>0</v>
      </c>
      <c r="AH41" s="19">
        <v>0</v>
      </c>
      <c r="AI41" s="19">
        <v>419</v>
      </c>
      <c r="AJ41" s="19">
        <v>101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</row>
    <row r="42" spans="1:45" ht="13.5" customHeight="1">
      <c r="A42" s="17" t="s">
        <v>130</v>
      </c>
      <c r="B42" s="18" t="s">
        <v>131</v>
      </c>
      <c r="C42" s="17" t="s">
        <v>59</v>
      </c>
      <c r="D42" s="19">
        <v>297753</v>
      </c>
      <c r="E42" s="19">
        <v>221364</v>
      </c>
      <c r="F42" s="19">
        <v>63831</v>
      </c>
      <c r="G42" s="19">
        <v>10915</v>
      </c>
      <c r="H42" s="19">
        <v>602</v>
      </c>
      <c r="I42" s="19">
        <v>0</v>
      </c>
      <c r="J42" s="19">
        <v>0</v>
      </c>
      <c r="K42" s="19">
        <v>12460</v>
      </c>
      <c r="L42" s="19">
        <v>39838</v>
      </c>
      <c r="M42" s="19">
        <v>16</v>
      </c>
      <c r="N42" s="19">
        <v>2631</v>
      </c>
      <c r="O42" s="19">
        <v>9927</v>
      </c>
      <c r="P42" s="19">
        <v>234978</v>
      </c>
      <c r="Q42" s="19">
        <v>221364</v>
      </c>
      <c r="R42" s="19">
        <v>13614</v>
      </c>
      <c r="S42" s="19">
        <v>5557</v>
      </c>
      <c r="T42" s="19">
        <v>0</v>
      </c>
      <c r="U42" s="19">
        <v>0</v>
      </c>
      <c r="V42" s="19">
        <v>0</v>
      </c>
      <c r="W42" s="19">
        <v>0</v>
      </c>
      <c r="X42" s="19">
        <v>8057</v>
      </c>
      <c r="Y42" s="19">
        <v>0</v>
      </c>
      <c r="Z42" s="19">
        <v>26484</v>
      </c>
      <c r="AA42" s="19">
        <v>2631</v>
      </c>
      <c r="AB42" s="19">
        <v>18950</v>
      </c>
      <c r="AC42" s="19">
        <v>4903</v>
      </c>
      <c r="AD42" s="19">
        <v>2874</v>
      </c>
      <c r="AE42" s="19">
        <v>0</v>
      </c>
      <c r="AF42" s="19">
        <v>0</v>
      </c>
      <c r="AG42" s="19">
        <v>0</v>
      </c>
      <c r="AH42" s="19">
        <v>316</v>
      </c>
      <c r="AI42" s="19">
        <v>1697</v>
      </c>
      <c r="AJ42" s="19">
        <v>16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</row>
    <row r="43" spans="1:45" ht="13.5" customHeight="1">
      <c r="A43" s="17" t="s">
        <v>132</v>
      </c>
      <c r="B43" s="18" t="s">
        <v>133</v>
      </c>
      <c r="C43" s="17" t="s">
        <v>59</v>
      </c>
      <c r="D43" s="19">
        <v>425027</v>
      </c>
      <c r="E43" s="19">
        <v>344674</v>
      </c>
      <c r="F43" s="19">
        <v>62502</v>
      </c>
      <c r="G43" s="19">
        <v>22673</v>
      </c>
      <c r="H43" s="19">
        <v>1934</v>
      </c>
      <c r="I43" s="19">
        <v>0</v>
      </c>
      <c r="J43" s="19">
        <v>0</v>
      </c>
      <c r="K43" s="19">
        <v>31</v>
      </c>
      <c r="L43" s="19">
        <v>37640</v>
      </c>
      <c r="M43" s="19">
        <v>224</v>
      </c>
      <c r="N43" s="19">
        <v>6055</v>
      </c>
      <c r="O43" s="19">
        <v>11796</v>
      </c>
      <c r="P43" s="19">
        <v>360790</v>
      </c>
      <c r="Q43" s="19">
        <v>344674</v>
      </c>
      <c r="R43" s="19">
        <v>16116</v>
      </c>
      <c r="S43" s="19">
        <v>13560</v>
      </c>
      <c r="T43" s="19">
        <v>1</v>
      </c>
      <c r="U43" s="19">
        <v>0</v>
      </c>
      <c r="V43" s="19">
        <v>0</v>
      </c>
      <c r="W43" s="19">
        <v>0</v>
      </c>
      <c r="X43" s="19">
        <v>2555</v>
      </c>
      <c r="Y43" s="19">
        <v>0</v>
      </c>
      <c r="Z43" s="19">
        <v>36918</v>
      </c>
      <c r="AA43" s="19">
        <v>6055</v>
      </c>
      <c r="AB43" s="19">
        <v>25211</v>
      </c>
      <c r="AC43" s="19">
        <v>5652</v>
      </c>
      <c r="AD43" s="19">
        <v>3381</v>
      </c>
      <c r="AE43" s="19">
        <v>0</v>
      </c>
      <c r="AF43" s="19">
        <v>0</v>
      </c>
      <c r="AG43" s="19">
        <v>0</v>
      </c>
      <c r="AH43" s="19">
        <v>0</v>
      </c>
      <c r="AI43" s="19">
        <v>2047</v>
      </c>
      <c r="AJ43" s="19">
        <v>224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</row>
    <row r="44" spans="1:45" ht="13.5" customHeight="1">
      <c r="A44" s="17" t="s">
        <v>134</v>
      </c>
      <c r="B44" s="18" t="s">
        <v>135</v>
      </c>
      <c r="C44" s="17" t="s">
        <v>59</v>
      </c>
      <c r="D44" s="19">
        <v>241997</v>
      </c>
      <c r="E44" s="19">
        <v>199128</v>
      </c>
      <c r="F44" s="19">
        <v>33458</v>
      </c>
      <c r="G44" s="19">
        <v>4007</v>
      </c>
      <c r="H44" s="19">
        <v>0</v>
      </c>
      <c r="I44" s="19">
        <v>0</v>
      </c>
      <c r="J44" s="19">
        <v>0</v>
      </c>
      <c r="K44" s="19">
        <v>9127</v>
      </c>
      <c r="L44" s="19">
        <v>19612</v>
      </c>
      <c r="M44" s="19">
        <v>712</v>
      </c>
      <c r="N44" s="19">
        <v>3592</v>
      </c>
      <c r="O44" s="19">
        <v>5819</v>
      </c>
      <c r="P44" s="19">
        <v>200577</v>
      </c>
      <c r="Q44" s="19">
        <v>199128</v>
      </c>
      <c r="R44" s="19">
        <v>1449</v>
      </c>
      <c r="S44" s="19">
        <v>674</v>
      </c>
      <c r="T44" s="19">
        <v>0</v>
      </c>
      <c r="U44" s="19">
        <v>0</v>
      </c>
      <c r="V44" s="19">
        <v>0</v>
      </c>
      <c r="W44" s="19">
        <v>0</v>
      </c>
      <c r="X44" s="19">
        <v>738</v>
      </c>
      <c r="Y44" s="19">
        <v>37</v>
      </c>
      <c r="Z44" s="19">
        <v>10106</v>
      </c>
      <c r="AA44" s="19">
        <v>3592</v>
      </c>
      <c r="AB44" s="19">
        <v>4850</v>
      </c>
      <c r="AC44" s="19">
        <v>1664</v>
      </c>
      <c r="AD44" s="19">
        <v>650</v>
      </c>
      <c r="AE44" s="19">
        <v>0</v>
      </c>
      <c r="AF44" s="19">
        <v>0</v>
      </c>
      <c r="AG44" s="19">
        <v>0</v>
      </c>
      <c r="AH44" s="19">
        <v>61</v>
      </c>
      <c r="AI44" s="19">
        <v>278</v>
      </c>
      <c r="AJ44" s="19">
        <v>675</v>
      </c>
      <c r="AK44" s="17">
        <v>29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29</v>
      </c>
      <c r="AS44" s="17">
        <v>0</v>
      </c>
    </row>
    <row r="45" spans="1:45" ht="13.5" customHeight="1">
      <c r="A45" s="17" t="s">
        <v>136</v>
      </c>
      <c r="B45" s="18" t="s">
        <v>137</v>
      </c>
      <c r="C45" s="17" t="s">
        <v>59</v>
      </c>
      <c r="D45" s="19">
        <v>1662835.2292206211</v>
      </c>
      <c r="E45" s="19">
        <v>1285373.3393706209</v>
      </c>
      <c r="F45" s="19">
        <v>274929.34999999998</v>
      </c>
      <c r="G45" s="19">
        <v>66359.42</v>
      </c>
      <c r="H45" s="19">
        <v>473</v>
      </c>
      <c r="I45" s="19">
        <v>0</v>
      </c>
      <c r="J45" s="19">
        <v>2830</v>
      </c>
      <c r="K45" s="19">
        <v>120520</v>
      </c>
      <c r="L45" s="19">
        <v>84716.93</v>
      </c>
      <c r="M45" s="19">
        <v>30</v>
      </c>
      <c r="N45" s="19">
        <v>11765.84</v>
      </c>
      <c r="O45" s="19">
        <v>90766.699850000005</v>
      </c>
      <c r="P45" s="19">
        <v>1332694.5395233454</v>
      </c>
      <c r="Q45" s="19">
        <v>1285373.3393706209</v>
      </c>
      <c r="R45" s="19">
        <v>47321.200152724465</v>
      </c>
      <c r="S45" s="19">
        <v>28652.255637733193</v>
      </c>
      <c r="T45" s="19">
        <v>0</v>
      </c>
      <c r="U45" s="19">
        <v>0</v>
      </c>
      <c r="V45" s="19">
        <v>167</v>
      </c>
      <c r="W45" s="19">
        <v>0</v>
      </c>
      <c r="X45" s="19">
        <v>18501.944514991272</v>
      </c>
      <c r="Y45" s="19">
        <v>0</v>
      </c>
      <c r="Z45" s="19">
        <v>160174.56124249561</v>
      </c>
      <c r="AA45" s="19">
        <v>11765.84</v>
      </c>
      <c r="AB45" s="19">
        <v>124864.7686873427</v>
      </c>
      <c r="AC45" s="19">
        <v>23543.9525551529</v>
      </c>
      <c r="AD45" s="19">
        <v>13192</v>
      </c>
      <c r="AE45" s="19">
        <v>0</v>
      </c>
      <c r="AF45" s="19">
        <v>0</v>
      </c>
      <c r="AG45" s="19">
        <v>0</v>
      </c>
      <c r="AH45" s="19">
        <v>807</v>
      </c>
      <c r="AI45" s="19">
        <v>9514.9525551529023</v>
      </c>
      <c r="AJ45" s="19">
        <v>30</v>
      </c>
      <c r="AK45" s="17">
        <v>141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141</v>
      </c>
      <c r="AS45" s="17">
        <v>0</v>
      </c>
    </row>
    <row r="46" spans="1:45" ht="13.5" customHeight="1">
      <c r="A46" s="17" t="s">
        <v>138</v>
      </c>
      <c r="B46" s="18" t="s">
        <v>139</v>
      </c>
      <c r="C46" s="17" t="s">
        <v>59</v>
      </c>
      <c r="D46" s="19">
        <v>256858</v>
      </c>
      <c r="E46" s="19">
        <v>211475</v>
      </c>
      <c r="F46" s="19">
        <v>37948</v>
      </c>
      <c r="G46" s="19">
        <v>11169</v>
      </c>
      <c r="H46" s="19">
        <v>2017</v>
      </c>
      <c r="I46" s="19">
        <v>0</v>
      </c>
      <c r="J46" s="19">
        <v>97</v>
      </c>
      <c r="K46" s="19">
        <v>664</v>
      </c>
      <c r="L46" s="19">
        <v>23761</v>
      </c>
      <c r="M46" s="19">
        <v>240</v>
      </c>
      <c r="N46" s="19">
        <v>5</v>
      </c>
      <c r="O46" s="19">
        <v>7430</v>
      </c>
      <c r="P46" s="19">
        <v>225458</v>
      </c>
      <c r="Q46" s="19">
        <v>211475</v>
      </c>
      <c r="R46" s="19">
        <v>13983</v>
      </c>
      <c r="S46" s="19">
        <v>9049</v>
      </c>
      <c r="T46" s="19">
        <v>0</v>
      </c>
      <c r="U46" s="19">
        <v>0</v>
      </c>
      <c r="V46" s="19">
        <v>0</v>
      </c>
      <c r="W46" s="19">
        <v>0</v>
      </c>
      <c r="X46" s="19">
        <v>4694</v>
      </c>
      <c r="Y46" s="19">
        <v>240</v>
      </c>
      <c r="Z46" s="19">
        <v>10476</v>
      </c>
      <c r="AA46" s="19">
        <v>5</v>
      </c>
      <c r="AB46" s="19">
        <v>8866</v>
      </c>
      <c r="AC46" s="19">
        <v>1605</v>
      </c>
      <c r="AD46" s="19">
        <v>571</v>
      </c>
      <c r="AE46" s="19">
        <v>0</v>
      </c>
      <c r="AF46" s="19">
        <v>0</v>
      </c>
      <c r="AG46" s="19">
        <v>0</v>
      </c>
      <c r="AH46" s="19">
        <v>0</v>
      </c>
      <c r="AI46" s="19">
        <v>1034</v>
      </c>
      <c r="AJ46" s="19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</row>
    <row r="47" spans="1:45" ht="13.5" customHeight="1">
      <c r="A47" s="17" t="s">
        <v>140</v>
      </c>
      <c r="B47" s="18" t="s">
        <v>141</v>
      </c>
      <c r="C47" s="17" t="s">
        <v>59</v>
      </c>
      <c r="D47" s="19">
        <v>443797</v>
      </c>
      <c r="E47" s="19">
        <v>385855</v>
      </c>
      <c r="F47" s="19">
        <v>44344</v>
      </c>
      <c r="G47" s="19">
        <v>5315</v>
      </c>
      <c r="H47" s="19">
        <v>49</v>
      </c>
      <c r="I47" s="19">
        <v>0</v>
      </c>
      <c r="J47" s="19">
        <v>0</v>
      </c>
      <c r="K47" s="19">
        <v>351</v>
      </c>
      <c r="L47" s="19">
        <v>36970</v>
      </c>
      <c r="M47" s="19">
        <v>1659</v>
      </c>
      <c r="N47" s="19">
        <v>9101</v>
      </c>
      <c r="O47" s="19">
        <v>4497</v>
      </c>
      <c r="P47" s="19">
        <v>392565</v>
      </c>
      <c r="Q47" s="19">
        <v>385855</v>
      </c>
      <c r="R47" s="19">
        <v>6710</v>
      </c>
      <c r="S47" s="19">
        <v>2038</v>
      </c>
      <c r="T47" s="19">
        <v>0</v>
      </c>
      <c r="U47" s="19">
        <v>0</v>
      </c>
      <c r="V47" s="19">
        <v>0</v>
      </c>
      <c r="W47" s="19">
        <v>0</v>
      </c>
      <c r="X47" s="19">
        <v>3526</v>
      </c>
      <c r="Y47" s="19">
        <v>1146</v>
      </c>
      <c r="Z47" s="19">
        <v>35559</v>
      </c>
      <c r="AA47" s="19">
        <v>9101</v>
      </c>
      <c r="AB47" s="19">
        <v>23079</v>
      </c>
      <c r="AC47" s="19">
        <v>3379</v>
      </c>
      <c r="AD47" s="19">
        <v>1255</v>
      </c>
      <c r="AE47" s="19">
        <v>0</v>
      </c>
      <c r="AF47" s="19">
        <v>0</v>
      </c>
      <c r="AG47" s="19">
        <v>0</v>
      </c>
      <c r="AH47" s="19">
        <v>0</v>
      </c>
      <c r="AI47" s="19">
        <v>1925</v>
      </c>
      <c r="AJ47" s="19">
        <v>199</v>
      </c>
      <c r="AK47" s="17">
        <v>314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314</v>
      </c>
    </row>
    <row r="48" spans="1:45" ht="13.5" customHeight="1">
      <c r="A48" s="17" t="s">
        <v>142</v>
      </c>
      <c r="B48" s="18" t="s">
        <v>143</v>
      </c>
      <c r="C48" s="17" t="s">
        <v>59</v>
      </c>
      <c r="D48" s="19">
        <v>544914</v>
      </c>
      <c r="E48" s="19">
        <v>421035</v>
      </c>
      <c r="F48" s="19">
        <v>111743</v>
      </c>
      <c r="G48" s="19">
        <v>13874</v>
      </c>
      <c r="H48" s="19">
        <v>2352</v>
      </c>
      <c r="I48" s="19">
        <v>0</v>
      </c>
      <c r="J48" s="19">
        <v>0</v>
      </c>
      <c r="K48" s="19">
        <v>26867</v>
      </c>
      <c r="L48" s="19">
        <v>68585</v>
      </c>
      <c r="M48" s="19">
        <v>65</v>
      </c>
      <c r="N48" s="19">
        <v>3143</v>
      </c>
      <c r="O48" s="19">
        <v>8993</v>
      </c>
      <c r="P48" s="19">
        <v>430365</v>
      </c>
      <c r="Q48" s="19">
        <v>421035</v>
      </c>
      <c r="R48" s="19">
        <v>9330</v>
      </c>
      <c r="S48" s="19">
        <v>4814</v>
      </c>
      <c r="T48" s="19">
        <v>0</v>
      </c>
      <c r="U48" s="19">
        <v>0</v>
      </c>
      <c r="V48" s="19">
        <v>0</v>
      </c>
      <c r="W48" s="19">
        <v>0</v>
      </c>
      <c r="X48" s="19">
        <v>4507</v>
      </c>
      <c r="Y48" s="19">
        <v>9</v>
      </c>
      <c r="Z48" s="19">
        <v>48426</v>
      </c>
      <c r="AA48" s="19">
        <v>3143</v>
      </c>
      <c r="AB48" s="19">
        <v>37943</v>
      </c>
      <c r="AC48" s="19">
        <v>7340</v>
      </c>
      <c r="AD48" s="19">
        <v>3060</v>
      </c>
      <c r="AE48" s="19">
        <v>0</v>
      </c>
      <c r="AF48" s="19">
        <v>0</v>
      </c>
      <c r="AG48" s="19">
        <v>0</v>
      </c>
      <c r="AH48" s="19">
        <v>35</v>
      </c>
      <c r="AI48" s="19">
        <v>4190</v>
      </c>
      <c r="AJ48" s="19">
        <v>55</v>
      </c>
      <c r="AK48" s="17">
        <v>28</v>
      </c>
      <c r="AL48" s="17">
        <v>28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</row>
    <row r="49" spans="1:45" ht="13.5" customHeight="1">
      <c r="A49" s="17" t="s">
        <v>144</v>
      </c>
      <c r="B49" s="18" t="s">
        <v>145</v>
      </c>
      <c r="C49" s="17" t="s">
        <v>59</v>
      </c>
      <c r="D49" s="19">
        <v>388518</v>
      </c>
      <c r="E49" s="19">
        <v>318137</v>
      </c>
      <c r="F49" s="19">
        <v>58287</v>
      </c>
      <c r="G49" s="19">
        <v>10645</v>
      </c>
      <c r="H49" s="19">
        <v>466</v>
      </c>
      <c r="I49" s="19">
        <v>0</v>
      </c>
      <c r="J49" s="19">
        <v>2747</v>
      </c>
      <c r="K49" s="19">
        <v>0</v>
      </c>
      <c r="L49" s="19">
        <v>44422</v>
      </c>
      <c r="M49" s="19">
        <v>7</v>
      </c>
      <c r="N49" s="19">
        <v>2837</v>
      </c>
      <c r="O49" s="19">
        <v>9257</v>
      </c>
      <c r="P49" s="19">
        <v>334034</v>
      </c>
      <c r="Q49" s="19">
        <v>318137</v>
      </c>
      <c r="R49" s="19">
        <v>15897</v>
      </c>
      <c r="S49" s="19">
        <v>7326</v>
      </c>
      <c r="T49" s="19">
        <v>0</v>
      </c>
      <c r="U49" s="19">
        <v>0</v>
      </c>
      <c r="V49" s="19">
        <v>0</v>
      </c>
      <c r="W49" s="19">
        <v>0</v>
      </c>
      <c r="X49" s="19">
        <v>8564</v>
      </c>
      <c r="Y49" s="19">
        <v>7</v>
      </c>
      <c r="Z49" s="19">
        <v>26724</v>
      </c>
      <c r="AA49" s="19">
        <v>2837</v>
      </c>
      <c r="AB49" s="19">
        <v>19747</v>
      </c>
      <c r="AC49" s="19">
        <v>4140</v>
      </c>
      <c r="AD49" s="19">
        <v>250</v>
      </c>
      <c r="AE49" s="19">
        <v>0</v>
      </c>
      <c r="AF49" s="19">
        <v>0</v>
      </c>
      <c r="AG49" s="19">
        <v>0</v>
      </c>
      <c r="AH49" s="19">
        <v>0</v>
      </c>
      <c r="AI49" s="19">
        <v>3890</v>
      </c>
      <c r="AJ49" s="19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</row>
    <row r="50" spans="1:45" ht="13.5" customHeight="1">
      <c r="A50" s="17" t="s">
        <v>146</v>
      </c>
      <c r="B50" s="18" t="s">
        <v>147</v>
      </c>
      <c r="C50" s="17" t="s">
        <v>59</v>
      </c>
      <c r="D50" s="19">
        <v>376900</v>
      </c>
      <c r="E50" s="19">
        <v>287110</v>
      </c>
      <c r="F50" s="19">
        <v>56199</v>
      </c>
      <c r="G50" s="19">
        <v>3925</v>
      </c>
      <c r="H50" s="19">
        <v>3572</v>
      </c>
      <c r="I50" s="19">
        <v>171</v>
      </c>
      <c r="J50" s="19">
        <v>0</v>
      </c>
      <c r="K50" s="19">
        <v>204</v>
      </c>
      <c r="L50" s="19">
        <v>43510</v>
      </c>
      <c r="M50" s="19">
        <v>4817</v>
      </c>
      <c r="N50" s="19">
        <v>3275</v>
      </c>
      <c r="O50" s="19">
        <v>30316</v>
      </c>
      <c r="P50" s="19">
        <v>295908</v>
      </c>
      <c r="Q50" s="19">
        <v>287110</v>
      </c>
      <c r="R50" s="19">
        <v>8798</v>
      </c>
      <c r="S50" s="19">
        <v>1158</v>
      </c>
      <c r="T50" s="19">
        <v>0</v>
      </c>
      <c r="U50" s="19">
        <v>0</v>
      </c>
      <c r="V50" s="19">
        <v>0</v>
      </c>
      <c r="W50" s="19">
        <v>0</v>
      </c>
      <c r="X50" s="19">
        <v>3453</v>
      </c>
      <c r="Y50" s="19">
        <v>4187</v>
      </c>
      <c r="Z50" s="19">
        <v>47276</v>
      </c>
      <c r="AA50" s="19">
        <v>3275</v>
      </c>
      <c r="AB50" s="19">
        <v>37177</v>
      </c>
      <c r="AC50" s="19">
        <v>6824</v>
      </c>
      <c r="AD50" s="19">
        <v>1488</v>
      </c>
      <c r="AE50" s="19">
        <v>1</v>
      </c>
      <c r="AF50" s="19">
        <v>0</v>
      </c>
      <c r="AG50" s="19">
        <v>0</v>
      </c>
      <c r="AH50" s="19">
        <v>0</v>
      </c>
      <c r="AI50" s="19">
        <v>4939</v>
      </c>
      <c r="AJ50" s="19">
        <v>396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</row>
    <row r="51" spans="1:45" ht="13.5" customHeight="1">
      <c r="A51" s="17" t="s">
        <v>148</v>
      </c>
      <c r="B51" s="18" t="s">
        <v>149</v>
      </c>
      <c r="C51" s="17" t="s">
        <v>59</v>
      </c>
      <c r="D51" s="19">
        <v>524892</v>
      </c>
      <c r="E51" s="19">
        <v>405547</v>
      </c>
      <c r="F51" s="19">
        <v>84207</v>
      </c>
      <c r="G51" s="19">
        <v>25406</v>
      </c>
      <c r="H51" s="19">
        <v>11149</v>
      </c>
      <c r="I51" s="19">
        <v>0</v>
      </c>
      <c r="J51" s="19">
        <v>7094</v>
      </c>
      <c r="K51" s="19">
        <v>910</v>
      </c>
      <c r="L51" s="19">
        <v>38519</v>
      </c>
      <c r="M51" s="19">
        <v>1129</v>
      </c>
      <c r="N51" s="19">
        <v>9017</v>
      </c>
      <c r="O51" s="19">
        <v>26121</v>
      </c>
      <c r="P51" s="19">
        <v>416620</v>
      </c>
      <c r="Q51" s="19">
        <v>405547</v>
      </c>
      <c r="R51" s="19">
        <v>11073</v>
      </c>
      <c r="S51" s="19">
        <v>7430</v>
      </c>
      <c r="T51" s="19">
        <v>0</v>
      </c>
      <c r="U51" s="19">
        <v>0</v>
      </c>
      <c r="V51" s="19">
        <v>0</v>
      </c>
      <c r="W51" s="19">
        <v>0</v>
      </c>
      <c r="X51" s="19">
        <v>3379</v>
      </c>
      <c r="Y51" s="19">
        <v>264</v>
      </c>
      <c r="Z51" s="19">
        <v>61672</v>
      </c>
      <c r="AA51" s="19">
        <v>9017</v>
      </c>
      <c r="AB51" s="19">
        <v>41253</v>
      </c>
      <c r="AC51" s="19">
        <v>11402</v>
      </c>
      <c r="AD51" s="19">
        <v>5431</v>
      </c>
      <c r="AE51" s="19">
        <v>1</v>
      </c>
      <c r="AF51" s="19">
        <v>0</v>
      </c>
      <c r="AG51" s="19">
        <v>0</v>
      </c>
      <c r="AH51" s="19">
        <v>0</v>
      </c>
      <c r="AI51" s="19">
        <v>5133</v>
      </c>
      <c r="AJ51" s="19">
        <v>837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</row>
    <row r="52" spans="1:45" ht="13.5" customHeight="1">
      <c r="A52" s="17" t="s">
        <v>150</v>
      </c>
      <c r="B52" s="18" t="s">
        <v>151</v>
      </c>
      <c r="C52" s="17" t="s">
        <v>59</v>
      </c>
      <c r="D52" s="19">
        <v>475410</v>
      </c>
      <c r="E52" s="19">
        <v>395644</v>
      </c>
      <c r="F52" s="19">
        <v>58438</v>
      </c>
      <c r="G52" s="19">
        <v>15634</v>
      </c>
      <c r="H52" s="19">
        <v>4702</v>
      </c>
      <c r="I52" s="19">
        <v>73</v>
      </c>
      <c r="J52" s="19">
        <v>0</v>
      </c>
      <c r="K52" s="19">
        <v>0</v>
      </c>
      <c r="L52" s="19">
        <v>37766</v>
      </c>
      <c r="M52" s="19">
        <v>263</v>
      </c>
      <c r="N52" s="19">
        <v>2664</v>
      </c>
      <c r="O52" s="19">
        <v>18664</v>
      </c>
      <c r="P52" s="19">
        <v>406316</v>
      </c>
      <c r="Q52" s="19">
        <v>395644</v>
      </c>
      <c r="R52" s="19">
        <v>10672</v>
      </c>
      <c r="S52" s="19">
        <v>7678</v>
      </c>
      <c r="T52" s="19">
        <v>52</v>
      </c>
      <c r="U52" s="19">
        <v>0</v>
      </c>
      <c r="V52" s="19">
        <v>0</v>
      </c>
      <c r="W52" s="19">
        <v>0</v>
      </c>
      <c r="X52" s="19">
        <v>2942</v>
      </c>
      <c r="Y52" s="19">
        <v>0</v>
      </c>
      <c r="Z52" s="19">
        <v>27808</v>
      </c>
      <c r="AA52" s="19">
        <v>2664</v>
      </c>
      <c r="AB52" s="19">
        <v>23022</v>
      </c>
      <c r="AC52" s="19">
        <v>2122</v>
      </c>
      <c r="AD52" s="19">
        <v>1101</v>
      </c>
      <c r="AE52" s="19">
        <v>2</v>
      </c>
      <c r="AF52" s="19">
        <v>0</v>
      </c>
      <c r="AG52" s="19">
        <v>0</v>
      </c>
      <c r="AH52" s="19">
        <v>0</v>
      </c>
      <c r="AI52" s="19">
        <v>988</v>
      </c>
      <c r="AJ52" s="19">
        <v>31</v>
      </c>
      <c r="AK52" s="17">
        <v>186</v>
      </c>
      <c r="AL52" s="17">
        <v>186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</row>
    <row r="53" spans="1:45" ht="13.5" customHeight="1">
      <c r="A53" s="17" t="s">
        <v>152</v>
      </c>
      <c r="B53" s="18" t="s">
        <v>153</v>
      </c>
      <c r="C53" s="17" t="s">
        <v>59</v>
      </c>
      <c r="D53" s="19">
        <v>39421341.102858923</v>
      </c>
      <c r="E53" s="19">
        <v>31491040.33937062</v>
      </c>
      <c r="F53" s="19">
        <v>5699585.3499999996</v>
      </c>
      <c r="G53" s="19">
        <v>1837408.42</v>
      </c>
      <c r="H53" s="19">
        <v>184140</v>
      </c>
      <c r="I53" s="19">
        <v>9570</v>
      </c>
      <c r="J53" s="19">
        <v>103124</v>
      </c>
      <c r="K53" s="19">
        <v>516448</v>
      </c>
      <c r="L53" s="19">
        <v>2995102.93</v>
      </c>
      <c r="M53" s="19">
        <v>53792</v>
      </c>
      <c r="N53" s="19">
        <v>339823.84</v>
      </c>
      <c r="O53" s="19">
        <v>1890891.5734883</v>
      </c>
      <c r="P53" s="19">
        <v>32999521.539523344</v>
      </c>
      <c r="Q53" s="19">
        <v>31491040.33937062</v>
      </c>
      <c r="R53" s="19">
        <v>1508481.2001527245</v>
      </c>
      <c r="S53" s="19">
        <v>1078996.2556377333</v>
      </c>
      <c r="T53" s="19">
        <v>2323</v>
      </c>
      <c r="U53" s="19">
        <v>0</v>
      </c>
      <c r="V53" s="19">
        <v>21661</v>
      </c>
      <c r="W53" s="19">
        <v>41937</v>
      </c>
      <c r="X53" s="19">
        <v>343290.94451499125</v>
      </c>
      <c r="Y53" s="19">
        <v>20273</v>
      </c>
      <c r="Z53" s="19">
        <v>3423888.5612424957</v>
      </c>
      <c r="AA53" s="19">
        <v>339823.84</v>
      </c>
      <c r="AB53" s="19">
        <v>2673366.7686873428</v>
      </c>
      <c r="AC53" s="19">
        <v>410697.95255515288</v>
      </c>
      <c r="AD53" s="19">
        <v>229031</v>
      </c>
      <c r="AE53" s="19">
        <v>1467</v>
      </c>
      <c r="AF53" s="19">
        <v>0</v>
      </c>
      <c r="AG53" s="19">
        <v>1300</v>
      </c>
      <c r="AH53" s="19">
        <v>2088</v>
      </c>
      <c r="AI53" s="19">
        <v>155447.95255515291</v>
      </c>
      <c r="AJ53" s="19">
        <v>21364</v>
      </c>
      <c r="AK53" s="17">
        <v>4724</v>
      </c>
      <c r="AL53" s="17">
        <v>3877</v>
      </c>
      <c r="AM53" s="17">
        <v>292</v>
      </c>
      <c r="AN53" s="17">
        <v>0</v>
      </c>
      <c r="AO53" s="17">
        <v>0</v>
      </c>
      <c r="AP53" s="17">
        <v>0</v>
      </c>
      <c r="AQ53" s="17">
        <v>0</v>
      </c>
      <c r="AR53" s="17">
        <v>240</v>
      </c>
      <c r="AS53" s="17">
        <v>315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75" orientation="landscape" r:id="rId1"/>
  <headerFooter alignWithMargins="0">
    <oddHeader xml:space="preserve">&amp;Lごみ処理の状況（令和2年度実績）&amp;R
</oddHeader>
  </headerFooter>
  <colBreaks count="3" manualBreakCount="3">
    <brk id="15" min="1" max="23" man="1"/>
    <brk id="25" min="1" max="23" man="1"/>
    <brk id="36" min="1" max="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J52"/>
  <sheetViews>
    <sheetView zoomScaleNormal="100" workbookViewId="0">
      <pane xSplit="3" ySplit="4" topLeftCell="D5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/>
  <cols>
    <col min="1" max="1" width="10.75" style="10" customWidth="1"/>
    <col min="2" max="2" width="8.75" style="13" customWidth="1"/>
    <col min="3" max="3" width="12.625" style="10" customWidth="1"/>
    <col min="4" max="34" width="10.625" style="14" customWidth="1"/>
    <col min="35" max="43" width="10.625" style="15" customWidth="1"/>
    <col min="44" max="77" width="10.625" style="14" customWidth="1"/>
    <col min="78" max="85" width="10.625" style="15" customWidth="1"/>
    <col min="86" max="87" width="10.625" style="14" customWidth="1"/>
    <col min="88" max="88" width="9" style="27"/>
    <col min="89" max="16384" width="9" style="10"/>
  </cols>
  <sheetData>
    <row r="1" spans="1:88" s="3" customFormat="1" ht="17.25">
      <c r="A1" s="1" t="s">
        <v>251</v>
      </c>
      <c r="B1" s="2"/>
      <c r="C1" s="2"/>
      <c r="D1" s="4"/>
      <c r="E1" s="4"/>
      <c r="Y1" s="4"/>
      <c r="Z1" s="4"/>
      <c r="AI1" s="5"/>
      <c r="AJ1" s="5"/>
      <c r="AK1" s="5"/>
      <c r="AL1" s="5"/>
      <c r="AM1" s="5"/>
      <c r="AN1" s="5"/>
      <c r="AO1" s="5"/>
      <c r="AP1" s="5"/>
      <c r="AQ1" s="5"/>
      <c r="AU1" s="4"/>
      <c r="BP1" s="4"/>
      <c r="BZ1" s="5"/>
      <c r="CA1" s="5"/>
      <c r="CB1" s="5"/>
      <c r="CC1" s="5"/>
      <c r="CD1" s="5"/>
      <c r="CE1" s="5"/>
      <c r="CF1" s="5"/>
      <c r="CG1" s="5"/>
      <c r="CJ1" s="25"/>
    </row>
    <row r="2" spans="1:88" ht="25.5" customHeight="1">
      <c r="A2" s="7" t="s">
        <v>1</v>
      </c>
      <c r="B2" s="7" t="s">
        <v>2</v>
      </c>
      <c r="C2" s="8" t="s">
        <v>3</v>
      </c>
      <c r="D2" s="26" t="s">
        <v>252</v>
      </c>
      <c r="E2" s="26" t="s">
        <v>252</v>
      </c>
      <c r="F2" s="26" t="s">
        <v>252</v>
      </c>
      <c r="G2" s="26" t="s">
        <v>252</v>
      </c>
      <c r="H2" s="26" t="s">
        <v>252</v>
      </c>
      <c r="I2" s="26" t="s">
        <v>252</v>
      </c>
      <c r="J2" s="26" t="s">
        <v>252</v>
      </c>
      <c r="K2" s="26" t="s">
        <v>252</v>
      </c>
      <c r="L2" s="26" t="s">
        <v>252</v>
      </c>
      <c r="M2" s="26" t="s">
        <v>252</v>
      </c>
      <c r="N2" s="26" t="s">
        <v>252</v>
      </c>
      <c r="O2" s="26" t="s">
        <v>252</v>
      </c>
      <c r="P2" s="26" t="s">
        <v>252</v>
      </c>
      <c r="Q2" s="26" t="s">
        <v>252</v>
      </c>
      <c r="R2" s="26" t="s">
        <v>252</v>
      </c>
      <c r="S2" s="26" t="s">
        <v>252</v>
      </c>
      <c r="T2" s="26" t="s">
        <v>252</v>
      </c>
      <c r="U2" s="26" t="s">
        <v>252</v>
      </c>
      <c r="V2" s="26" t="s">
        <v>252</v>
      </c>
      <c r="W2" s="26" t="s">
        <v>252</v>
      </c>
      <c r="X2" s="26" t="s">
        <v>252</v>
      </c>
      <c r="Y2" s="26" t="s">
        <v>253</v>
      </c>
      <c r="Z2" s="26" t="s">
        <v>253</v>
      </c>
      <c r="AA2" s="26" t="s">
        <v>253</v>
      </c>
      <c r="AB2" s="26" t="s">
        <v>253</v>
      </c>
      <c r="AC2" s="26" t="s">
        <v>253</v>
      </c>
      <c r="AD2" s="26" t="s">
        <v>253</v>
      </c>
      <c r="AE2" s="26" t="s">
        <v>253</v>
      </c>
      <c r="AF2" s="26" t="s">
        <v>253</v>
      </c>
      <c r="AG2" s="26" t="s">
        <v>253</v>
      </c>
      <c r="AH2" s="26" t="s">
        <v>253</v>
      </c>
      <c r="AI2" s="26" t="s">
        <v>253</v>
      </c>
      <c r="AJ2" s="26" t="s">
        <v>253</v>
      </c>
      <c r="AK2" s="26" t="s">
        <v>253</v>
      </c>
      <c r="AL2" s="26" t="s">
        <v>253</v>
      </c>
      <c r="AM2" s="26" t="s">
        <v>253</v>
      </c>
      <c r="AN2" s="26" t="s">
        <v>253</v>
      </c>
      <c r="AO2" s="26" t="s">
        <v>253</v>
      </c>
      <c r="AP2" s="26" t="s">
        <v>253</v>
      </c>
      <c r="AQ2" s="26" t="s">
        <v>253</v>
      </c>
      <c r="AR2" s="26" t="s">
        <v>253</v>
      </c>
      <c r="AS2" s="26" t="s">
        <v>253</v>
      </c>
      <c r="AT2" s="26" t="s">
        <v>254</v>
      </c>
      <c r="AU2" s="26" t="s">
        <v>254</v>
      </c>
      <c r="AV2" s="26" t="s">
        <v>254</v>
      </c>
      <c r="AW2" s="26" t="s">
        <v>254</v>
      </c>
      <c r="AX2" s="26" t="s">
        <v>254</v>
      </c>
      <c r="AY2" s="26" t="s">
        <v>254</v>
      </c>
      <c r="AZ2" s="26" t="s">
        <v>254</v>
      </c>
      <c r="BA2" s="26" t="s">
        <v>254</v>
      </c>
      <c r="BB2" s="26" t="s">
        <v>254</v>
      </c>
      <c r="BC2" s="26" t="s">
        <v>254</v>
      </c>
      <c r="BD2" s="26" t="s">
        <v>254</v>
      </c>
      <c r="BE2" s="26" t="s">
        <v>254</v>
      </c>
      <c r="BF2" s="26" t="s">
        <v>254</v>
      </c>
      <c r="BG2" s="26" t="s">
        <v>254</v>
      </c>
      <c r="BH2" s="26" t="s">
        <v>254</v>
      </c>
      <c r="BI2" s="26" t="s">
        <v>254</v>
      </c>
      <c r="BJ2" s="26" t="s">
        <v>254</v>
      </c>
      <c r="BK2" s="26" t="s">
        <v>254</v>
      </c>
      <c r="BL2" s="26" t="s">
        <v>254</v>
      </c>
      <c r="BM2" s="26" t="s">
        <v>254</v>
      </c>
      <c r="BN2" s="26" t="s">
        <v>254</v>
      </c>
      <c r="BO2" s="9" t="s">
        <v>255</v>
      </c>
      <c r="BP2" s="9" t="s">
        <v>255</v>
      </c>
      <c r="BQ2" s="9" t="s">
        <v>255</v>
      </c>
      <c r="BR2" s="9" t="s">
        <v>255</v>
      </c>
      <c r="BS2" s="9" t="s">
        <v>255</v>
      </c>
      <c r="BT2" s="9" t="s">
        <v>255</v>
      </c>
      <c r="BU2" s="9" t="s">
        <v>255</v>
      </c>
      <c r="BV2" s="9" t="s">
        <v>255</v>
      </c>
      <c r="BW2" s="9" t="s">
        <v>255</v>
      </c>
      <c r="BX2" s="9" t="s">
        <v>255</v>
      </c>
      <c r="BY2" s="9" t="s">
        <v>255</v>
      </c>
      <c r="BZ2" s="9" t="s">
        <v>255</v>
      </c>
      <c r="CA2" s="9" t="s">
        <v>255</v>
      </c>
      <c r="CB2" s="9" t="s">
        <v>255</v>
      </c>
      <c r="CC2" s="9" t="s">
        <v>255</v>
      </c>
      <c r="CD2" s="9" t="s">
        <v>255</v>
      </c>
      <c r="CE2" s="9" t="s">
        <v>255</v>
      </c>
      <c r="CF2" s="9" t="s">
        <v>255</v>
      </c>
      <c r="CG2" s="9" t="s">
        <v>255</v>
      </c>
      <c r="CH2" s="9" t="s">
        <v>255</v>
      </c>
      <c r="CI2" s="9" t="s">
        <v>255</v>
      </c>
      <c r="CJ2" s="7" t="s">
        <v>256</v>
      </c>
    </row>
    <row r="3" spans="1:88" ht="25.5" customHeight="1">
      <c r="A3" s="7"/>
      <c r="B3" s="7"/>
      <c r="C3" s="8"/>
      <c r="D3" s="11" t="s">
        <v>23</v>
      </c>
      <c r="E3" s="8" t="s">
        <v>257</v>
      </c>
      <c r="F3" s="8" t="s">
        <v>258</v>
      </c>
      <c r="G3" s="8" t="s">
        <v>259</v>
      </c>
      <c r="H3" s="8" t="s">
        <v>260</v>
      </c>
      <c r="I3" s="8" t="s">
        <v>261</v>
      </c>
      <c r="J3" s="7" t="s">
        <v>262</v>
      </c>
      <c r="K3" s="8" t="s">
        <v>263</v>
      </c>
      <c r="L3" s="7" t="s">
        <v>264</v>
      </c>
      <c r="M3" s="7" t="s">
        <v>265</v>
      </c>
      <c r="N3" s="8" t="s">
        <v>266</v>
      </c>
      <c r="O3" s="8" t="s">
        <v>267</v>
      </c>
      <c r="P3" s="8" t="s">
        <v>268</v>
      </c>
      <c r="Q3" s="8" t="s">
        <v>269</v>
      </c>
      <c r="R3" s="7" t="s">
        <v>270</v>
      </c>
      <c r="S3" s="8" t="s">
        <v>271</v>
      </c>
      <c r="T3" s="8" t="s">
        <v>272</v>
      </c>
      <c r="U3" s="7" t="s">
        <v>273</v>
      </c>
      <c r="V3" s="7" t="s">
        <v>274</v>
      </c>
      <c r="W3" s="7" t="s">
        <v>275</v>
      </c>
      <c r="X3" s="7" t="s">
        <v>231</v>
      </c>
      <c r="Y3" s="11" t="s">
        <v>23</v>
      </c>
      <c r="Z3" s="8" t="s">
        <v>257</v>
      </c>
      <c r="AA3" s="8" t="s">
        <v>258</v>
      </c>
      <c r="AB3" s="8" t="s">
        <v>259</v>
      </c>
      <c r="AC3" s="8" t="s">
        <v>260</v>
      </c>
      <c r="AD3" s="8" t="s">
        <v>261</v>
      </c>
      <c r="AE3" s="7" t="s">
        <v>262</v>
      </c>
      <c r="AF3" s="8" t="s">
        <v>263</v>
      </c>
      <c r="AG3" s="7" t="s">
        <v>264</v>
      </c>
      <c r="AH3" s="7" t="s">
        <v>265</v>
      </c>
      <c r="AI3" s="8" t="s">
        <v>266</v>
      </c>
      <c r="AJ3" s="8" t="s">
        <v>267</v>
      </c>
      <c r="AK3" s="8" t="s">
        <v>268</v>
      </c>
      <c r="AL3" s="8" t="s">
        <v>269</v>
      </c>
      <c r="AM3" s="7" t="s">
        <v>270</v>
      </c>
      <c r="AN3" s="8" t="s">
        <v>271</v>
      </c>
      <c r="AO3" s="8" t="s">
        <v>272</v>
      </c>
      <c r="AP3" s="7" t="s">
        <v>273</v>
      </c>
      <c r="AQ3" s="7" t="s">
        <v>274</v>
      </c>
      <c r="AR3" s="7" t="s">
        <v>275</v>
      </c>
      <c r="AS3" s="7" t="s">
        <v>231</v>
      </c>
      <c r="AT3" s="11" t="s">
        <v>23</v>
      </c>
      <c r="AU3" s="8" t="s">
        <v>257</v>
      </c>
      <c r="AV3" s="8" t="s">
        <v>258</v>
      </c>
      <c r="AW3" s="8" t="s">
        <v>259</v>
      </c>
      <c r="AX3" s="8" t="s">
        <v>260</v>
      </c>
      <c r="AY3" s="8" t="s">
        <v>261</v>
      </c>
      <c r="AZ3" s="7" t="s">
        <v>262</v>
      </c>
      <c r="BA3" s="8" t="s">
        <v>263</v>
      </c>
      <c r="BB3" s="7" t="s">
        <v>264</v>
      </c>
      <c r="BC3" s="7" t="s">
        <v>265</v>
      </c>
      <c r="BD3" s="8" t="s">
        <v>266</v>
      </c>
      <c r="BE3" s="8" t="s">
        <v>267</v>
      </c>
      <c r="BF3" s="8" t="s">
        <v>268</v>
      </c>
      <c r="BG3" s="8" t="s">
        <v>269</v>
      </c>
      <c r="BH3" s="7" t="s">
        <v>270</v>
      </c>
      <c r="BI3" s="8" t="s">
        <v>271</v>
      </c>
      <c r="BJ3" s="8" t="s">
        <v>272</v>
      </c>
      <c r="BK3" s="7" t="s">
        <v>273</v>
      </c>
      <c r="BL3" s="7" t="s">
        <v>274</v>
      </c>
      <c r="BM3" s="7" t="s">
        <v>275</v>
      </c>
      <c r="BN3" s="7" t="s">
        <v>231</v>
      </c>
      <c r="BO3" s="11" t="s">
        <v>23</v>
      </c>
      <c r="BP3" s="8" t="s">
        <v>257</v>
      </c>
      <c r="BQ3" s="8" t="s">
        <v>258</v>
      </c>
      <c r="BR3" s="8" t="s">
        <v>259</v>
      </c>
      <c r="BS3" s="8" t="s">
        <v>260</v>
      </c>
      <c r="BT3" s="8" t="s">
        <v>261</v>
      </c>
      <c r="BU3" s="7" t="s">
        <v>262</v>
      </c>
      <c r="BV3" s="8" t="s">
        <v>263</v>
      </c>
      <c r="BW3" s="7" t="s">
        <v>264</v>
      </c>
      <c r="BX3" s="7" t="s">
        <v>265</v>
      </c>
      <c r="BY3" s="8" t="s">
        <v>266</v>
      </c>
      <c r="BZ3" s="8" t="s">
        <v>267</v>
      </c>
      <c r="CA3" s="8" t="s">
        <v>268</v>
      </c>
      <c r="CB3" s="8" t="s">
        <v>269</v>
      </c>
      <c r="CC3" s="7" t="s">
        <v>270</v>
      </c>
      <c r="CD3" s="8" t="s">
        <v>271</v>
      </c>
      <c r="CE3" s="8" t="s">
        <v>272</v>
      </c>
      <c r="CF3" s="7" t="s">
        <v>273</v>
      </c>
      <c r="CG3" s="7" t="s">
        <v>274</v>
      </c>
      <c r="CH3" s="7" t="s">
        <v>275</v>
      </c>
      <c r="CI3" s="7" t="s">
        <v>231</v>
      </c>
      <c r="CJ3" s="7"/>
    </row>
    <row r="4" spans="1:88" s="12" customFormat="1" ht="13.5" customHeight="1">
      <c r="A4" s="7"/>
      <c r="B4" s="7"/>
      <c r="C4" s="8"/>
      <c r="D4" s="11" t="s">
        <v>51</v>
      </c>
      <c r="E4" s="11" t="s">
        <v>51</v>
      </c>
      <c r="F4" s="11" t="s">
        <v>54</v>
      </c>
      <c r="G4" s="11" t="s">
        <v>51</v>
      </c>
      <c r="H4" s="11" t="s">
        <v>51</v>
      </c>
      <c r="I4" s="11" t="s">
        <v>51</v>
      </c>
      <c r="J4" s="11" t="s">
        <v>51</v>
      </c>
      <c r="K4" s="11" t="s">
        <v>51</v>
      </c>
      <c r="L4" s="11" t="s">
        <v>51</v>
      </c>
      <c r="M4" s="11" t="s">
        <v>54</v>
      </c>
      <c r="N4" s="11" t="s">
        <v>51</v>
      </c>
      <c r="O4" s="11" t="s">
        <v>54</v>
      </c>
      <c r="P4" s="11" t="s">
        <v>51</v>
      </c>
      <c r="Q4" s="11" t="s">
        <v>54</v>
      </c>
      <c r="R4" s="11" t="s">
        <v>54</v>
      </c>
      <c r="S4" s="11" t="s">
        <v>51</v>
      </c>
      <c r="T4" s="11" t="s">
        <v>51</v>
      </c>
      <c r="U4" s="11" t="s">
        <v>54</v>
      </c>
      <c r="V4" s="11" t="s">
        <v>51</v>
      </c>
      <c r="W4" s="11" t="s">
        <v>54</v>
      </c>
      <c r="X4" s="11" t="s">
        <v>51</v>
      </c>
      <c r="Y4" s="11" t="s">
        <v>51</v>
      </c>
      <c r="Z4" s="11" t="s">
        <v>54</v>
      </c>
      <c r="AA4" s="11" t="s">
        <v>54</v>
      </c>
      <c r="AB4" s="11" t="s">
        <v>54</v>
      </c>
      <c r="AC4" s="11" t="s">
        <v>54</v>
      </c>
      <c r="AD4" s="11" t="s">
        <v>54</v>
      </c>
      <c r="AE4" s="11" t="s">
        <v>54</v>
      </c>
      <c r="AF4" s="11" t="s">
        <v>51</v>
      </c>
      <c r="AG4" s="11" t="s">
        <v>54</v>
      </c>
      <c r="AH4" s="11" t="s">
        <v>54</v>
      </c>
      <c r="AI4" s="11" t="s">
        <v>54</v>
      </c>
      <c r="AJ4" s="11" t="s">
        <v>51</v>
      </c>
      <c r="AK4" s="11" t="s">
        <v>54</v>
      </c>
      <c r="AL4" s="11" t="s">
        <v>54</v>
      </c>
      <c r="AM4" s="11" t="s">
        <v>54</v>
      </c>
      <c r="AN4" s="11" t="s">
        <v>54</v>
      </c>
      <c r="AO4" s="11" t="s">
        <v>54</v>
      </c>
      <c r="AP4" s="11" t="s">
        <v>54</v>
      </c>
      <c r="AQ4" s="11" t="s">
        <v>54</v>
      </c>
      <c r="AR4" s="11" t="s">
        <v>54</v>
      </c>
      <c r="AS4" s="11" t="s">
        <v>54</v>
      </c>
      <c r="AT4" s="11" t="s">
        <v>54</v>
      </c>
      <c r="AU4" s="11" t="s">
        <v>54</v>
      </c>
      <c r="AV4" s="11" t="s">
        <v>54</v>
      </c>
      <c r="AW4" s="11" t="s">
        <v>54</v>
      </c>
      <c r="AX4" s="11" t="s">
        <v>54</v>
      </c>
      <c r="AY4" s="11" t="s">
        <v>54</v>
      </c>
      <c r="AZ4" s="11" t="s">
        <v>54</v>
      </c>
      <c r="BA4" s="11" t="s">
        <v>54</v>
      </c>
      <c r="BB4" s="11" t="s">
        <v>54</v>
      </c>
      <c r="BC4" s="11" t="s">
        <v>54</v>
      </c>
      <c r="BD4" s="11" t="s">
        <v>54</v>
      </c>
      <c r="BE4" s="11" t="s">
        <v>51</v>
      </c>
      <c r="BF4" s="11" t="s">
        <v>54</v>
      </c>
      <c r="BG4" s="11" t="s">
        <v>54</v>
      </c>
      <c r="BH4" s="11" t="s">
        <v>54</v>
      </c>
      <c r="BI4" s="11" t="s">
        <v>54</v>
      </c>
      <c r="BJ4" s="11" t="s">
        <v>51</v>
      </c>
      <c r="BK4" s="11" t="s">
        <v>54</v>
      </c>
      <c r="BL4" s="11" t="s">
        <v>51</v>
      </c>
      <c r="BM4" s="11" t="s">
        <v>54</v>
      </c>
      <c r="BN4" s="11" t="s">
        <v>54</v>
      </c>
      <c r="BO4" s="11" t="s">
        <v>54</v>
      </c>
      <c r="BP4" s="11" t="s">
        <v>51</v>
      </c>
      <c r="BQ4" s="11" t="s">
        <v>54</v>
      </c>
      <c r="BR4" s="11" t="s">
        <v>54</v>
      </c>
      <c r="BS4" s="11" t="s">
        <v>54</v>
      </c>
      <c r="BT4" s="11" t="s">
        <v>54</v>
      </c>
      <c r="BU4" s="11" t="s">
        <v>54</v>
      </c>
      <c r="BV4" s="11" t="s">
        <v>54</v>
      </c>
      <c r="BW4" s="11" t="s">
        <v>54</v>
      </c>
      <c r="BX4" s="11" t="s">
        <v>54</v>
      </c>
      <c r="BY4" s="11" t="s">
        <v>54</v>
      </c>
      <c r="BZ4" s="11" t="s">
        <v>54</v>
      </c>
      <c r="CA4" s="11" t="s">
        <v>51</v>
      </c>
      <c r="CB4" s="11" t="s">
        <v>54</v>
      </c>
      <c r="CC4" s="11" t="s">
        <v>54</v>
      </c>
      <c r="CD4" s="11" t="s">
        <v>54</v>
      </c>
      <c r="CE4" s="11" t="s">
        <v>54</v>
      </c>
      <c r="CF4" s="11" t="s">
        <v>54</v>
      </c>
      <c r="CG4" s="11" t="s">
        <v>54</v>
      </c>
      <c r="CH4" s="11" t="s">
        <v>54</v>
      </c>
      <c r="CI4" s="11" t="s">
        <v>54</v>
      </c>
      <c r="CJ4" s="7"/>
    </row>
    <row r="5" spans="1:88" ht="13.5" customHeight="1">
      <c r="A5" s="17" t="s">
        <v>57</v>
      </c>
      <c r="B5" s="18" t="s">
        <v>58</v>
      </c>
      <c r="C5" s="17" t="s">
        <v>59</v>
      </c>
      <c r="D5" s="19">
        <v>419070</v>
      </c>
      <c r="E5" s="19">
        <v>159037</v>
      </c>
      <c r="F5" s="19">
        <v>1069</v>
      </c>
      <c r="G5" s="19">
        <v>10264</v>
      </c>
      <c r="H5" s="19">
        <v>38035</v>
      </c>
      <c r="I5" s="19">
        <v>32889</v>
      </c>
      <c r="J5" s="19">
        <v>22271</v>
      </c>
      <c r="K5" s="19">
        <v>594</v>
      </c>
      <c r="L5" s="19">
        <v>54769</v>
      </c>
      <c r="M5" s="19">
        <v>1413</v>
      </c>
      <c r="N5" s="19">
        <v>884</v>
      </c>
      <c r="O5" s="19">
        <v>8607</v>
      </c>
      <c r="P5" s="19">
        <v>0</v>
      </c>
      <c r="Q5" s="19">
        <v>6500</v>
      </c>
      <c r="R5" s="19">
        <v>19854</v>
      </c>
      <c r="S5" s="19">
        <v>538</v>
      </c>
      <c r="T5" s="19">
        <v>18278</v>
      </c>
      <c r="U5" s="19">
        <v>0</v>
      </c>
      <c r="V5" s="19">
        <v>0</v>
      </c>
      <c r="W5" s="19">
        <v>278</v>
      </c>
      <c r="X5" s="19">
        <v>43790</v>
      </c>
      <c r="Y5" s="19">
        <v>32719</v>
      </c>
      <c r="Z5" s="19">
        <v>22309</v>
      </c>
      <c r="AA5" s="19">
        <v>119</v>
      </c>
      <c r="AB5" s="19">
        <v>809</v>
      </c>
      <c r="AC5" s="19">
        <v>2043</v>
      </c>
      <c r="AD5" s="19">
        <v>1047</v>
      </c>
      <c r="AE5" s="19">
        <v>693</v>
      </c>
      <c r="AF5" s="19">
        <v>77</v>
      </c>
      <c r="AG5" s="19">
        <v>507</v>
      </c>
      <c r="AH5" s="19">
        <v>87</v>
      </c>
      <c r="AI5" s="20">
        <v>199</v>
      </c>
      <c r="AJ5" s="20" t="s">
        <v>276</v>
      </c>
      <c r="AK5" s="20" t="s">
        <v>276</v>
      </c>
      <c r="AL5" s="20" t="s">
        <v>276</v>
      </c>
      <c r="AM5" s="20" t="s">
        <v>276</v>
      </c>
      <c r="AN5" s="20" t="s">
        <v>276</v>
      </c>
      <c r="AO5" s="20" t="s">
        <v>276</v>
      </c>
      <c r="AP5" s="20" t="s">
        <v>276</v>
      </c>
      <c r="AQ5" s="20" t="s">
        <v>276</v>
      </c>
      <c r="AR5" s="19">
        <v>188</v>
      </c>
      <c r="AS5" s="19">
        <v>4641</v>
      </c>
      <c r="AT5" s="19">
        <v>277715</v>
      </c>
      <c r="AU5" s="19">
        <v>45687</v>
      </c>
      <c r="AV5" s="19">
        <v>436</v>
      </c>
      <c r="AW5" s="19">
        <v>7222</v>
      </c>
      <c r="AX5" s="19">
        <v>33239</v>
      </c>
      <c r="AY5" s="19">
        <v>30259</v>
      </c>
      <c r="AZ5" s="19">
        <v>21452</v>
      </c>
      <c r="BA5" s="19">
        <v>517</v>
      </c>
      <c r="BB5" s="19">
        <v>54262</v>
      </c>
      <c r="BC5" s="19">
        <v>1326</v>
      </c>
      <c r="BD5" s="19">
        <v>439</v>
      </c>
      <c r="BE5" s="19">
        <v>8607</v>
      </c>
      <c r="BF5" s="19">
        <v>0</v>
      </c>
      <c r="BG5" s="19">
        <v>6500</v>
      </c>
      <c r="BH5" s="19">
        <v>19854</v>
      </c>
      <c r="BI5" s="19">
        <v>538</v>
      </c>
      <c r="BJ5" s="19">
        <v>18278</v>
      </c>
      <c r="BK5" s="19">
        <v>0</v>
      </c>
      <c r="BL5" s="19">
        <v>0</v>
      </c>
      <c r="BM5" s="19">
        <v>90</v>
      </c>
      <c r="BN5" s="19">
        <v>29009</v>
      </c>
      <c r="BO5" s="19">
        <v>108636</v>
      </c>
      <c r="BP5" s="19">
        <v>91041</v>
      </c>
      <c r="BQ5" s="19">
        <v>514</v>
      </c>
      <c r="BR5" s="19">
        <v>2233</v>
      </c>
      <c r="BS5" s="19">
        <v>2753</v>
      </c>
      <c r="BT5" s="19">
        <v>1583</v>
      </c>
      <c r="BU5" s="19">
        <v>126</v>
      </c>
      <c r="BV5" s="19">
        <v>0</v>
      </c>
      <c r="BW5" s="19">
        <v>0</v>
      </c>
      <c r="BX5" s="19">
        <v>0</v>
      </c>
      <c r="BY5" s="19">
        <v>246</v>
      </c>
      <c r="BZ5" s="20" t="s">
        <v>276</v>
      </c>
      <c r="CA5" s="20" t="s">
        <v>276</v>
      </c>
      <c r="CB5" s="20" t="s">
        <v>276</v>
      </c>
      <c r="CC5" s="20" t="s">
        <v>276</v>
      </c>
      <c r="CD5" s="20" t="s">
        <v>276</v>
      </c>
      <c r="CE5" s="20" t="s">
        <v>276</v>
      </c>
      <c r="CF5" s="20" t="s">
        <v>276</v>
      </c>
      <c r="CG5" s="20" t="s">
        <v>276</v>
      </c>
      <c r="CH5" s="19">
        <v>0</v>
      </c>
      <c r="CI5" s="19">
        <v>10140</v>
      </c>
      <c r="CJ5" s="28">
        <v>168</v>
      </c>
    </row>
    <row r="6" spans="1:88" ht="13.5" customHeight="1">
      <c r="A6" s="17" t="s">
        <v>60</v>
      </c>
      <c r="B6" s="18" t="s">
        <v>61</v>
      </c>
      <c r="C6" s="17" t="s">
        <v>59</v>
      </c>
      <c r="D6" s="19">
        <v>64958.8736383</v>
      </c>
      <c r="E6" s="19">
        <v>22463.93</v>
      </c>
      <c r="F6" s="19">
        <v>107</v>
      </c>
      <c r="G6" s="19">
        <v>695.41700000000003</v>
      </c>
      <c r="H6" s="19">
        <v>10796.1059448</v>
      </c>
      <c r="I6" s="19">
        <v>7882.3446110000004</v>
      </c>
      <c r="J6" s="19">
        <v>3317.0760824999998</v>
      </c>
      <c r="K6" s="19">
        <v>18</v>
      </c>
      <c r="L6" s="19">
        <v>2758</v>
      </c>
      <c r="M6" s="19">
        <v>261</v>
      </c>
      <c r="N6" s="19">
        <v>73</v>
      </c>
      <c r="O6" s="19">
        <v>686</v>
      </c>
      <c r="P6" s="19">
        <v>0</v>
      </c>
      <c r="Q6" s="19">
        <v>7696</v>
      </c>
      <c r="R6" s="19">
        <v>0</v>
      </c>
      <c r="S6" s="19">
        <v>0</v>
      </c>
      <c r="T6" s="19">
        <v>5751</v>
      </c>
      <c r="U6" s="19">
        <v>0</v>
      </c>
      <c r="V6" s="19">
        <v>1474</v>
      </c>
      <c r="W6" s="19">
        <v>48</v>
      </c>
      <c r="X6" s="19">
        <v>932</v>
      </c>
      <c r="Y6" s="19">
        <v>10000.873638300001</v>
      </c>
      <c r="Z6" s="19">
        <v>7012.93</v>
      </c>
      <c r="AA6" s="19">
        <v>15</v>
      </c>
      <c r="AB6" s="19">
        <v>189.417</v>
      </c>
      <c r="AC6" s="19">
        <v>1421.1059448000001</v>
      </c>
      <c r="AD6" s="19">
        <v>750.34461099999999</v>
      </c>
      <c r="AE6" s="19">
        <v>305.07608249999998</v>
      </c>
      <c r="AF6" s="19">
        <v>16</v>
      </c>
      <c r="AG6" s="19">
        <v>231</v>
      </c>
      <c r="AH6" s="19">
        <v>0</v>
      </c>
      <c r="AI6" s="20">
        <v>36</v>
      </c>
      <c r="AJ6" s="20" t="s">
        <v>276</v>
      </c>
      <c r="AK6" s="20" t="s">
        <v>276</v>
      </c>
      <c r="AL6" s="20" t="s">
        <v>276</v>
      </c>
      <c r="AM6" s="20" t="s">
        <v>276</v>
      </c>
      <c r="AN6" s="20" t="s">
        <v>276</v>
      </c>
      <c r="AO6" s="20" t="s">
        <v>276</v>
      </c>
      <c r="AP6" s="20" t="s">
        <v>276</v>
      </c>
      <c r="AQ6" s="20" t="s">
        <v>276</v>
      </c>
      <c r="AR6" s="19">
        <v>0</v>
      </c>
      <c r="AS6" s="19">
        <v>24</v>
      </c>
      <c r="AT6" s="19">
        <v>46414</v>
      </c>
      <c r="AU6" s="19">
        <v>7749</v>
      </c>
      <c r="AV6" s="19">
        <v>48</v>
      </c>
      <c r="AW6" s="19">
        <v>503</v>
      </c>
      <c r="AX6" s="19">
        <v>8801</v>
      </c>
      <c r="AY6" s="19">
        <v>7028</v>
      </c>
      <c r="AZ6" s="19">
        <v>2955</v>
      </c>
      <c r="BA6" s="19">
        <v>2</v>
      </c>
      <c r="BB6" s="19">
        <v>2527</v>
      </c>
      <c r="BC6" s="19">
        <v>259</v>
      </c>
      <c r="BD6" s="19">
        <v>2</v>
      </c>
      <c r="BE6" s="19">
        <v>686</v>
      </c>
      <c r="BF6" s="19">
        <v>0</v>
      </c>
      <c r="BG6" s="19">
        <v>7696</v>
      </c>
      <c r="BH6" s="19">
        <v>0</v>
      </c>
      <c r="BI6" s="19">
        <v>0</v>
      </c>
      <c r="BJ6" s="19">
        <v>5751</v>
      </c>
      <c r="BK6" s="19">
        <v>0</v>
      </c>
      <c r="BL6" s="19">
        <v>1474</v>
      </c>
      <c r="BM6" s="19">
        <v>36</v>
      </c>
      <c r="BN6" s="19">
        <v>897</v>
      </c>
      <c r="BO6" s="19">
        <v>8544</v>
      </c>
      <c r="BP6" s="19">
        <v>7702</v>
      </c>
      <c r="BQ6" s="19">
        <v>44</v>
      </c>
      <c r="BR6" s="19">
        <v>3</v>
      </c>
      <c r="BS6" s="19">
        <v>574</v>
      </c>
      <c r="BT6" s="19">
        <v>104</v>
      </c>
      <c r="BU6" s="19">
        <v>57</v>
      </c>
      <c r="BV6" s="19">
        <v>0</v>
      </c>
      <c r="BW6" s="19">
        <v>0</v>
      </c>
      <c r="BX6" s="19">
        <v>2</v>
      </c>
      <c r="BY6" s="19">
        <v>35</v>
      </c>
      <c r="BZ6" s="20" t="s">
        <v>276</v>
      </c>
      <c r="CA6" s="20" t="s">
        <v>276</v>
      </c>
      <c r="CB6" s="20" t="s">
        <v>276</v>
      </c>
      <c r="CC6" s="20" t="s">
        <v>276</v>
      </c>
      <c r="CD6" s="20" t="s">
        <v>276</v>
      </c>
      <c r="CE6" s="20" t="s">
        <v>276</v>
      </c>
      <c r="CF6" s="20" t="s">
        <v>276</v>
      </c>
      <c r="CG6" s="20" t="s">
        <v>276</v>
      </c>
      <c r="CH6" s="19">
        <v>12</v>
      </c>
      <c r="CI6" s="19">
        <v>11</v>
      </c>
      <c r="CJ6" s="28">
        <v>37</v>
      </c>
    </row>
    <row r="7" spans="1:88" ht="13.5" customHeight="1">
      <c r="A7" s="17" t="s">
        <v>62</v>
      </c>
      <c r="B7" s="18" t="s">
        <v>63</v>
      </c>
      <c r="C7" s="17" t="s">
        <v>59</v>
      </c>
      <c r="D7" s="19">
        <v>68760</v>
      </c>
      <c r="E7" s="19">
        <v>26924</v>
      </c>
      <c r="F7" s="19">
        <v>167</v>
      </c>
      <c r="G7" s="19">
        <v>1058</v>
      </c>
      <c r="H7" s="19">
        <v>10607</v>
      </c>
      <c r="I7" s="19">
        <v>8247</v>
      </c>
      <c r="J7" s="19">
        <v>2893</v>
      </c>
      <c r="K7" s="19">
        <v>51</v>
      </c>
      <c r="L7" s="19">
        <v>4553</v>
      </c>
      <c r="M7" s="19">
        <v>37</v>
      </c>
      <c r="N7" s="19">
        <v>203</v>
      </c>
      <c r="O7" s="19">
        <v>480</v>
      </c>
      <c r="P7" s="19">
        <v>0</v>
      </c>
      <c r="Q7" s="19">
        <v>6496</v>
      </c>
      <c r="R7" s="19">
        <v>0</v>
      </c>
      <c r="S7" s="19">
        <v>11</v>
      </c>
      <c r="T7" s="19">
        <v>5992</v>
      </c>
      <c r="U7" s="19">
        <v>209</v>
      </c>
      <c r="V7" s="19">
        <v>0</v>
      </c>
      <c r="W7" s="19">
        <v>25</v>
      </c>
      <c r="X7" s="19">
        <v>807</v>
      </c>
      <c r="Y7" s="19">
        <v>14998</v>
      </c>
      <c r="Z7" s="19">
        <v>10606</v>
      </c>
      <c r="AA7" s="19">
        <v>57</v>
      </c>
      <c r="AB7" s="19">
        <v>273</v>
      </c>
      <c r="AC7" s="19">
        <v>502</v>
      </c>
      <c r="AD7" s="19">
        <v>2000</v>
      </c>
      <c r="AE7" s="19">
        <v>517</v>
      </c>
      <c r="AF7" s="19">
        <v>29</v>
      </c>
      <c r="AG7" s="19">
        <v>482</v>
      </c>
      <c r="AH7" s="19">
        <v>32</v>
      </c>
      <c r="AI7" s="20">
        <v>138</v>
      </c>
      <c r="AJ7" s="20" t="s">
        <v>276</v>
      </c>
      <c r="AK7" s="20" t="s">
        <v>276</v>
      </c>
      <c r="AL7" s="20" t="s">
        <v>276</v>
      </c>
      <c r="AM7" s="20" t="s">
        <v>276</v>
      </c>
      <c r="AN7" s="20" t="s">
        <v>276</v>
      </c>
      <c r="AO7" s="20" t="s">
        <v>276</v>
      </c>
      <c r="AP7" s="20" t="s">
        <v>276</v>
      </c>
      <c r="AQ7" s="20" t="s">
        <v>276</v>
      </c>
      <c r="AR7" s="19">
        <v>4</v>
      </c>
      <c r="AS7" s="19">
        <v>358</v>
      </c>
      <c r="AT7" s="19">
        <v>40179</v>
      </c>
      <c r="AU7" s="19">
        <v>4575</v>
      </c>
      <c r="AV7" s="19">
        <v>42</v>
      </c>
      <c r="AW7" s="19">
        <v>579</v>
      </c>
      <c r="AX7" s="19">
        <v>9038</v>
      </c>
      <c r="AY7" s="19">
        <v>5905</v>
      </c>
      <c r="AZ7" s="19">
        <v>2298</v>
      </c>
      <c r="BA7" s="19">
        <v>22</v>
      </c>
      <c r="BB7" s="19">
        <v>4071</v>
      </c>
      <c r="BC7" s="19">
        <v>5</v>
      </c>
      <c r="BD7" s="19">
        <v>9</v>
      </c>
      <c r="BE7" s="19">
        <v>480</v>
      </c>
      <c r="BF7" s="19">
        <v>0</v>
      </c>
      <c r="BG7" s="19">
        <v>6496</v>
      </c>
      <c r="BH7" s="19">
        <v>0</v>
      </c>
      <c r="BI7" s="19">
        <v>11</v>
      </c>
      <c r="BJ7" s="19">
        <v>5992</v>
      </c>
      <c r="BK7" s="19">
        <v>209</v>
      </c>
      <c r="BL7" s="19">
        <v>0</v>
      </c>
      <c r="BM7" s="19">
        <v>14</v>
      </c>
      <c r="BN7" s="19">
        <v>433</v>
      </c>
      <c r="BO7" s="19">
        <v>13583</v>
      </c>
      <c r="BP7" s="19">
        <v>11743</v>
      </c>
      <c r="BQ7" s="19">
        <v>68</v>
      </c>
      <c r="BR7" s="19">
        <v>206</v>
      </c>
      <c r="BS7" s="19">
        <v>1067</v>
      </c>
      <c r="BT7" s="19">
        <v>342</v>
      </c>
      <c r="BU7" s="19">
        <v>78</v>
      </c>
      <c r="BV7" s="19">
        <v>0</v>
      </c>
      <c r="BW7" s="19">
        <v>0</v>
      </c>
      <c r="BX7" s="19">
        <v>0</v>
      </c>
      <c r="BY7" s="19">
        <v>56</v>
      </c>
      <c r="BZ7" s="20" t="s">
        <v>276</v>
      </c>
      <c r="CA7" s="20" t="s">
        <v>276</v>
      </c>
      <c r="CB7" s="20" t="s">
        <v>276</v>
      </c>
      <c r="CC7" s="20" t="s">
        <v>276</v>
      </c>
      <c r="CD7" s="20" t="s">
        <v>276</v>
      </c>
      <c r="CE7" s="20" t="s">
        <v>276</v>
      </c>
      <c r="CF7" s="20" t="s">
        <v>276</v>
      </c>
      <c r="CG7" s="20" t="s">
        <v>276</v>
      </c>
      <c r="CH7" s="19">
        <v>7</v>
      </c>
      <c r="CI7" s="19">
        <v>16</v>
      </c>
      <c r="CJ7" s="28">
        <v>32</v>
      </c>
    </row>
    <row r="8" spans="1:88" ht="13.5" customHeight="1">
      <c r="A8" s="17" t="s">
        <v>64</v>
      </c>
      <c r="B8" s="18" t="s">
        <v>65</v>
      </c>
      <c r="C8" s="17" t="s">
        <v>59</v>
      </c>
      <c r="D8" s="19">
        <v>126725</v>
      </c>
      <c r="E8" s="19">
        <v>54872</v>
      </c>
      <c r="F8" s="19">
        <v>99</v>
      </c>
      <c r="G8" s="19">
        <v>1194</v>
      </c>
      <c r="H8" s="19">
        <v>15393</v>
      </c>
      <c r="I8" s="19">
        <v>15431</v>
      </c>
      <c r="J8" s="19">
        <v>7918</v>
      </c>
      <c r="K8" s="19">
        <v>20</v>
      </c>
      <c r="L8" s="19">
        <v>17484</v>
      </c>
      <c r="M8" s="19">
        <v>1247</v>
      </c>
      <c r="N8" s="19">
        <v>1604</v>
      </c>
      <c r="O8" s="19">
        <v>1129</v>
      </c>
      <c r="P8" s="19">
        <v>0</v>
      </c>
      <c r="Q8" s="19">
        <v>3960</v>
      </c>
      <c r="R8" s="19">
        <v>140</v>
      </c>
      <c r="S8" s="19">
        <v>0</v>
      </c>
      <c r="T8" s="19">
        <v>2315</v>
      </c>
      <c r="U8" s="19">
        <v>0</v>
      </c>
      <c r="V8" s="19">
        <v>0</v>
      </c>
      <c r="W8" s="19">
        <v>65</v>
      </c>
      <c r="X8" s="19">
        <v>3854</v>
      </c>
      <c r="Y8" s="19">
        <v>5640</v>
      </c>
      <c r="Z8" s="19">
        <v>3888</v>
      </c>
      <c r="AA8" s="19">
        <v>19</v>
      </c>
      <c r="AB8" s="19">
        <v>169</v>
      </c>
      <c r="AC8" s="19">
        <v>459</v>
      </c>
      <c r="AD8" s="19">
        <v>540</v>
      </c>
      <c r="AE8" s="19">
        <v>134</v>
      </c>
      <c r="AF8" s="19">
        <v>1</v>
      </c>
      <c r="AG8" s="19">
        <v>231</v>
      </c>
      <c r="AH8" s="19">
        <v>0</v>
      </c>
      <c r="AI8" s="20">
        <v>42</v>
      </c>
      <c r="AJ8" s="20" t="s">
        <v>276</v>
      </c>
      <c r="AK8" s="20" t="s">
        <v>276</v>
      </c>
      <c r="AL8" s="20" t="s">
        <v>276</v>
      </c>
      <c r="AM8" s="20" t="s">
        <v>276</v>
      </c>
      <c r="AN8" s="20" t="s">
        <v>276</v>
      </c>
      <c r="AO8" s="20" t="s">
        <v>276</v>
      </c>
      <c r="AP8" s="20" t="s">
        <v>276</v>
      </c>
      <c r="AQ8" s="20" t="s">
        <v>276</v>
      </c>
      <c r="AR8" s="19">
        <v>47</v>
      </c>
      <c r="AS8" s="19">
        <v>110</v>
      </c>
      <c r="AT8" s="19">
        <v>93250</v>
      </c>
      <c r="AU8" s="19">
        <v>24739</v>
      </c>
      <c r="AV8" s="19">
        <v>41</v>
      </c>
      <c r="AW8" s="19">
        <v>868</v>
      </c>
      <c r="AX8" s="19">
        <v>14550</v>
      </c>
      <c r="AY8" s="19">
        <v>14844</v>
      </c>
      <c r="AZ8" s="19">
        <v>7784</v>
      </c>
      <c r="BA8" s="19">
        <v>19</v>
      </c>
      <c r="BB8" s="19">
        <v>17253</v>
      </c>
      <c r="BC8" s="19">
        <v>1247</v>
      </c>
      <c r="BD8" s="19">
        <v>630</v>
      </c>
      <c r="BE8" s="19">
        <v>1129</v>
      </c>
      <c r="BF8" s="19">
        <v>0</v>
      </c>
      <c r="BG8" s="19">
        <v>3960</v>
      </c>
      <c r="BH8" s="19">
        <v>140</v>
      </c>
      <c r="BI8" s="19">
        <v>0</v>
      </c>
      <c r="BJ8" s="19">
        <v>2315</v>
      </c>
      <c r="BK8" s="19">
        <v>0</v>
      </c>
      <c r="BL8" s="19">
        <v>0</v>
      </c>
      <c r="BM8" s="19">
        <v>2</v>
      </c>
      <c r="BN8" s="19">
        <v>3729</v>
      </c>
      <c r="BO8" s="19">
        <v>27835</v>
      </c>
      <c r="BP8" s="19">
        <v>26245</v>
      </c>
      <c r="BQ8" s="19">
        <v>39</v>
      </c>
      <c r="BR8" s="19">
        <v>157</v>
      </c>
      <c r="BS8" s="19">
        <v>384</v>
      </c>
      <c r="BT8" s="19">
        <v>47</v>
      </c>
      <c r="BU8" s="19">
        <v>0</v>
      </c>
      <c r="BV8" s="19">
        <v>0</v>
      </c>
      <c r="BW8" s="19">
        <v>0</v>
      </c>
      <c r="BX8" s="19">
        <v>0</v>
      </c>
      <c r="BY8" s="19">
        <v>932</v>
      </c>
      <c r="BZ8" s="20" t="s">
        <v>276</v>
      </c>
      <c r="CA8" s="20" t="s">
        <v>276</v>
      </c>
      <c r="CB8" s="20" t="s">
        <v>276</v>
      </c>
      <c r="CC8" s="20" t="s">
        <v>276</v>
      </c>
      <c r="CD8" s="20" t="s">
        <v>276</v>
      </c>
      <c r="CE8" s="20" t="s">
        <v>276</v>
      </c>
      <c r="CF8" s="20" t="s">
        <v>276</v>
      </c>
      <c r="CG8" s="20" t="s">
        <v>276</v>
      </c>
      <c r="CH8" s="19">
        <v>16</v>
      </c>
      <c r="CI8" s="19">
        <v>15</v>
      </c>
      <c r="CJ8" s="28">
        <v>33</v>
      </c>
    </row>
    <row r="9" spans="1:88" ht="13.5" customHeight="1">
      <c r="A9" s="17" t="s">
        <v>66</v>
      </c>
      <c r="B9" s="18" t="s">
        <v>67</v>
      </c>
      <c r="C9" s="17" t="s">
        <v>59</v>
      </c>
      <c r="D9" s="19">
        <v>50150</v>
      </c>
      <c r="E9" s="19">
        <v>20414</v>
      </c>
      <c r="F9" s="19">
        <v>10</v>
      </c>
      <c r="G9" s="19">
        <v>64</v>
      </c>
      <c r="H9" s="19">
        <v>6187</v>
      </c>
      <c r="I9" s="19">
        <v>6630</v>
      </c>
      <c r="J9" s="19">
        <v>2499</v>
      </c>
      <c r="K9" s="19">
        <v>8</v>
      </c>
      <c r="L9" s="19">
        <v>608</v>
      </c>
      <c r="M9" s="19">
        <v>97</v>
      </c>
      <c r="N9" s="19">
        <v>79</v>
      </c>
      <c r="O9" s="19">
        <v>264</v>
      </c>
      <c r="P9" s="19">
        <v>0</v>
      </c>
      <c r="Q9" s="19">
        <v>10490</v>
      </c>
      <c r="R9" s="19">
        <v>0</v>
      </c>
      <c r="S9" s="19">
        <v>0</v>
      </c>
      <c r="T9" s="19">
        <v>1396</v>
      </c>
      <c r="U9" s="19">
        <v>0</v>
      </c>
      <c r="V9" s="19">
        <v>0</v>
      </c>
      <c r="W9" s="19">
        <v>9</v>
      </c>
      <c r="X9" s="19">
        <v>1395</v>
      </c>
      <c r="Y9" s="19">
        <v>13040</v>
      </c>
      <c r="Z9" s="19">
        <v>11582</v>
      </c>
      <c r="AA9" s="19">
        <v>10</v>
      </c>
      <c r="AB9" s="19">
        <v>59</v>
      </c>
      <c r="AC9" s="19">
        <v>359</v>
      </c>
      <c r="AD9" s="19">
        <v>359</v>
      </c>
      <c r="AE9" s="19">
        <v>106</v>
      </c>
      <c r="AF9" s="19">
        <v>7</v>
      </c>
      <c r="AG9" s="19">
        <v>275</v>
      </c>
      <c r="AH9" s="19">
        <v>12</v>
      </c>
      <c r="AI9" s="20">
        <v>0</v>
      </c>
      <c r="AJ9" s="20" t="s">
        <v>276</v>
      </c>
      <c r="AK9" s="20" t="s">
        <v>276</v>
      </c>
      <c r="AL9" s="20" t="s">
        <v>276</v>
      </c>
      <c r="AM9" s="20" t="s">
        <v>276</v>
      </c>
      <c r="AN9" s="20" t="s">
        <v>276</v>
      </c>
      <c r="AO9" s="20" t="s">
        <v>276</v>
      </c>
      <c r="AP9" s="20" t="s">
        <v>276</v>
      </c>
      <c r="AQ9" s="20" t="s">
        <v>276</v>
      </c>
      <c r="AR9" s="19">
        <v>7</v>
      </c>
      <c r="AS9" s="19">
        <v>264</v>
      </c>
      <c r="AT9" s="19">
        <v>33764</v>
      </c>
      <c r="AU9" s="19">
        <v>5589</v>
      </c>
      <c r="AV9" s="19">
        <v>0</v>
      </c>
      <c r="AW9" s="19">
        <v>5</v>
      </c>
      <c r="AX9" s="19">
        <v>5759</v>
      </c>
      <c r="AY9" s="19">
        <v>6240</v>
      </c>
      <c r="AZ9" s="19">
        <v>2393</v>
      </c>
      <c r="BA9" s="19">
        <v>1</v>
      </c>
      <c r="BB9" s="19">
        <v>333</v>
      </c>
      <c r="BC9" s="19">
        <v>85</v>
      </c>
      <c r="BD9" s="19">
        <v>78</v>
      </c>
      <c r="BE9" s="19">
        <v>264</v>
      </c>
      <c r="BF9" s="19">
        <v>0</v>
      </c>
      <c r="BG9" s="19">
        <v>10490</v>
      </c>
      <c r="BH9" s="19">
        <v>0</v>
      </c>
      <c r="BI9" s="19">
        <v>0</v>
      </c>
      <c r="BJ9" s="19">
        <v>1396</v>
      </c>
      <c r="BK9" s="19">
        <v>0</v>
      </c>
      <c r="BL9" s="19">
        <v>0</v>
      </c>
      <c r="BM9" s="19">
        <v>0</v>
      </c>
      <c r="BN9" s="19">
        <v>1131</v>
      </c>
      <c r="BO9" s="19">
        <v>3346</v>
      </c>
      <c r="BP9" s="19">
        <v>3243</v>
      </c>
      <c r="BQ9" s="19">
        <v>0</v>
      </c>
      <c r="BR9" s="19">
        <v>0</v>
      </c>
      <c r="BS9" s="19">
        <v>69</v>
      </c>
      <c r="BT9" s="19">
        <v>31</v>
      </c>
      <c r="BU9" s="19">
        <v>0</v>
      </c>
      <c r="BV9" s="19">
        <v>0</v>
      </c>
      <c r="BW9" s="19">
        <v>0</v>
      </c>
      <c r="BX9" s="19">
        <v>0</v>
      </c>
      <c r="BY9" s="19">
        <v>1</v>
      </c>
      <c r="BZ9" s="20" t="s">
        <v>276</v>
      </c>
      <c r="CA9" s="20" t="s">
        <v>276</v>
      </c>
      <c r="CB9" s="20" t="s">
        <v>276</v>
      </c>
      <c r="CC9" s="20" t="s">
        <v>276</v>
      </c>
      <c r="CD9" s="20" t="s">
        <v>276</v>
      </c>
      <c r="CE9" s="20" t="s">
        <v>276</v>
      </c>
      <c r="CF9" s="20" t="s">
        <v>276</v>
      </c>
      <c r="CG9" s="20" t="s">
        <v>276</v>
      </c>
      <c r="CH9" s="19">
        <v>2</v>
      </c>
      <c r="CI9" s="19">
        <v>0</v>
      </c>
      <c r="CJ9" s="28">
        <v>24</v>
      </c>
    </row>
    <row r="10" spans="1:88" ht="13.5" customHeight="1">
      <c r="A10" s="17" t="s">
        <v>68</v>
      </c>
      <c r="B10" s="18" t="s">
        <v>69</v>
      </c>
      <c r="C10" s="17" t="s">
        <v>59</v>
      </c>
      <c r="D10" s="19">
        <v>47794</v>
      </c>
      <c r="E10" s="19">
        <v>22759</v>
      </c>
      <c r="F10" s="19">
        <v>85</v>
      </c>
      <c r="G10" s="19">
        <v>216</v>
      </c>
      <c r="H10" s="19">
        <v>7428</v>
      </c>
      <c r="I10" s="19">
        <v>6139</v>
      </c>
      <c r="J10" s="19">
        <v>2350</v>
      </c>
      <c r="K10" s="19">
        <v>28</v>
      </c>
      <c r="L10" s="19">
        <v>1789</v>
      </c>
      <c r="M10" s="19">
        <v>0</v>
      </c>
      <c r="N10" s="19">
        <v>1023</v>
      </c>
      <c r="O10" s="19">
        <v>833</v>
      </c>
      <c r="P10" s="19">
        <v>0</v>
      </c>
      <c r="Q10" s="19">
        <v>4745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19</v>
      </c>
      <c r="X10" s="19">
        <v>380</v>
      </c>
      <c r="Y10" s="19">
        <v>11737</v>
      </c>
      <c r="Z10" s="19">
        <v>8600</v>
      </c>
      <c r="AA10" s="19">
        <v>8</v>
      </c>
      <c r="AB10" s="19">
        <v>145</v>
      </c>
      <c r="AC10" s="19">
        <v>438</v>
      </c>
      <c r="AD10" s="19">
        <v>1919</v>
      </c>
      <c r="AE10" s="19">
        <v>2</v>
      </c>
      <c r="AF10" s="19">
        <v>1</v>
      </c>
      <c r="AG10" s="19">
        <v>0</v>
      </c>
      <c r="AH10" s="19">
        <v>0</v>
      </c>
      <c r="AI10" s="20">
        <v>383</v>
      </c>
      <c r="AJ10" s="20" t="s">
        <v>276</v>
      </c>
      <c r="AK10" s="20" t="s">
        <v>276</v>
      </c>
      <c r="AL10" s="20" t="s">
        <v>276</v>
      </c>
      <c r="AM10" s="20" t="s">
        <v>276</v>
      </c>
      <c r="AN10" s="20" t="s">
        <v>276</v>
      </c>
      <c r="AO10" s="20" t="s">
        <v>276</v>
      </c>
      <c r="AP10" s="20" t="s">
        <v>276</v>
      </c>
      <c r="AQ10" s="20" t="s">
        <v>276</v>
      </c>
      <c r="AR10" s="19">
        <v>13</v>
      </c>
      <c r="AS10" s="19">
        <v>228</v>
      </c>
      <c r="AT10" s="19">
        <v>22002</v>
      </c>
      <c r="AU10" s="19">
        <v>1075</v>
      </c>
      <c r="AV10" s="19">
        <v>19</v>
      </c>
      <c r="AW10" s="19">
        <v>21</v>
      </c>
      <c r="AX10" s="19">
        <v>6713</v>
      </c>
      <c r="AY10" s="19">
        <v>4061</v>
      </c>
      <c r="AZ10" s="19">
        <v>2345</v>
      </c>
      <c r="BA10" s="19">
        <v>27</v>
      </c>
      <c r="BB10" s="19">
        <v>1789</v>
      </c>
      <c r="BC10" s="19">
        <v>0</v>
      </c>
      <c r="BD10" s="19">
        <v>225</v>
      </c>
      <c r="BE10" s="19">
        <v>833</v>
      </c>
      <c r="BF10" s="19">
        <v>0</v>
      </c>
      <c r="BG10" s="19">
        <v>4745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5</v>
      </c>
      <c r="BN10" s="19">
        <v>144</v>
      </c>
      <c r="BO10" s="19">
        <v>14055</v>
      </c>
      <c r="BP10" s="19">
        <v>13084</v>
      </c>
      <c r="BQ10" s="19">
        <v>58</v>
      </c>
      <c r="BR10" s="19">
        <v>50</v>
      </c>
      <c r="BS10" s="19">
        <v>277</v>
      </c>
      <c r="BT10" s="19">
        <v>159</v>
      </c>
      <c r="BU10" s="19">
        <v>3</v>
      </c>
      <c r="BV10" s="19">
        <v>0</v>
      </c>
      <c r="BW10" s="19">
        <v>0</v>
      </c>
      <c r="BX10" s="19">
        <v>0</v>
      </c>
      <c r="BY10" s="19">
        <v>415</v>
      </c>
      <c r="BZ10" s="20" t="s">
        <v>276</v>
      </c>
      <c r="CA10" s="20" t="s">
        <v>276</v>
      </c>
      <c r="CB10" s="20" t="s">
        <v>276</v>
      </c>
      <c r="CC10" s="20" t="s">
        <v>276</v>
      </c>
      <c r="CD10" s="20" t="s">
        <v>276</v>
      </c>
      <c r="CE10" s="20" t="s">
        <v>276</v>
      </c>
      <c r="CF10" s="20" t="s">
        <v>276</v>
      </c>
      <c r="CG10" s="20" t="s">
        <v>276</v>
      </c>
      <c r="CH10" s="19">
        <v>1</v>
      </c>
      <c r="CI10" s="19">
        <v>8</v>
      </c>
      <c r="CJ10" s="28">
        <v>35</v>
      </c>
    </row>
    <row r="11" spans="1:88" ht="13.5" customHeight="1">
      <c r="A11" s="17" t="s">
        <v>70</v>
      </c>
      <c r="B11" s="18" t="s">
        <v>71</v>
      </c>
      <c r="C11" s="17" t="s">
        <v>59</v>
      </c>
      <c r="D11" s="19">
        <v>92176</v>
      </c>
      <c r="E11" s="19">
        <v>33464</v>
      </c>
      <c r="F11" s="19">
        <v>168</v>
      </c>
      <c r="G11" s="19">
        <v>1035</v>
      </c>
      <c r="H11" s="19">
        <v>17597</v>
      </c>
      <c r="I11" s="19">
        <v>10857</v>
      </c>
      <c r="J11" s="19">
        <v>4638</v>
      </c>
      <c r="K11" s="19">
        <v>134</v>
      </c>
      <c r="L11" s="19">
        <v>8940</v>
      </c>
      <c r="M11" s="19">
        <v>358</v>
      </c>
      <c r="N11" s="19">
        <v>400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145</v>
      </c>
      <c r="U11" s="19">
        <v>0</v>
      </c>
      <c r="V11" s="19">
        <v>0</v>
      </c>
      <c r="W11" s="19">
        <v>10</v>
      </c>
      <c r="X11" s="19">
        <v>14430</v>
      </c>
      <c r="Y11" s="19">
        <v>23637</v>
      </c>
      <c r="Z11" s="19">
        <v>17855</v>
      </c>
      <c r="AA11" s="19">
        <v>124</v>
      </c>
      <c r="AB11" s="19">
        <v>827</v>
      </c>
      <c r="AC11" s="19">
        <v>2106</v>
      </c>
      <c r="AD11" s="19">
        <v>1306</v>
      </c>
      <c r="AE11" s="19">
        <v>167</v>
      </c>
      <c r="AF11" s="19">
        <v>0</v>
      </c>
      <c r="AG11" s="19">
        <v>525</v>
      </c>
      <c r="AH11" s="19">
        <v>200</v>
      </c>
      <c r="AI11" s="20">
        <v>358</v>
      </c>
      <c r="AJ11" s="20" t="s">
        <v>276</v>
      </c>
      <c r="AK11" s="20" t="s">
        <v>276</v>
      </c>
      <c r="AL11" s="20" t="s">
        <v>276</v>
      </c>
      <c r="AM11" s="20" t="s">
        <v>276</v>
      </c>
      <c r="AN11" s="20" t="s">
        <v>276</v>
      </c>
      <c r="AO11" s="20" t="s">
        <v>276</v>
      </c>
      <c r="AP11" s="20" t="s">
        <v>276</v>
      </c>
      <c r="AQ11" s="20" t="s">
        <v>276</v>
      </c>
      <c r="AR11" s="19">
        <v>2</v>
      </c>
      <c r="AS11" s="19">
        <v>167</v>
      </c>
      <c r="AT11" s="19">
        <v>53249</v>
      </c>
      <c r="AU11" s="19">
        <v>1002</v>
      </c>
      <c r="AV11" s="19">
        <v>5</v>
      </c>
      <c r="AW11" s="19">
        <v>71</v>
      </c>
      <c r="AX11" s="19">
        <v>15185</v>
      </c>
      <c r="AY11" s="19">
        <v>9408</v>
      </c>
      <c r="AZ11" s="19">
        <v>4439</v>
      </c>
      <c r="BA11" s="19">
        <v>121</v>
      </c>
      <c r="BB11" s="19">
        <v>8415</v>
      </c>
      <c r="BC11" s="19">
        <v>158</v>
      </c>
      <c r="BD11" s="19">
        <v>31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145</v>
      </c>
      <c r="BK11" s="19">
        <v>0</v>
      </c>
      <c r="BL11" s="19">
        <v>0</v>
      </c>
      <c r="BM11" s="19">
        <v>7</v>
      </c>
      <c r="BN11" s="19">
        <v>14262</v>
      </c>
      <c r="BO11" s="19">
        <v>15290</v>
      </c>
      <c r="BP11" s="19">
        <v>14607</v>
      </c>
      <c r="BQ11" s="19">
        <v>39</v>
      </c>
      <c r="BR11" s="19">
        <v>137</v>
      </c>
      <c r="BS11" s="19">
        <v>306</v>
      </c>
      <c r="BT11" s="19">
        <v>143</v>
      </c>
      <c r="BU11" s="19">
        <v>32</v>
      </c>
      <c r="BV11" s="19">
        <v>13</v>
      </c>
      <c r="BW11" s="19">
        <v>0</v>
      </c>
      <c r="BX11" s="19">
        <v>0</v>
      </c>
      <c r="BY11" s="19">
        <v>11</v>
      </c>
      <c r="BZ11" s="20" t="s">
        <v>276</v>
      </c>
      <c r="CA11" s="20" t="s">
        <v>276</v>
      </c>
      <c r="CB11" s="20" t="s">
        <v>276</v>
      </c>
      <c r="CC11" s="20" t="s">
        <v>276</v>
      </c>
      <c r="CD11" s="20" t="s">
        <v>276</v>
      </c>
      <c r="CE11" s="20" t="s">
        <v>276</v>
      </c>
      <c r="CF11" s="20" t="s">
        <v>276</v>
      </c>
      <c r="CG11" s="20" t="s">
        <v>276</v>
      </c>
      <c r="CH11" s="19">
        <v>1</v>
      </c>
      <c r="CI11" s="19">
        <v>1</v>
      </c>
      <c r="CJ11" s="28">
        <v>52</v>
      </c>
    </row>
    <row r="12" spans="1:88" ht="13.5" customHeight="1">
      <c r="A12" s="17" t="s">
        <v>72</v>
      </c>
      <c r="B12" s="18" t="s">
        <v>73</v>
      </c>
      <c r="C12" s="17" t="s">
        <v>59</v>
      </c>
      <c r="D12" s="19">
        <v>210273</v>
      </c>
      <c r="E12" s="19">
        <v>77453</v>
      </c>
      <c r="F12" s="19">
        <v>216</v>
      </c>
      <c r="G12" s="19">
        <v>932</v>
      </c>
      <c r="H12" s="19">
        <v>24483</v>
      </c>
      <c r="I12" s="19">
        <v>16355</v>
      </c>
      <c r="J12" s="19">
        <v>7089</v>
      </c>
      <c r="K12" s="19">
        <v>102</v>
      </c>
      <c r="L12" s="19">
        <v>5910</v>
      </c>
      <c r="M12" s="19">
        <v>1</v>
      </c>
      <c r="N12" s="19">
        <v>3193</v>
      </c>
      <c r="O12" s="19">
        <v>6114</v>
      </c>
      <c r="P12" s="19">
        <v>0</v>
      </c>
      <c r="Q12" s="19">
        <v>27259</v>
      </c>
      <c r="R12" s="19">
        <v>23596</v>
      </c>
      <c r="S12" s="19">
        <v>0</v>
      </c>
      <c r="T12" s="19">
        <v>3983</v>
      </c>
      <c r="U12" s="19">
        <v>0</v>
      </c>
      <c r="V12" s="19">
        <v>0</v>
      </c>
      <c r="W12" s="19">
        <v>126</v>
      </c>
      <c r="X12" s="19">
        <v>13461</v>
      </c>
      <c r="Y12" s="19">
        <v>70682</v>
      </c>
      <c r="Z12" s="19">
        <v>54562</v>
      </c>
      <c r="AA12" s="19">
        <v>166</v>
      </c>
      <c r="AB12" s="19">
        <v>915</v>
      </c>
      <c r="AC12" s="19">
        <v>2904</v>
      </c>
      <c r="AD12" s="19">
        <v>4598</v>
      </c>
      <c r="AE12" s="19">
        <v>1193</v>
      </c>
      <c r="AF12" s="19">
        <v>36</v>
      </c>
      <c r="AG12" s="19">
        <v>153</v>
      </c>
      <c r="AH12" s="19">
        <v>1</v>
      </c>
      <c r="AI12" s="20">
        <v>2151</v>
      </c>
      <c r="AJ12" s="20" t="s">
        <v>276</v>
      </c>
      <c r="AK12" s="20" t="s">
        <v>276</v>
      </c>
      <c r="AL12" s="20" t="s">
        <v>276</v>
      </c>
      <c r="AM12" s="20" t="s">
        <v>276</v>
      </c>
      <c r="AN12" s="20" t="s">
        <v>276</v>
      </c>
      <c r="AO12" s="20" t="s">
        <v>276</v>
      </c>
      <c r="AP12" s="20" t="s">
        <v>276</v>
      </c>
      <c r="AQ12" s="20" t="s">
        <v>276</v>
      </c>
      <c r="AR12" s="19">
        <v>81</v>
      </c>
      <c r="AS12" s="19">
        <v>3922</v>
      </c>
      <c r="AT12" s="19">
        <v>123517</v>
      </c>
      <c r="AU12" s="19">
        <v>9950</v>
      </c>
      <c r="AV12" s="19">
        <v>37</v>
      </c>
      <c r="AW12" s="19">
        <v>0</v>
      </c>
      <c r="AX12" s="19">
        <v>20610</v>
      </c>
      <c r="AY12" s="19">
        <v>10775</v>
      </c>
      <c r="AZ12" s="19">
        <v>5423</v>
      </c>
      <c r="BA12" s="19">
        <v>64</v>
      </c>
      <c r="BB12" s="19">
        <v>5312</v>
      </c>
      <c r="BC12" s="19">
        <v>0</v>
      </c>
      <c r="BD12" s="19">
        <v>837</v>
      </c>
      <c r="BE12" s="19">
        <v>6114</v>
      </c>
      <c r="BF12" s="19">
        <v>0</v>
      </c>
      <c r="BG12" s="19">
        <v>27259</v>
      </c>
      <c r="BH12" s="19">
        <v>23596</v>
      </c>
      <c r="BI12" s="19">
        <v>0</v>
      </c>
      <c r="BJ12" s="19">
        <v>3983</v>
      </c>
      <c r="BK12" s="19">
        <v>0</v>
      </c>
      <c r="BL12" s="19">
        <v>0</v>
      </c>
      <c r="BM12" s="19">
        <v>45</v>
      </c>
      <c r="BN12" s="19">
        <v>9512</v>
      </c>
      <c r="BO12" s="19">
        <v>16074</v>
      </c>
      <c r="BP12" s="19">
        <v>12941</v>
      </c>
      <c r="BQ12" s="19">
        <v>13</v>
      </c>
      <c r="BR12" s="19">
        <v>17</v>
      </c>
      <c r="BS12" s="19">
        <v>969</v>
      </c>
      <c r="BT12" s="19">
        <v>982</v>
      </c>
      <c r="BU12" s="19">
        <v>473</v>
      </c>
      <c r="BV12" s="19">
        <v>2</v>
      </c>
      <c r="BW12" s="19">
        <v>445</v>
      </c>
      <c r="BX12" s="19">
        <v>0</v>
      </c>
      <c r="BY12" s="19">
        <v>205</v>
      </c>
      <c r="BZ12" s="20" t="s">
        <v>276</v>
      </c>
      <c r="CA12" s="20" t="s">
        <v>276</v>
      </c>
      <c r="CB12" s="20" t="s">
        <v>276</v>
      </c>
      <c r="CC12" s="20" t="s">
        <v>276</v>
      </c>
      <c r="CD12" s="20" t="s">
        <v>276</v>
      </c>
      <c r="CE12" s="20" t="s">
        <v>276</v>
      </c>
      <c r="CF12" s="20" t="s">
        <v>276</v>
      </c>
      <c r="CG12" s="20" t="s">
        <v>276</v>
      </c>
      <c r="CH12" s="19">
        <v>0</v>
      </c>
      <c r="CI12" s="19">
        <v>27</v>
      </c>
      <c r="CJ12" s="28">
        <v>22</v>
      </c>
    </row>
    <row r="13" spans="1:88" ht="13.5" customHeight="1">
      <c r="A13" s="17" t="s">
        <v>74</v>
      </c>
      <c r="B13" s="18" t="s">
        <v>75</v>
      </c>
      <c r="C13" s="17" t="s">
        <v>59</v>
      </c>
      <c r="D13" s="19">
        <v>102302</v>
      </c>
      <c r="E13" s="19">
        <v>43972</v>
      </c>
      <c r="F13" s="19">
        <v>182</v>
      </c>
      <c r="G13" s="19">
        <v>53</v>
      </c>
      <c r="H13" s="19">
        <v>14778</v>
      </c>
      <c r="I13" s="19">
        <v>8811</v>
      </c>
      <c r="J13" s="19">
        <v>4922</v>
      </c>
      <c r="K13" s="19">
        <v>40</v>
      </c>
      <c r="L13" s="19">
        <v>4981</v>
      </c>
      <c r="M13" s="19">
        <v>464</v>
      </c>
      <c r="N13" s="19">
        <v>3997</v>
      </c>
      <c r="O13" s="19">
        <v>4317</v>
      </c>
      <c r="P13" s="19">
        <v>0</v>
      </c>
      <c r="Q13" s="19">
        <v>10474</v>
      </c>
      <c r="R13" s="19">
        <v>0</v>
      </c>
      <c r="S13" s="19">
        <v>0</v>
      </c>
      <c r="T13" s="19">
        <v>580</v>
      </c>
      <c r="U13" s="19">
        <v>0</v>
      </c>
      <c r="V13" s="19">
        <v>0</v>
      </c>
      <c r="W13" s="19">
        <v>76</v>
      </c>
      <c r="X13" s="19">
        <v>4655</v>
      </c>
      <c r="Y13" s="19">
        <v>25739</v>
      </c>
      <c r="Z13" s="19">
        <v>20430</v>
      </c>
      <c r="AA13" s="19">
        <v>61</v>
      </c>
      <c r="AB13" s="19">
        <v>53</v>
      </c>
      <c r="AC13" s="19">
        <v>127</v>
      </c>
      <c r="AD13" s="19">
        <v>1143</v>
      </c>
      <c r="AE13" s="19">
        <v>145</v>
      </c>
      <c r="AF13" s="19">
        <v>10</v>
      </c>
      <c r="AG13" s="19">
        <v>16</v>
      </c>
      <c r="AH13" s="19">
        <v>5</v>
      </c>
      <c r="AI13" s="20">
        <v>1986</v>
      </c>
      <c r="AJ13" s="20" t="s">
        <v>276</v>
      </c>
      <c r="AK13" s="20" t="s">
        <v>276</v>
      </c>
      <c r="AL13" s="20" t="s">
        <v>276</v>
      </c>
      <c r="AM13" s="20" t="s">
        <v>276</v>
      </c>
      <c r="AN13" s="20" t="s">
        <v>276</v>
      </c>
      <c r="AO13" s="20" t="s">
        <v>276</v>
      </c>
      <c r="AP13" s="20" t="s">
        <v>276</v>
      </c>
      <c r="AQ13" s="20" t="s">
        <v>276</v>
      </c>
      <c r="AR13" s="19">
        <v>73</v>
      </c>
      <c r="AS13" s="19">
        <v>1690</v>
      </c>
      <c r="AT13" s="19">
        <v>60795</v>
      </c>
      <c r="AU13" s="19">
        <v>9243</v>
      </c>
      <c r="AV13" s="19">
        <v>103</v>
      </c>
      <c r="AW13" s="19">
        <v>0</v>
      </c>
      <c r="AX13" s="19">
        <v>13823</v>
      </c>
      <c r="AY13" s="19">
        <v>7598</v>
      </c>
      <c r="AZ13" s="19">
        <v>4571</v>
      </c>
      <c r="BA13" s="19">
        <v>30</v>
      </c>
      <c r="BB13" s="19">
        <v>4964</v>
      </c>
      <c r="BC13" s="19">
        <v>459</v>
      </c>
      <c r="BD13" s="19">
        <v>1981</v>
      </c>
      <c r="BE13" s="19">
        <v>4317</v>
      </c>
      <c r="BF13" s="19">
        <v>0</v>
      </c>
      <c r="BG13" s="19">
        <v>10474</v>
      </c>
      <c r="BH13" s="19">
        <v>0</v>
      </c>
      <c r="BI13" s="19">
        <v>0</v>
      </c>
      <c r="BJ13" s="19">
        <v>580</v>
      </c>
      <c r="BK13" s="19">
        <v>0</v>
      </c>
      <c r="BL13" s="19">
        <v>0</v>
      </c>
      <c r="BM13" s="19">
        <v>3</v>
      </c>
      <c r="BN13" s="19">
        <v>2649</v>
      </c>
      <c r="BO13" s="19">
        <v>15768</v>
      </c>
      <c r="BP13" s="19">
        <v>14299</v>
      </c>
      <c r="BQ13" s="19">
        <v>18</v>
      </c>
      <c r="BR13" s="19">
        <v>0</v>
      </c>
      <c r="BS13" s="19">
        <v>828</v>
      </c>
      <c r="BT13" s="19">
        <v>70</v>
      </c>
      <c r="BU13" s="19">
        <v>206</v>
      </c>
      <c r="BV13" s="19">
        <v>0</v>
      </c>
      <c r="BW13" s="19">
        <v>1</v>
      </c>
      <c r="BX13" s="19">
        <v>0</v>
      </c>
      <c r="BY13" s="19">
        <v>30</v>
      </c>
      <c r="BZ13" s="20" t="s">
        <v>276</v>
      </c>
      <c r="CA13" s="20" t="s">
        <v>276</v>
      </c>
      <c r="CB13" s="20" t="s">
        <v>276</v>
      </c>
      <c r="CC13" s="20" t="s">
        <v>276</v>
      </c>
      <c r="CD13" s="20" t="s">
        <v>276</v>
      </c>
      <c r="CE13" s="20" t="s">
        <v>276</v>
      </c>
      <c r="CF13" s="20" t="s">
        <v>276</v>
      </c>
      <c r="CG13" s="20" t="s">
        <v>276</v>
      </c>
      <c r="CH13" s="19">
        <v>0</v>
      </c>
      <c r="CI13" s="19">
        <v>316</v>
      </c>
      <c r="CJ13" s="28">
        <v>14</v>
      </c>
    </row>
    <row r="14" spans="1:88" ht="13.5" customHeight="1">
      <c r="A14" s="17" t="s">
        <v>76</v>
      </c>
      <c r="B14" s="18" t="s">
        <v>77</v>
      </c>
      <c r="C14" s="17" t="s">
        <v>59</v>
      </c>
      <c r="D14" s="19">
        <v>99464</v>
      </c>
      <c r="E14" s="19">
        <v>41007</v>
      </c>
      <c r="F14" s="19">
        <v>169</v>
      </c>
      <c r="G14" s="19">
        <v>1047</v>
      </c>
      <c r="H14" s="19">
        <v>14049</v>
      </c>
      <c r="I14" s="19">
        <v>8732</v>
      </c>
      <c r="J14" s="19">
        <v>4209</v>
      </c>
      <c r="K14" s="19">
        <v>32</v>
      </c>
      <c r="L14" s="19">
        <v>4116</v>
      </c>
      <c r="M14" s="19">
        <v>520</v>
      </c>
      <c r="N14" s="19">
        <v>1840</v>
      </c>
      <c r="O14" s="19">
        <v>432</v>
      </c>
      <c r="P14" s="19">
        <v>22</v>
      </c>
      <c r="Q14" s="19">
        <v>5781</v>
      </c>
      <c r="R14" s="19">
        <v>143</v>
      </c>
      <c r="S14" s="19">
        <v>0</v>
      </c>
      <c r="T14" s="19">
        <v>5911</v>
      </c>
      <c r="U14" s="19">
        <v>0</v>
      </c>
      <c r="V14" s="19">
        <v>0</v>
      </c>
      <c r="W14" s="19">
        <v>47</v>
      </c>
      <c r="X14" s="19">
        <v>11407</v>
      </c>
      <c r="Y14" s="19">
        <v>24373</v>
      </c>
      <c r="Z14" s="19">
        <v>19420</v>
      </c>
      <c r="AA14" s="19">
        <v>51</v>
      </c>
      <c r="AB14" s="19">
        <v>336</v>
      </c>
      <c r="AC14" s="19">
        <v>337</v>
      </c>
      <c r="AD14" s="19">
        <v>634</v>
      </c>
      <c r="AE14" s="19">
        <v>629</v>
      </c>
      <c r="AF14" s="19">
        <v>10</v>
      </c>
      <c r="AG14" s="19">
        <v>370</v>
      </c>
      <c r="AH14" s="19">
        <v>48</v>
      </c>
      <c r="AI14" s="20">
        <v>1359</v>
      </c>
      <c r="AJ14" s="20" t="s">
        <v>276</v>
      </c>
      <c r="AK14" s="20" t="s">
        <v>276</v>
      </c>
      <c r="AL14" s="20" t="s">
        <v>276</v>
      </c>
      <c r="AM14" s="20" t="s">
        <v>276</v>
      </c>
      <c r="AN14" s="20" t="s">
        <v>276</v>
      </c>
      <c r="AO14" s="20" t="s">
        <v>276</v>
      </c>
      <c r="AP14" s="20" t="s">
        <v>276</v>
      </c>
      <c r="AQ14" s="20" t="s">
        <v>276</v>
      </c>
      <c r="AR14" s="19">
        <v>18</v>
      </c>
      <c r="AS14" s="19">
        <v>1161</v>
      </c>
      <c r="AT14" s="19">
        <v>54016</v>
      </c>
      <c r="AU14" s="19">
        <v>2431</v>
      </c>
      <c r="AV14" s="19">
        <v>61</v>
      </c>
      <c r="AW14" s="19">
        <v>6</v>
      </c>
      <c r="AX14" s="19">
        <v>13142</v>
      </c>
      <c r="AY14" s="19">
        <v>7958</v>
      </c>
      <c r="AZ14" s="19">
        <v>3431</v>
      </c>
      <c r="BA14" s="19">
        <v>21</v>
      </c>
      <c r="BB14" s="19">
        <v>3729</v>
      </c>
      <c r="BC14" s="19">
        <v>472</v>
      </c>
      <c r="BD14" s="19">
        <v>223</v>
      </c>
      <c r="BE14" s="19">
        <v>432</v>
      </c>
      <c r="BF14" s="19">
        <v>22</v>
      </c>
      <c r="BG14" s="19">
        <v>5781</v>
      </c>
      <c r="BH14" s="19">
        <v>143</v>
      </c>
      <c r="BI14" s="19">
        <v>0</v>
      </c>
      <c r="BJ14" s="19">
        <v>5911</v>
      </c>
      <c r="BK14" s="19">
        <v>0</v>
      </c>
      <c r="BL14" s="19">
        <v>0</v>
      </c>
      <c r="BM14" s="19">
        <v>25</v>
      </c>
      <c r="BN14" s="19">
        <v>10228</v>
      </c>
      <c r="BO14" s="19">
        <v>21075</v>
      </c>
      <c r="BP14" s="19">
        <v>19156</v>
      </c>
      <c r="BQ14" s="19">
        <v>57</v>
      </c>
      <c r="BR14" s="19">
        <v>705</v>
      </c>
      <c r="BS14" s="19">
        <v>570</v>
      </c>
      <c r="BT14" s="19">
        <v>140</v>
      </c>
      <c r="BU14" s="19">
        <v>149</v>
      </c>
      <c r="BV14" s="19">
        <v>1</v>
      </c>
      <c r="BW14" s="19">
        <v>17</v>
      </c>
      <c r="BX14" s="19">
        <v>0</v>
      </c>
      <c r="BY14" s="19">
        <v>258</v>
      </c>
      <c r="BZ14" s="20" t="s">
        <v>276</v>
      </c>
      <c r="CA14" s="20" t="s">
        <v>276</v>
      </c>
      <c r="CB14" s="20" t="s">
        <v>276</v>
      </c>
      <c r="CC14" s="20" t="s">
        <v>276</v>
      </c>
      <c r="CD14" s="20" t="s">
        <v>276</v>
      </c>
      <c r="CE14" s="20" t="s">
        <v>276</v>
      </c>
      <c r="CF14" s="20" t="s">
        <v>276</v>
      </c>
      <c r="CG14" s="20" t="s">
        <v>276</v>
      </c>
      <c r="CH14" s="19">
        <v>4</v>
      </c>
      <c r="CI14" s="19">
        <v>18</v>
      </c>
      <c r="CJ14" s="28">
        <v>24</v>
      </c>
    </row>
    <row r="15" spans="1:88" ht="13.5" customHeight="1">
      <c r="A15" s="17" t="s">
        <v>78</v>
      </c>
      <c r="B15" s="18" t="s">
        <v>79</v>
      </c>
      <c r="C15" s="17" t="s">
        <v>59</v>
      </c>
      <c r="D15" s="19">
        <v>548221</v>
      </c>
      <c r="E15" s="19">
        <v>171262</v>
      </c>
      <c r="F15" s="19">
        <v>1037</v>
      </c>
      <c r="G15" s="19">
        <v>18619</v>
      </c>
      <c r="H15" s="19">
        <v>55046</v>
      </c>
      <c r="I15" s="19">
        <v>36946</v>
      </c>
      <c r="J15" s="19">
        <v>22591</v>
      </c>
      <c r="K15" s="19">
        <v>16</v>
      </c>
      <c r="L15" s="19">
        <v>39436</v>
      </c>
      <c r="M15" s="19">
        <v>8280</v>
      </c>
      <c r="N15" s="19">
        <v>19285</v>
      </c>
      <c r="O15" s="19">
        <v>296</v>
      </c>
      <c r="P15" s="19">
        <v>0</v>
      </c>
      <c r="Q15" s="19">
        <v>34823</v>
      </c>
      <c r="R15" s="19">
        <v>88</v>
      </c>
      <c r="S15" s="19">
        <v>224</v>
      </c>
      <c r="T15" s="19">
        <v>61765</v>
      </c>
      <c r="U15" s="19">
        <v>14786</v>
      </c>
      <c r="V15" s="19">
        <v>0</v>
      </c>
      <c r="W15" s="19">
        <v>31</v>
      </c>
      <c r="X15" s="19">
        <v>63690</v>
      </c>
      <c r="Y15" s="19">
        <v>145562</v>
      </c>
      <c r="Z15" s="19">
        <v>93379</v>
      </c>
      <c r="AA15" s="19">
        <v>709</v>
      </c>
      <c r="AB15" s="19">
        <v>12629</v>
      </c>
      <c r="AC15" s="19">
        <v>3307</v>
      </c>
      <c r="AD15" s="19">
        <v>3457</v>
      </c>
      <c r="AE15" s="19">
        <v>6649</v>
      </c>
      <c r="AF15" s="19">
        <v>16</v>
      </c>
      <c r="AG15" s="19">
        <v>9125</v>
      </c>
      <c r="AH15" s="19">
        <v>393</v>
      </c>
      <c r="AI15" s="20">
        <v>14568</v>
      </c>
      <c r="AJ15" s="20" t="s">
        <v>276</v>
      </c>
      <c r="AK15" s="20" t="s">
        <v>276</v>
      </c>
      <c r="AL15" s="20" t="s">
        <v>276</v>
      </c>
      <c r="AM15" s="20" t="s">
        <v>276</v>
      </c>
      <c r="AN15" s="20" t="s">
        <v>276</v>
      </c>
      <c r="AO15" s="20" t="s">
        <v>276</v>
      </c>
      <c r="AP15" s="20" t="s">
        <v>276</v>
      </c>
      <c r="AQ15" s="20" t="s">
        <v>276</v>
      </c>
      <c r="AR15" s="19">
        <v>27</v>
      </c>
      <c r="AS15" s="19">
        <v>1303</v>
      </c>
      <c r="AT15" s="19">
        <v>323683</v>
      </c>
      <c r="AU15" s="19">
        <v>8148</v>
      </c>
      <c r="AV15" s="19">
        <v>24</v>
      </c>
      <c r="AW15" s="19">
        <v>2058</v>
      </c>
      <c r="AX15" s="19">
        <v>50007</v>
      </c>
      <c r="AY15" s="19">
        <v>32395</v>
      </c>
      <c r="AZ15" s="19">
        <v>15937</v>
      </c>
      <c r="BA15" s="19">
        <v>0</v>
      </c>
      <c r="BB15" s="19">
        <v>30311</v>
      </c>
      <c r="BC15" s="19">
        <v>7887</v>
      </c>
      <c r="BD15" s="19">
        <v>2570</v>
      </c>
      <c r="BE15" s="19">
        <v>296</v>
      </c>
      <c r="BF15" s="19">
        <v>0</v>
      </c>
      <c r="BG15" s="19">
        <v>34823</v>
      </c>
      <c r="BH15" s="19">
        <v>88</v>
      </c>
      <c r="BI15" s="19">
        <v>224</v>
      </c>
      <c r="BJ15" s="19">
        <v>61765</v>
      </c>
      <c r="BK15" s="19">
        <v>14786</v>
      </c>
      <c r="BL15" s="19">
        <v>0</v>
      </c>
      <c r="BM15" s="19">
        <v>2</v>
      </c>
      <c r="BN15" s="19">
        <v>62362</v>
      </c>
      <c r="BO15" s="19">
        <v>78976</v>
      </c>
      <c r="BP15" s="19">
        <v>69735</v>
      </c>
      <c r="BQ15" s="19">
        <v>304</v>
      </c>
      <c r="BR15" s="19">
        <v>3932</v>
      </c>
      <c r="BS15" s="19">
        <v>1732</v>
      </c>
      <c r="BT15" s="19">
        <v>1094</v>
      </c>
      <c r="BU15" s="19">
        <v>5</v>
      </c>
      <c r="BV15" s="19">
        <v>0</v>
      </c>
      <c r="BW15" s="19">
        <v>0</v>
      </c>
      <c r="BX15" s="19">
        <v>0</v>
      </c>
      <c r="BY15" s="19">
        <v>2147</v>
      </c>
      <c r="BZ15" s="20" t="s">
        <v>276</v>
      </c>
      <c r="CA15" s="20" t="s">
        <v>276</v>
      </c>
      <c r="CB15" s="20" t="s">
        <v>276</v>
      </c>
      <c r="CC15" s="20" t="s">
        <v>276</v>
      </c>
      <c r="CD15" s="20" t="s">
        <v>276</v>
      </c>
      <c r="CE15" s="20" t="s">
        <v>276</v>
      </c>
      <c r="CF15" s="20" t="s">
        <v>276</v>
      </c>
      <c r="CG15" s="20" t="s">
        <v>276</v>
      </c>
      <c r="CH15" s="19">
        <v>2</v>
      </c>
      <c r="CI15" s="19">
        <v>25</v>
      </c>
      <c r="CJ15" s="28">
        <v>51</v>
      </c>
    </row>
    <row r="16" spans="1:88" ht="13.5" customHeight="1">
      <c r="A16" s="17" t="s">
        <v>80</v>
      </c>
      <c r="B16" s="18" t="s">
        <v>81</v>
      </c>
      <c r="C16" s="17" t="s">
        <v>59</v>
      </c>
      <c r="D16" s="19">
        <v>461792</v>
      </c>
      <c r="E16" s="19">
        <v>171007</v>
      </c>
      <c r="F16" s="19">
        <v>513</v>
      </c>
      <c r="G16" s="19">
        <v>5363</v>
      </c>
      <c r="H16" s="19">
        <v>52238</v>
      </c>
      <c r="I16" s="19">
        <v>38405</v>
      </c>
      <c r="J16" s="19">
        <v>18678</v>
      </c>
      <c r="K16" s="19">
        <v>4</v>
      </c>
      <c r="L16" s="19">
        <v>24484</v>
      </c>
      <c r="M16" s="19">
        <v>1314</v>
      </c>
      <c r="N16" s="19">
        <v>16117</v>
      </c>
      <c r="O16" s="19">
        <v>3815</v>
      </c>
      <c r="P16" s="19">
        <v>877</v>
      </c>
      <c r="Q16" s="19">
        <v>53867</v>
      </c>
      <c r="R16" s="19">
        <v>61</v>
      </c>
      <c r="S16" s="19">
        <v>248</v>
      </c>
      <c r="T16" s="19">
        <v>9465</v>
      </c>
      <c r="U16" s="19">
        <v>0</v>
      </c>
      <c r="V16" s="19">
        <v>1528</v>
      </c>
      <c r="W16" s="19">
        <v>69</v>
      </c>
      <c r="X16" s="19">
        <v>63739</v>
      </c>
      <c r="Y16" s="19">
        <v>132932</v>
      </c>
      <c r="Z16" s="19">
        <v>84715</v>
      </c>
      <c r="AA16" s="19">
        <v>232</v>
      </c>
      <c r="AB16" s="19">
        <v>3146</v>
      </c>
      <c r="AC16" s="19">
        <v>2013</v>
      </c>
      <c r="AD16" s="19">
        <v>2750</v>
      </c>
      <c r="AE16" s="19">
        <v>1828</v>
      </c>
      <c r="AF16" s="19">
        <v>2</v>
      </c>
      <c r="AG16" s="19">
        <v>40</v>
      </c>
      <c r="AH16" s="19">
        <v>21</v>
      </c>
      <c r="AI16" s="20">
        <v>6376</v>
      </c>
      <c r="AJ16" s="20" t="s">
        <v>276</v>
      </c>
      <c r="AK16" s="20" t="s">
        <v>276</v>
      </c>
      <c r="AL16" s="20" t="s">
        <v>276</v>
      </c>
      <c r="AM16" s="20" t="s">
        <v>276</v>
      </c>
      <c r="AN16" s="20" t="s">
        <v>276</v>
      </c>
      <c r="AO16" s="20" t="s">
        <v>276</v>
      </c>
      <c r="AP16" s="20" t="s">
        <v>276</v>
      </c>
      <c r="AQ16" s="20" t="s">
        <v>276</v>
      </c>
      <c r="AR16" s="19">
        <v>48</v>
      </c>
      <c r="AS16" s="19">
        <v>31761</v>
      </c>
      <c r="AT16" s="19">
        <v>248455</v>
      </c>
      <c r="AU16" s="19">
        <v>22437</v>
      </c>
      <c r="AV16" s="19">
        <v>126</v>
      </c>
      <c r="AW16" s="19">
        <v>1771</v>
      </c>
      <c r="AX16" s="19">
        <v>46566</v>
      </c>
      <c r="AY16" s="19">
        <v>30681</v>
      </c>
      <c r="AZ16" s="19">
        <v>14888</v>
      </c>
      <c r="BA16" s="19">
        <v>2</v>
      </c>
      <c r="BB16" s="19">
        <v>24444</v>
      </c>
      <c r="BC16" s="19">
        <v>1293</v>
      </c>
      <c r="BD16" s="19">
        <v>4428</v>
      </c>
      <c r="BE16" s="19">
        <v>3815</v>
      </c>
      <c r="BF16" s="19">
        <v>877</v>
      </c>
      <c r="BG16" s="19">
        <v>53867</v>
      </c>
      <c r="BH16" s="19">
        <v>61</v>
      </c>
      <c r="BI16" s="19">
        <v>248</v>
      </c>
      <c r="BJ16" s="19">
        <v>9465</v>
      </c>
      <c r="BK16" s="19">
        <v>0</v>
      </c>
      <c r="BL16" s="19">
        <v>1528</v>
      </c>
      <c r="BM16" s="19">
        <v>10</v>
      </c>
      <c r="BN16" s="19">
        <v>31948</v>
      </c>
      <c r="BO16" s="19">
        <v>80405</v>
      </c>
      <c r="BP16" s="19">
        <v>63855</v>
      </c>
      <c r="BQ16" s="19">
        <v>155</v>
      </c>
      <c r="BR16" s="19">
        <v>446</v>
      </c>
      <c r="BS16" s="19">
        <v>3659</v>
      </c>
      <c r="BT16" s="19">
        <v>4974</v>
      </c>
      <c r="BU16" s="19">
        <v>1962</v>
      </c>
      <c r="BV16" s="19">
        <v>0</v>
      </c>
      <c r="BW16" s="19">
        <v>0</v>
      </c>
      <c r="BX16" s="19">
        <v>0</v>
      </c>
      <c r="BY16" s="19">
        <v>5313</v>
      </c>
      <c r="BZ16" s="20" t="s">
        <v>276</v>
      </c>
      <c r="CA16" s="20" t="s">
        <v>276</v>
      </c>
      <c r="CB16" s="20" t="s">
        <v>276</v>
      </c>
      <c r="CC16" s="20" t="s">
        <v>276</v>
      </c>
      <c r="CD16" s="20" t="s">
        <v>276</v>
      </c>
      <c r="CE16" s="20" t="s">
        <v>276</v>
      </c>
      <c r="CF16" s="20" t="s">
        <v>276</v>
      </c>
      <c r="CG16" s="20" t="s">
        <v>276</v>
      </c>
      <c r="CH16" s="19">
        <v>11</v>
      </c>
      <c r="CI16" s="19">
        <v>30</v>
      </c>
      <c r="CJ16" s="28">
        <v>43</v>
      </c>
    </row>
    <row r="17" spans="1:88" ht="13.5" customHeight="1">
      <c r="A17" s="17" t="s">
        <v>82</v>
      </c>
      <c r="B17" s="18" t="s">
        <v>83</v>
      </c>
      <c r="C17" s="17" t="s">
        <v>59</v>
      </c>
      <c r="D17" s="19">
        <v>1027653.6924000001</v>
      </c>
      <c r="E17" s="19">
        <v>489503.20600000001</v>
      </c>
      <c r="F17" s="19">
        <v>1517.796</v>
      </c>
      <c r="G17" s="19">
        <v>1359</v>
      </c>
      <c r="H17" s="19">
        <v>85535.093999999997</v>
      </c>
      <c r="I17" s="19">
        <v>119247.3254</v>
      </c>
      <c r="J17" s="19">
        <v>54176</v>
      </c>
      <c r="K17" s="19">
        <v>100</v>
      </c>
      <c r="L17" s="19">
        <v>72218</v>
      </c>
      <c r="M17" s="19">
        <v>1516</v>
      </c>
      <c r="N17" s="19">
        <v>27450.271000000001</v>
      </c>
      <c r="O17" s="19">
        <v>1768</v>
      </c>
      <c r="P17" s="19">
        <v>0</v>
      </c>
      <c r="Q17" s="19">
        <v>7455</v>
      </c>
      <c r="R17" s="19">
        <v>0</v>
      </c>
      <c r="S17" s="19">
        <v>0</v>
      </c>
      <c r="T17" s="19">
        <v>144023</v>
      </c>
      <c r="U17" s="19">
        <v>0</v>
      </c>
      <c r="V17" s="19">
        <v>0</v>
      </c>
      <c r="W17" s="19">
        <v>136</v>
      </c>
      <c r="X17" s="19">
        <v>21649</v>
      </c>
      <c r="Y17" s="19">
        <v>464202</v>
      </c>
      <c r="Z17" s="19">
        <v>254077</v>
      </c>
      <c r="AA17" s="19">
        <v>958</v>
      </c>
      <c r="AB17" s="19">
        <v>1020</v>
      </c>
      <c r="AC17" s="19">
        <v>27560</v>
      </c>
      <c r="AD17" s="19">
        <v>88610</v>
      </c>
      <c r="AE17" s="19">
        <v>42156</v>
      </c>
      <c r="AF17" s="19">
        <v>64</v>
      </c>
      <c r="AG17" s="19">
        <v>31937</v>
      </c>
      <c r="AH17" s="19">
        <v>4</v>
      </c>
      <c r="AI17" s="20">
        <v>13969</v>
      </c>
      <c r="AJ17" s="20" t="s">
        <v>276</v>
      </c>
      <c r="AK17" s="20" t="s">
        <v>276</v>
      </c>
      <c r="AL17" s="20" t="s">
        <v>276</v>
      </c>
      <c r="AM17" s="20" t="s">
        <v>276</v>
      </c>
      <c r="AN17" s="20" t="s">
        <v>276</v>
      </c>
      <c r="AO17" s="20" t="s">
        <v>276</v>
      </c>
      <c r="AP17" s="20" t="s">
        <v>276</v>
      </c>
      <c r="AQ17" s="20" t="s">
        <v>276</v>
      </c>
      <c r="AR17" s="19">
        <v>135</v>
      </c>
      <c r="AS17" s="19">
        <v>3712</v>
      </c>
      <c r="AT17" s="19">
        <v>349164</v>
      </c>
      <c r="AU17" s="19">
        <v>38853</v>
      </c>
      <c r="AV17" s="19">
        <v>99</v>
      </c>
      <c r="AW17" s="19">
        <v>25</v>
      </c>
      <c r="AX17" s="19">
        <v>51516</v>
      </c>
      <c r="AY17" s="19">
        <v>27827</v>
      </c>
      <c r="AZ17" s="19">
        <v>11952</v>
      </c>
      <c r="BA17" s="19">
        <v>36</v>
      </c>
      <c r="BB17" s="19">
        <v>40281</v>
      </c>
      <c r="BC17" s="19">
        <v>1512</v>
      </c>
      <c r="BD17" s="19">
        <v>7329</v>
      </c>
      <c r="BE17" s="19">
        <v>1768</v>
      </c>
      <c r="BF17" s="19">
        <v>0</v>
      </c>
      <c r="BG17" s="19">
        <v>7455</v>
      </c>
      <c r="BH17" s="19">
        <v>0</v>
      </c>
      <c r="BI17" s="19">
        <v>0</v>
      </c>
      <c r="BJ17" s="19">
        <v>144023</v>
      </c>
      <c r="BK17" s="19">
        <v>0</v>
      </c>
      <c r="BL17" s="19">
        <v>0</v>
      </c>
      <c r="BM17" s="19">
        <v>0</v>
      </c>
      <c r="BN17" s="19">
        <v>16488</v>
      </c>
      <c r="BO17" s="19">
        <v>214287.69240000003</v>
      </c>
      <c r="BP17" s="19">
        <v>196573.20600000001</v>
      </c>
      <c r="BQ17" s="19">
        <v>460.79599999999999</v>
      </c>
      <c r="BR17" s="19">
        <v>314</v>
      </c>
      <c r="BS17" s="19">
        <v>6459.0940000000001</v>
      </c>
      <c r="BT17" s="19">
        <v>2810.3254000000002</v>
      </c>
      <c r="BU17" s="19">
        <v>68</v>
      </c>
      <c r="BV17" s="19">
        <v>0</v>
      </c>
      <c r="BW17" s="19">
        <v>0</v>
      </c>
      <c r="BX17" s="19">
        <v>0</v>
      </c>
      <c r="BY17" s="19">
        <v>6152.2709999999997</v>
      </c>
      <c r="BZ17" s="20" t="s">
        <v>276</v>
      </c>
      <c r="CA17" s="20" t="s">
        <v>276</v>
      </c>
      <c r="CB17" s="20" t="s">
        <v>276</v>
      </c>
      <c r="CC17" s="20" t="s">
        <v>276</v>
      </c>
      <c r="CD17" s="20" t="s">
        <v>276</v>
      </c>
      <c r="CE17" s="20" t="s">
        <v>276</v>
      </c>
      <c r="CF17" s="20" t="s">
        <v>276</v>
      </c>
      <c r="CG17" s="20" t="s">
        <v>276</v>
      </c>
      <c r="CH17" s="19">
        <v>1</v>
      </c>
      <c r="CI17" s="19">
        <v>1449</v>
      </c>
      <c r="CJ17" s="28">
        <v>61</v>
      </c>
    </row>
    <row r="18" spans="1:88" ht="13.5" customHeight="1">
      <c r="A18" s="17" t="s">
        <v>84</v>
      </c>
      <c r="B18" s="18" t="s">
        <v>85</v>
      </c>
      <c r="C18" s="17" t="s">
        <v>59</v>
      </c>
      <c r="D18" s="19">
        <v>680202</v>
      </c>
      <c r="E18" s="19">
        <v>290430</v>
      </c>
      <c r="F18" s="19">
        <v>1117</v>
      </c>
      <c r="G18" s="19">
        <v>9136</v>
      </c>
      <c r="H18" s="19">
        <v>65059</v>
      </c>
      <c r="I18" s="19">
        <v>56457</v>
      </c>
      <c r="J18" s="19">
        <v>32420</v>
      </c>
      <c r="K18" s="19">
        <v>22</v>
      </c>
      <c r="L18" s="19">
        <v>108250</v>
      </c>
      <c r="M18" s="19">
        <v>2751</v>
      </c>
      <c r="N18" s="19">
        <v>28075</v>
      </c>
      <c r="O18" s="19">
        <v>7570</v>
      </c>
      <c r="P18" s="19">
        <v>0</v>
      </c>
      <c r="Q18" s="19">
        <v>30169</v>
      </c>
      <c r="R18" s="19">
        <v>605</v>
      </c>
      <c r="S18" s="19">
        <v>14394</v>
      </c>
      <c r="T18" s="19">
        <v>3902</v>
      </c>
      <c r="U18" s="19">
        <v>0</v>
      </c>
      <c r="V18" s="19">
        <v>1092</v>
      </c>
      <c r="W18" s="19">
        <v>536</v>
      </c>
      <c r="X18" s="19">
        <v>28217</v>
      </c>
      <c r="Y18" s="19">
        <v>97494</v>
      </c>
      <c r="Z18" s="19">
        <v>58491</v>
      </c>
      <c r="AA18" s="19">
        <v>634</v>
      </c>
      <c r="AB18" s="19">
        <v>372</v>
      </c>
      <c r="AC18" s="19">
        <v>15975</v>
      </c>
      <c r="AD18" s="19">
        <v>2011</v>
      </c>
      <c r="AE18" s="19">
        <v>1711</v>
      </c>
      <c r="AF18" s="19">
        <v>0</v>
      </c>
      <c r="AG18" s="19">
        <v>21</v>
      </c>
      <c r="AH18" s="19">
        <v>19</v>
      </c>
      <c r="AI18" s="20">
        <v>12798</v>
      </c>
      <c r="AJ18" s="20" t="s">
        <v>276</v>
      </c>
      <c r="AK18" s="20" t="s">
        <v>276</v>
      </c>
      <c r="AL18" s="20" t="s">
        <v>276</v>
      </c>
      <c r="AM18" s="20" t="s">
        <v>276</v>
      </c>
      <c r="AN18" s="20" t="s">
        <v>276</v>
      </c>
      <c r="AO18" s="20" t="s">
        <v>276</v>
      </c>
      <c r="AP18" s="20" t="s">
        <v>276</v>
      </c>
      <c r="AQ18" s="20" t="s">
        <v>276</v>
      </c>
      <c r="AR18" s="19">
        <v>317</v>
      </c>
      <c r="AS18" s="19">
        <v>5145</v>
      </c>
      <c r="AT18" s="19">
        <v>352955</v>
      </c>
      <c r="AU18" s="19">
        <v>28965</v>
      </c>
      <c r="AV18" s="19">
        <v>137</v>
      </c>
      <c r="AW18" s="19">
        <v>4903</v>
      </c>
      <c r="AX18" s="19">
        <v>44850</v>
      </c>
      <c r="AY18" s="19">
        <v>51375</v>
      </c>
      <c r="AZ18" s="19">
        <v>30709</v>
      </c>
      <c r="BA18" s="19">
        <v>22</v>
      </c>
      <c r="BB18" s="19">
        <v>108229</v>
      </c>
      <c r="BC18" s="19">
        <v>2612</v>
      </c>
      <c r="BD18" s="19">
        <v>358</v>
      </c>
      <c r="BE18" s="19">
        <v>7570</v>
      </c>
      <c r="BF18" s="19">
        <v>0</v>
      </c>
      <c r="BG18" s="19">
        <v>30169</v>
      </c>
      <c r="BH18" s="19">
        <v>605</v>
      </c>
      <c r="BI18" s="19">
        <v>14394</v>
      </c>
      <c r="BJ18" s="19">
        <v>3902</v>
      </c>
      <c r="BK18" s="19">
        <v>0</v>
      </c>
      <c r="BL18" s="19">
        <v>1092</v>
      </c>
      <c r="BM18" s="19">
        <v>22</v>
      </c>
      <c r="BN18" s="19">
        <v>23041</v>
      </c>
      <c r="BO18" s="19">
        <v>229753</v>
      </c>
      <c r="BP18" s="19">
        <v>202974</v>
      </c>
      <c r="BQ18" s="19">
        <v>346</v>
      </c>
      <c r="BR18" s="19">
        <v>3861</v>
      </c>
      <c r="BS18" s="19">
        <v>4234</v>
      </c>
      <c r="BT18" s="19">
        <v>3071</v>
      </c>
      <c r="BU18" s="19">
        <v>0</v>
      </c>
      <c r="BV18" s="19">
        <v>0</v>
      </c>
      <c r="BW18" s="19">
        <v>0</v>
      </c>
      <c r="BX18" s="19">
        <v>120</v>
      </c>
      <c r="BY18" s="19">
        <v>14919</v>
      </c>
      <c r="BZ18" s="20" t="s">
        <v>276</v>
      </c>
      <c r="CA18" s="20" t="s">
        <v>276</v>
      </c>
      <c r="CB18" s="20" t="s">
        <v>276</v>
      </c>
      <c r="CC18" s="20" t="s">
        <v>276</v>
      </c>
      <c r="CD18" s="20" t="s">
        <v>276</v>
      </c>
      <c r="CE18" s="20" t="s">
        <v>276</v>
      </c>
      <c r="CF18" s="20" t="s">
        <v>276</v>
      </c>
      <c r="CG18" s="20" t="s">
        <v>276</v>
      </c>
      <c r="CH18" s="19">
        <v>197</v>
      </c>
      <c r="CI18" s="19">
        <v>31</v>
      </c>
      <c r="CJ18" s="28">
        <v>23</v>
      </c>
    </row>
    <row r="19" spans="1:88" ht="13.5" customHeight="1">
      <c r="A19" s="17" t="s">
        <v>86</v>
      </c>
      <c r="B19" s="18" t="s">
        <v>87</v>
      </c>
      <c r="C19" s="17" t="s">
        <v>59</v>
      </c>
      <c r="D19" s="19">
        <v>163193</v>
      </c>
      <c r="E19" s="19">
        <v>65486</v>
      </c>
      <c r="F19" s="19">
        <v>66</v>
      </c>
      <c r="G19" s="19">
        <v>1402</v>
      </c>
      <c r="H19" s="19">
        <v>16151</v>
      </c>
      <c r="I19" s="19">
        <v>13401</v>
      </c>
      <c r="J19" s="19">
        <v>5711</v>
      </c>
      <c r="K19" s="19">
        <v>57</v>
      </c>
      <c r="L19" s="19">
        <v>16612</v>
      </c>
      <c r="M19" s="19">
        <v>496</v>
      </c>
      <c r="N19" s="19">
        <v>991</v>
      </c>
      <c r="O19" s="19">
        <v>5720</v>
      </c>
      <c r="P19" s="19">
        <v>0</v>
      </c>
      <c r="Q19" s="19">
        <v>5015</v>
      </c>
      <c r="R19" s="19">
        <v>0</v>
      </c>
      <c r="S19" s="19">
        <v>1289</v>
      </c>
      <c r="T19" s="19">
        <v>5900</v>
      </c>
      <c r="U19" s="19">
        <v>0</v>
      </c>
      <c r="V19" s="19">
        <v>304</v>
      </c>
      <c r="W19" s="19">
        <v>195</v>
      </c>
      <c r="X19" s="19">
        <v>24397</v>
      </c>
      <c r="Y19" s="19">
        <v>61221</v>
      </c>
      <c r="Z19" s="19">
        <v>31297</v>
      </c>
      <c r="AA19" s="19">
        <v>55</v>
      </c>
      <c r="AB19" s="19">
        <v>513</v>
      </c>
      <c r="AC19" s="19">
        <v>2203</v>
      </c>
      <c r="AD19" s="19">
        <v>2907</v>
      </c>
      <c r="AE19" s="19">
        <v>2041</v>
      </c>
      <c r="AF19" s="19">
        <v>45</v>
      </c>
      <c r="AG19" s="19">
        <v>1084</v>
      </c>
      <c r="AH19" s="19">
        <v>154</v>
      </c>
      <c r="AI19" s="20">
        <v>717</v>
      </c>
      <c r="AJ19" s="20" t="s">
        <v>276</v>
      </c>
      <c r="AK19" s="20" t="s">
        <v>276</v>
      </c>
      <c r="AL19" s="20" t="s">
        <v>276</v>
      </c>
      <c r="AM19" s="20" t="s">
        <v>276</v>
      </c>
      <c r="AN19" s="20" t="s">
        <v>276</v>
      </c>
      <c r="AO19" s="20" t="s">
        <v>276</v>
      </c>
      <c r="AP19" s="20" t="s">
        <v>276</v>
      </c>
      <c r="AQ19" s="20" t="s">
        <v>276</v>
      </c>
      <c r="AR19" s="19">
        <v>151</v>
      </c>
      <c r="AS19" s="19">
        <v>20054</v>
      </c>
      <c r="AT19" s="19">
        <v>77286</v>
      </c>
      <c r="AU19" s="19">
        <v>9601</v>
      </c>
      <c r="AV19" s="19">
        <v>11</v>
      </c>
      <c r="AW19" s="19">
        <v>889</v>
      </c>
      <c r="AX19" s="19">
        <v>13924</v>
      </c>
      <c r="AY19" s="19">
        <v>10463</v>
      </c>
      <c r="AZ19" s="19">
        <v>3656</v>
      </c>
      <c r="BA19" s="19">
        <v>12</v>
      </c>
      <c r="BB19" s="19">
        <v>15528</v>
      </c>
      <c r="BC19" s="19">
        <v>342</v>
      </c>
      <c r="BD19" s="19">
        <v>245</v>
      </c>
      <c r="BE19" s="19">
        <v>5720</v>
      </c>
      <c r="BF19" s="19">
        <v>0</v>
      </c>
      <c r="BG19" s="19">
        <v>5015</v>
      </c>
      <c r="BH19" s="19">
        <v>0</v>
      </c>
      <c r="BI19" s="19">
        <v>1289</v>
      </c>
      <c r="BJ19" s="19">
        <v>5900</v>
      </c>
      <c r="BK19" s="19">
        <v>0</v>
      </c>
      <c r="BL19" s="19">
        <v>304</v>
      </c>
      <c r="BM19" s="19">
        <v>44</v>
      </c>
      <c r="BN19" s="19">
        <v>4343</v>
      </c>
      <c r="BO19" s="19">
        <v>24686</v>
      </c>
      <c r="BP19" s="19">
        <v>24588</v>
      </c>
      <c r="BQ19" s="19">
        <v>0</v>
      </c>
      <c r="BR19" s="19">
        <v>0</v>
      </c>
      <c r="BS19" s="19">
        <v>24</v>
      </c>
      <c r="BT19" s="19">
        <v>31</v>
      </c>
      <c r="BU19" s="19">
        <v>14</v>
      </c>
      <c r="BV19" s="19">
        <v>0</v>
      </c>
      <c r="BW19" s="19">
        <v>0</v>
      </c>
      <c r="BX19" s="19">
        <v>0</v>
      </c>
      <c r="BY19" s="19">
        <v>29</v>
      </c>
      <c r="BZ19" s="20" t="s">
        <v>276</v>
      </c>
      <c r="CA19" s="20" t="s">
        <v>276</v>
      </c>
      <c r="CB19" s="20" t="s">
        <v>276</v>
      </c>
      <c r="CC19" s="20" t="s">
        <v>276</v>
      </c>
      <c r="CD19" s="20" t="s">
        <v>276</v>
      </c>
      <c r="CE19" s="20" t="s">
        <v>276</v>
      </c>
      <c r="CF19" s="20" t="s">
        <v>276</v>
      </c>
      <c r="CG19" s="20" t="s">
        <v>276</v>
      </c>
      <c r="CH19" s="19">
        <v>0</v>
      </c>
      <c r="CI19" s="19">
        <v>0</v>
      </c>
      <c r="CJ19" s="28">
        <v>26</v>
      </c>
    </row>
    <row r="20" spans="1:88" ht="13.5" customHeight="1">
      <c r="A20" s="17" t="s">
        <v>88</v>
      </c>
      <c r="B20" s="18" t="s">
        <v>89</v>
      </c>
      <c r="C20" s="17" t="s">
        <v>59</v>
      </c>
      <c r="D20" s="19">
        <v>87613.790000000008</v>
      </c>
      <c r="E20" s="19">
        <v>24457</v>
      </c>
      <c r="F20" s="19">
        <v>106</v>
      </c>
      <c r="G20" s="19">
        <v>1875</v>
      </c>
      <c r="H20" s="19">
        <v>6764</v>
      </c>
      <c r="I20" s="19">
        <v>4620</v>
      </c>
      <c r="J20" s="19">
        <v>1612</v>
      </c>
      <c r="K20" s="19">
        <v>73</v>
      </c>
      <c r="L20" s="19">
        <v>5625</v>
      </c>
      <c r="M20" s="19">
        <v>28</v>
      </c>
      <c r="N20" s="19">
        <v>256</v>
      </c>
      <c r="O20" s="19">
        <v>9446</v>
      </c>
      <c r="P20" s="19">
        <v>2925</v>
      </c>
      <c r="Q20" s="19">
        <v>287</v>
      </c>
      <c r="R20" s="19">
        <v>2798</v>
      </c>
      <c r="S20" s="19">
        <v>25659</v>
      </c>
      <c r="T20" s="19">
        <v>300</v>
      </c>
      <c r="U20" s="19">
        <v>0</v>
      </c>
      <c r="V20" s="19">
        <v>0</v>
      </c>
      <c r="W20" s="19">
        <v>17</v>
      </c>
      <c r="X20" s="19">
        <v>765.79</v>
      </c>
      <c r="Y20" s="19">
        <v>11840</v>
      </c>
      <c r="Z20" s="19">
        <v>5041</v>
      </c>
      <c r="AA20" s="19">
        <v>33</v>
      </c>
      <c r="AB20" s="19">
        <v>777</v>
      </c>
      <c r="AC20" s="19">
        <v>476</v>
      </c>
      <c r="AD20" s="19">
        <v>1031</v>
      </c>
      <c r="AE20" s="19">
        <v>871</v>
      </c>
      <c r="AF20" s="19">
        <v>1</v>
      </c>
      <c r="AG20" s="19">
        <v>3290</v>
      </c>
      <c r="AH20" s="19">
        <v>0</v>
      </c>
      <c r="AI20" s="20">
        <v>12</v>
      </c>
      <c r="AJ20" s="20" t="s">
        <v>276</v>
      </c>
      <c r="AK20" s="20" t="s">
        <v>276</v>
      </c>
      <c r="AL20" s="20" t="s">
        <v>276</v>
      </c>
      <c r="AM20" s="20" t="s">
        <v>276</v>
      </c>
      <c r="AN20" s="20" t="s">
        <v>276</v>
      </c>
      <c r="AO20" s="20" t="s">
        <v>276</v>
      </c>
      <c r="AP20" s="20" t="s">
        <v>276</v>
      </c>
      <c r="AQ20" s="20" t="s">
        <v>276</v>
      </c>
      <c r="AR20" s="19">
        <v>8</v>
      </c>
      <c r="AS20" s="19">
        <v>300</v>
      </c>
      <c r="AT20" s="19">
        <v>57192.79</v>
      </c>
      <c r="AU20" s="19">
        <v>1642</v>
      </c>
      <c r="AV20" s="19">
        <v>50</v>
      </c>
      <c r="AW20" s="19">
        <v>573</v>
      </c>
      <c r="AX20" s="19">
        <v>6159</v>
      </c>
      <c r="AY20" s="19">
        <v>3589</v>
      </c>
      <c r="AZ20" s="19">
        <v>740</v>
      </c>
      <c r="BA20" s="19">
        <v>72</v>
      </c>
      <c r="BB20" s="19">
        <v>2335</v>
      </c>
      <c r="BC20" s="19">
        <v>28</v>
      </c>
      <c r="BD20" s="19">
        <v>115</v>
      </c>
      <c r="BE20" s="19">
        <v>9446</v>
      </c>
      <c r="BF20" s="19">
        <v>2925</v>
      </c>
      <c r="BG20" s="19">
        <v>287</v>
      </c>
      <c r="BH20" s="19">
        <v>2798</v>
      </c>
      <c r="BI20" s="19">
        <v>25659</v>
      </c>
      <c r="BJ20" s="19">
        <v>300</v>
      </c>
      <c r="BK20" s="19">
        <v>0</v>
      </c>
      <c r="BL20" s="19">
        <v>0</v>
      </c>
      <c r="BM20" s="19">
        <v>9</v>
      </c>
      <c r="BN20" s="19">
        <v>465.79</v>
      </c>
      <c r="BO20" s="19">
        <v>18581</v>
      </c>
      <c r="BP20" s="19">
        <v>17774</v>
      </c>
      <c r="BQ20" s="19">
        <v>23</v>
      </c>
      <c r="BR20" s="19">
        <v>525</v>
      </c>
      <c r="BS20" s="19">
        <v>129</v>
      </c>
      <c r="BT20" s="19">
        <v>0</v>
      </c>
      <c r="BU20" s="19">
        <v>1</v>
      </c>
      <c r="BV20" s="19">
        <v>0</v>
      </c>
      <c r="BW20" s="19">
        <v>0</v>
      </c>
      <c r="BX20" s="19">
        <v>0</v>
      </c>
      <c r="BY20" s="19">
        <v>129</v>
      </c>
      <c r="BZ20" s="20" t="s">
        <v>276</v>
      </c>
      <c r="CA20" s="20" t="s">
        <v>276</v>
      </c>
      <c r="CB20" s="20" t="s">
        <v>276</v>
      </c>
      <c r="CC20" s="20" t="s">
        <v>276</v>
      </c>
      <c r="CD20" s="20" t="s">
        <v>276</v>
      </c>
      <c r="CE20" s="20" t="s">
        <v>276</v>
      </c>
      <c r="CF20" s="20" t="s">
        <v>276</v>
      </c>
      <c r="CG20" s="20" t="s">
        <v>276</v>
      </c>
      <c r="CH20" s="19">
        <v>0</v>
      </c>
      <c r="CI20" s="19">
        <v>0</v>
      </c>
      <c r="CJ20" s="28">
        <v>13</v>
      </c>
    </row>
    <row r="21" spans="1:88" ht="13.5" customHeight="1">
      <c r="A21" s="17" t="s">
        <v>90</v>
      </c>
      <c r="B21" s="18" t="s">
        <v>91</v>
      </c>
      <c r="C21" s="17" t="s">
        <v>59</v>
      </c>
      <c r="D21" s="19">
        <v>55809</v>
      </c>
      <c r="E21" s="19">
        <v>17968</v>
      </c>
      <c r="F21" s="19">
        <v>83</v>
      </c>
      <c r="G21" s="19">
        <v>1067</v>
      </c>
      <c r="H21" s="19">
        <v>8273</v>
      </c>
      <c r="I21" s="19">
        <v>5415</v>
      </c>
      <c r="J21" s="19">
        <v>2028</v>
      </c>
      <c r="K21" s="19">
        <v>0</v>
      </c>
      <c r="L21" s="19">
        <v>6156</v>
      </c>
      <c r="M21" s="19">
        <v>0</v>
      </c>
      <c r="N21" s="19">
        <v>425</v>
      </c>
      <c r="O21" s="19">
        <v>659</v>
      </c>
      <c r="P21" s="19">
        <v>0</v>
      </c>
      <c r="Q21" s="19">
        <v>2633</v>
      </c>
      <c r="R21" s="19">
        <v>0</v>
      </c>
      <c r="S21" s="19">
        <v>0</v>
      </c>
      <c r="T21" s="19">
        <v>4447</v>
      </c>
      <c r="U21" s="19">
        <v>0</v>
      </c>
      <c r="V21" s="19">
        <v>0</v>
      </c>
      <c r="W21" s="19">
        <v>73</v>
      </c>
      <c r="X21" s="19">
        <v>6582</v>
      </c>
      <c r="Y21" s="19">
        <v>17853</v>
      </c>
      <c r="Z21" s="19">
        <v>9800</v>
      </c>
      <c r="AA21" s="19">
        <v>33</v>
      </c>
      <c r="AB21" s="19">
        <v>475</v>
      </c>
      <c r="AC21" s="19">
        <v>3927</v>
      </c>
      <c r="AD21" s="19">
        <v>1712</v>
      </c>
      <c r="AE21" s="19">
        <v>378</v>
      </c>
      <c r="AF21" s="19">
        <v>0</v>
      </c>
      <c r="AG21" s="19">
        <v>293</v>
      </c>
      <c r="AH21" s="19">
        <v>0</v>
      </c>
      <c r="AI21" s="20">
        <v>425</v>
      </c>
      <c r="AJ21" s="20" t="s">
        <v>276</v>
      </c>
      <c r="AK21" s="20" t="s">
        <v>276</v>
      </c>
      <c r="AL21" s="20" t="s">
        <v>276</v>
      </c>
      <c r="AM21" s="20" t="s">
        <v>276</v>
      </c>
      <c r="AN21" s="20" t="s">
        <v>276</v>
      </c>
      <c r="AO21" s="20" t="s">
        <v>276</v>
      </c>
      <c r="AP21" s="20" t="s">
        <v>276</v>
      </c>
      <c r="AQ21" s="20" t="s">
        <v>276</v>
      </c>
      <c r="AR21" s="19">
        <v>16</v>
      </c>
      <c r="AS21" s="19">
        <v>794</v>
      </c>
      <c r="AT21" s="19">
        <v>32953</v>
      </c>
      <c r="AU21" s="19">
        <v>3239</v>
      </c>
      <c r="AV21" s="19">
        <v>46</v>
      </c>
      <c r="AW21" s="19">
        <v>550</v>
      </c>
      <c r="AX21" s="19">
        <v>4338</v>
      </c>
      <c r="AY21" s="19">
        <v>3700</v>
      </c>
      <c r="AZ21" s="19">
        <v>1637</v>
      </c>
      <c r="BA21" s="19">
        <v>0</v>
      </c>
      <c r="BB21" s="19">
        <v>5863</v>
      </c>
      <c r="BC21" s="19">
        <v>0</v>
      </c>
      <c r="BD21" s="19">
        <v>0</v>
      </c>
      <c r="BE21" s="19">
        <v>659</v>
      </c>
      <c r="BF21" s="19">
        <v>0</v>
      </c>
      <c r="BG21" s="19">
        <v>2633</v>
      </c>
      <c r="BH21" s="19">
        <v>0</v>
      </c>
      <c r="BI21" s="19">
        <v>0</v>
      </c>
      <c r="BJ21" s="19">
        <v>4447</v>
      </c>
      <c r="BK21" s="19">
        <v>0</v>
      </c>
      <c r="BL21" s="19">
        <v>0</v>
      </c>
      <c r="BM21" s="19">
        <v>53</v>
      </c>
      <c r="BN21" s="19">
        <v>5788</v>
      </c>
      <c r="BO21" s="19">
        <v>5003</v>
      </c>
      <c r="BP21" s="19">
        <v>4929</v>
      </c>
      <c r="BQ21" s="19">
        <v>4</v>
      </c>
      <c r="BR21" s="19">
        <v>42</v>
      </c>
      <c r="BS21" s="19">
        <v>8</v>
      </c>
      <c r="BT21" s="19">
        <v>3</v>
      </c>
      <c r="BU21" s="19">
        <v>13</v>
      </c>
      <c r="BV21" s="19">
        <v>0</v>
      </c>
      <c r="BW21" s="19">
        <v>0</v>
      </c>
      <c r="BX21" s="19">
        <v>0</v>
      </c>
      <c r="BY21" s="19">
        <v>0</v>
      </c>
      <c r="BZ21" s="20" t="s">
        <v>276</v>
      </c>
      <c r="CA21" s="20" t="s">
        <v>276</v>
      </c>
      <c r="CB21" s="20" t="s">
        <v>276</v>
      </c>
      <c r="CC21" s="20" t="s">
        <v>276</v>
      </c>
      <c r="CD21" s="20" t="s">
        <v>276</v>
      </c>
      <c r="CE21" s="20" t="s">
        <v>276</v>
      </c>
      <c r="CF21" s="20" t="s">
        <v>276</v>
      </c>
      <c r="CG21" s="20" t="s">
        <v>276</v>
      </c>
      <c r="CH21" s="19">
        <v>4</v>
      </c>
      <c r="CI21" s="19">
        <v>0</v>
      </c>
      <c r="CJ21" s="28">
        <v>19</v>
      </c>
    </row>
    <row r="22" spans="1:88" ht="13.5" customHeight="1">
      <c r="A22" s="17" t="s">
        <v>92</v>
      </c>
      <c r="B22" s="18" t="s">
        <v>93</v>
      </c>
      <c r="C22" s="17" t="s">
        <v>59</v>
      </c>
      <c r="D22" s="19">
        <v>34582</v>
      </c>
      <c r="E22" s="19">
        <v>14099</v>
      </c>
      <c r="F22" s="19">
        <v>21</v>
      </c>
      <c r="G22" s="19">
        <v>934</v>
      </c>
      <c r="H22" s="19">
        <v>7593</v>
      </c>
      <c r="I22" s="19">
        <v>3614</v>
      </c>
      <c r="J22" s="19">
        <v>1184</v>
      </c>
      <c r="K22" s="19">
        <v>15</v>
      </c>
      <c r="L22" s="19">
        <v>4842</v>
      </c>
      <c r="M22" s="19">
        <v>80</v>
      </c>
      <c r="N22" s="19">
        <v>179</v>
      </c>
      <c r="O22" s="19">
        <v>138</v>
      </c>
      <c r="P22" s="19">
        <v>0</v>
      </c>
      <c r="Q22" s="19">
        <v>1489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29</v>
      </c>
      <c r="X22" s="19">
        <v>365</v>
      </c>
      <c r="Y22" s="19">
        <v>5765</v>
      </c>
      <c r="Z22" s="19">
        <v>2631</v>
      </c>
      <c r="AA22" s="19">
        <v>14</v>
      </c>
      <c r="AB22" s="19">
        <v>290</v>
      </c>
      <c r="AC22" s="19">
        <v>716</v>
      </c>
      <c r="AD22" s="19">
        <v>463</v>
      </c>
      <c r="AE22" s="19">
        <v>395</v>
      </c>
      <c r="AF22" s="19">
        <v>9</v>
      </c>
      <c r="AG22" s="19">
        <v>1020</v>
      </c>
      <c r="AH22" s="19">
        <v>44</v>
      </c>
      <c r="AI22" s="20">
        <v>95</v>
      </c>
      <c r="AJ22" s="20" t="s">
        <v>276</v>
      </c>
      <c r="AK22" s="20" t="s">
        <v>276</v>
      </c>
      <c r="AL22" s="20" t="s">
        <v>276</v>
      </c>
      <c r="AM22" s="20" t="s">
        <v>276</v>
      </c>
      <c r="AN22" s="20" t="s">
        <v>276</v>
      </c>
      <c r="AO22" s="20" t="s">
        <v>276</v>
      </c>
      <c r="AP22" s="20" t="s">
        <v>276</v>
      </c>
      <c r="AQ22" s="20" t="s">
        <v>276</v>
      </c>
      <c r="AR22" s="19">
        <v>29</v>
      </c>
      <c r="AS22" s="19">
        <v>59</v>
      </c>
      <c r="AT22" s="19">
        <v>18229</v>
      </c>
      <c r="AU22" s="19">
        <v>1785</v>
      </c>
      <c r="AV22" s="19">
        <v>7</v>
      </c>
      <c r="AW22" s="19">
        <v>268</v>
      </c>
      <c r="AX22" s="19">
        <v>6508</v>
      </c>
      <c r="AY22" s="19">
        <v>3151</v>
      </c>
      <c r="AZ22" s="19">
        <v>767</v>
      </c>
      <c r="BA22" s="19">
        <v>6</v>
      </c>
      <c r="BB22" s="19">
        <v>3822</v>
      </c>
      <c r="BC22" s="19">
        <v>36</v>
      </c>
      <c r="BD22" s="19">
        <v>0</v>
      </c>
      <c r="BE22" s="19">
        <v>138</v>
      </c>
      <c r="BF22" s="19">
        <v>0</v>
      </c>
      <c r="BG22" s="19">
        <v>1489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252</v>
      </c>
      <c r="BO22" s="19">
        <v>10588</v>
      </c>
      <c r="BP22" s="19">
        <v>9683</v>
      </c>
      <c r="BQ22" s="19">
        <v>0</v>
      </c>
      <c r="BR22" s="19">
        <v>376</v>
      </c>
      <c r="BS22" s="19">
        <v>369</v>
      </c>
      <c r="BT22" s="19">
        <v>0</v>
      </c>
      <c r="BU22" s="19">
        <v>22</v>
      </c>
      <c r="BV22" s="19">
        <v>0</v>
      </c>
      <c r="BW22" s="19">
        <v>0</v>
      </c>
      <c r="BX22" s="19">
        <v>0</v>
      </c>
      <c r="BY22" s="19">
        <v>84</v>
      </c>
      <c r="BZ22" s="20" t="s">
        <v>276</v>
      </c>
      <c r="CA22" s="20" t="s">
        <v>276</v>
      </c>
      <c r="CB22" s="20" t="s">
        <v>276</v>
      </c>
      <c r="CC22" s="20" t="s">
        <v>276</v>
      </c>
      <c r="CD22" s="20" t="s">
        <v>276</v>
      </c>
      <c r="CE22" s="20" t="s">
        <v>276</v>
      </c>
      <c r="CF22" s="20" t="s">
        <v>276</v>
      </c>
      <c r="CG22" s="20" t="s">
        <v>276</v>
      </c>
      <c r="CH22" s="19">
        <v>0</v>
      </c>
      <c r="CI22" s="19">
        <v>54</v>
      </c>
      <c r="CJ22" s="28">
        <v>16</v>
      </c>
    </row>
    <row r="23" spans="1:88" ht="13.5" customHeight="1">
      <c r="A23" s="17" t="s">
        <v>94</v>
      </c>
      <c r="B23" s="18" t="s">
        <v>95</v>
      </c>
      <c r="C23" s="17" t="s">
        <v>59</v>
      </c>
      <c r="D23" s="19">
        <v>47100</v>
      </c>
      <c r="E23" s="19">
        <v>19453</v>
      </c>
      <c r="F23" s="19">
        <v>144</v>
      </c>
      <c r="G23" s="19">
        <v>1122</v>
      </c>
      <c r="H23" s="19">
        <v>6089</v>
      </c>
      <c r="I23" s="19">
        <v>4320</v>
      </c>
      <c r="J23" s="19">
        <v>1428</v>
      </c>
      <c r="K23" s="19">
        <v>32</v>
      </c>
      <c r="L23" s="19">
        <v>1954</v>
      </c>
      <c r="M23" s="19">
        <v>3</v>
      </c>
      <c r="N23" s="19">
        <v>235</v>
      </c>
      <c r="O23" s="19">
        <v>179</v>
      </c>
      <c r="P23" s="19">
        <v>0</v>
      </c>
      <c r="Q23" s="19">
        <v>7533</v>
      </c>
      <c r="R23" s="19">
        <v>0</v>
      </c>
      <c r="S23" s="19">
        <v>0</v>
      </c>
      <c r="T23" s="19">
        <v>3</v>
      </c>
      <c r="U23" s="19">
        <v>0</v>
      </c>
      <c r="V23" s="19">
        <v>0</v>
      </c>
      <c r="W23" s="19">
        <v>20</v>
      </c>
      <c r="X23" s="19">
        <v>4585</v>
      </c>
      <c r="Y23" s="19">
        <v>10833</v>
      </c>
      <c r="Z23" s="19">
        <v>6697</v>
      </c>
      <c r="AA23" s="19">
        <v>47</v>
      </c>
      <c r="AB23" s="19">
        <v>840</v>
      </c>
      <c r="AC23" s="19">
        <v>360</v>
      </c>
      <c r="AD23" s="19">
        <v>638</v>
      </c>
      <c r="AE23" s="19">
        <v>397</v>
      </c>
      <c r="AF23" s="19">
        <v>7</v>
      </c>
      <c r="AG23" s="19">
        <v>841</v>
      </c>
      <c r="AH23" s="19">
        <v>0</v>
      </c>
      <c r="AI23" s="20">
        <v>28</v>
      </c>
      <c r="AJ23" s="20" t="s">
        <v>276</v>
      </c>
      <c r="AK23" s="20" t="s">
        <v>276</v>
      </c>
      <c r="AL23" s="20" t="s">
        <v>276</v>
      </c>
      <c r="AM23" s="20" t="s">
        <v>276</v>
      </c>
      <c r="AN23" s="20" t="s">
        <v>276</v>
      </c>
      <c r="AO23" s="20" t="s">
        <v>276</v>
      </c>
      <c r="AP23" s="20" t="s">
        <v>276</v>
      </c>
      <c r="AQ23" s="20" t="s">
        <v>276</v>
      </c>
      <c r="AR23" s="19">
        <v>15</v>
      </c>
      <c r="AS23" s="19">
        <v>963</v>
      </c>
      <c r="AT23" s="19">
        <v>27607</v>
      </c>
      <c r="AU23" s="19">
        <v>6654</v>
      </c>
      <c r="AV23" s="19">
        <v>52</v>
      </c>
      <c r="AW23" s="19">
        <v>216</v>
      </c>
      <c r="AX23" s="19">
        <v>4929</v>
      </c>
      <c r="AY23" s="19">
        <v>2879</v>
      </c>
      <c r="AZ23" s="19">
        <v>673</v>
      </c>
      <c r="BA23" s="19">
        <v>19</v>
      </c>
      <c r="BB23" s="19">
        <v>731</v>
      </c>
      <c r="BC23" s="19">
        <v>3</v>
      </c>
      <c r="BD23" s="19">
        <v>111</v>
      </c>
      <c r="BE23" s="19">
        <v>179</v>
      </c>
      <c r="BF23" s="19">
        <v>0</v>
      </c>
      <c r="BG23" s="19">
        <v>7533</v>
      </c>
      <c r="BH23" s="19">
        <v>0</v>
      </c>
      <c r="BI23" s="19">
        <v>0</v>
      </c>
      <c r="BJ23" s="19">
        <v>3</v>
      </c>
      <c r="BK23" s="19">
        <v>0</v>
      </c>
      <c r="BL23" s="19">
        <v>0</v>
      </c>
      <c r="BM23" s="19">
        <v>4</v>
      </c>
      <c r="BN23" s="19">
        <v>3621</v>
      </c>
      <c r="BO23" s="19">
        <v>8660</v>
      </c>
      <c r="BP23" s="19">
        <v>6102</v>
      </c>
      <c r="BQ23" s="19">
        <v>45</v>
      </c>
      <c r="BR23" s="19">
        <v>66</v>
      </c>
      <c r="BS23" s="19">
        <v>800</v>
      </c>
      <c r="BT23" s="19">
        <v>803</v>
      </c>
      <c r="BU23" s="19">
        <v>358</v>
      </c>
      <c r="BV23" s="19">
        <v>6</v>
      </c>
      <c r="BW23" s="19">
        <v>382</v>
      </c>
      <c r="BX23" s="19">
        <v>0</v>
      </c>
      <c r="BY23" s="19">
        <v>96</v>
      </c>
      <c r="BZ23" s="20" t="s">
        <v>276</v>
      </c>
      <c r="CA23" s="20" t="s">
        <v>276</v>
      </c>
      <c r="CB23" s="20" t="s">
        <v>276</v>
      </c>
      <c r="CC23" s="20" t="s">
        <v>276</v>
      </c>
      <c r="CD23" s="20" t="s">
        <v>276</v>
      </c>
      <c r="CE23" s="20" t="s">
        <v>276</v>
      </c>
      <c r="CF23" s="20" t="s">
        <v>276</v>
      </c>
      <c r="CG23" s="20" t="s">
        <v>276</v>
      </c>
      <c r="CH23" s="19">
        <v>1</v>
      </c>
      <c r="CI23" s="19">
        <v>1</v>
      </c>
      <c r="CJ23" s="28">
        <v>26</v>
      </c>
    </row>
    <row r="24" spans="1:88" ht="13.5" customHeight="1">
      <c r="A24" s="17" t="s">
        <v>96</v>
      </c>
      <c r="B24" s="18" t="s">
        <v>97</v>
      </c>
      <c r="C24" s="17" t="s">
        <v>59</v>
      </c>
      <c r="D24" s="19">
        <v>135656</v>
      </c>
      <c r="E24" s="19">
        <v>41914</v>
      </c>
      <c r="F24" s="19">
        <v>247</v>
      </c>
      <c r="G24" s="19">
        <v>1708</v>
      </c>
      <c r="H24" s="19">
        <v>10450</v>
      </c>
      <c r="I24" s="19">
        <v>11129</v>
      </c>
      <c r="J24" s="19">
        <v>2645</v>
      </c>
      <c r="K24" s="19">
        <v>38</v>
      </c>
      <c r="L24" s="19">
        <v>16409</v>
      </c>
      <c r="M24" s="19">
        <v>2371</v>
      </c>
      <c r="N24" s="19">
        <v>2242</v>
      </c>
      <c r="O24" s="19">
        <v>2543</v>
      </c>
      <c r="P24" s="19">
        <v>0</v>
      </c>
      <c r="Q24" s="19">
        <v>8501</v>
      </c>
      <c r="R24" s="19">
        <v>0</v>
      </c>
      <c r="S24" s="19">
        <v>0</v>
      </c>
      <c r="T24" s="19">
        <v>8077</v>
      </c>
      <c r="U24" s="19">
        <v>0</v>
      </c>
      <c r="V24" s="19">
        <v>1738</v>
      </c>
      <c r="W24" s="19">
        <v>75</v>
      </c>
      <c r="X24" s="19">
        <v>25569</v>
      </c>
      <c r="Y24" s="19">
        <v>48966</v>
      </c>
      <c r="Z24" s="19">
        <v>23145</v>
      </c>
      <c r="AA24" s="19">
        <v>82</v>
      </c>
      <c r="AB24" s="19">
        <v>749</v>
      </c>
      <c r="AC24" s="19">
        <v>2634</v>
      </c>
      <c r="AD24" s="19">
        <v>6024</v>
      </c>
      <c r="AE24" s="19">
        <v>1081</v>
      </c>
      <c r="AF24" s="19">
        <v>26</v>
      </c>
      <c r="AG24" s="19">
        <v>4672</v>
      </c>
      <c r="AH24" s="19">
        <v>44</v>
      </c>
      <c r="AI24" s="20">
        <v>1863</v>
      </c>
      <c r="AJ24" s="20" t="s">
        <v>276</v>
      </c>
      <c r="AK24" s="20" t="s">
        <v>276</v>
      </c>
      <c r="AL24" s="20" t="s">
        <v>276</v>
      </c>
      <c r="AM24" s="20" t="s">
        <v>276</v>
      </c>
      <c r="AN24" s="20" t="s">
        <v>276</v>
      </c>
      <c r="AO24" s="20" t="s">
        <v>276</v>
      </c>
      <c r="AP24" s="20" t="s">
        <v>276</v>
      </c>
      <c r="AQ24" s="20" t="s">
        <v>276</v>
      </c>
      <c r="AR24" s="19">
        <v>39</v>
      </c>
      <c r="AS24" s="19">
        <v>8607</v>
      </c>
      <c r="AT24" s="19">
        <v>74052</v>
      </c>
      <c r="AU24" s="19">
        <v>6797</v>
      </c>
      <c r="AV24" s="19">
        <v>44</v>
      </c>
      <c r="AW24" s="19">
        <v>859</v>
      </c>
      <c r="AX24" s="19">
        <v>7541</v>
      </c>
      <c r="AY24" s="19">
        <v>5027</v>
      </c>
      <c r="AZ24" s="19">
        <v>1564</v>
      </c>
      <c r="BA24" s="19">
        <v>12</v>
      </c>
      <c r="BB24" s="19">
        <v>11737</v>
      </c>
      <c r="BC24" s="19">
        <v>2327</v>
      </c>
      <c r="BD24" s="19">
        <v>289</v>
      </c>
      <c r="BE24" s="19">
        <v>2543</v>
      </c>
      <c r="BF24" s="19">
        <v>0</v>
      </c>
      <c r="BG24" s="19">
        <v>8501</v>
      </c>
      <c r="BH24" s="19">
        <v>0</v>
      </c>
      <c r="BI24" s="19">
        <v>0</v>
      </c>
      <c r="BJ24" s="19">
        <v>8077</v>
      </c>
      <c r="BK24" s="19">
        <v>0</v>
      </c>
      <c r="BL24" s="19">
        <v>1738</v>
      </c>
      <c r="BM24" s="19">
        <v>34</v>
      </c>
      <c r="BN24" s="19">
        <v>16962</v>
      </c>
      <c r="BO24" s="19">
        <v>12638</v>
      </c>
      <c r="BP24" s="19">
        <v>11972</v>
      </c>
      <c r="BQ24" s="19">
        <v>121</v>
      </c>
      <c r="BR24" s="19">
        <v>100</v>
      </c>
      <c r="BS24" s="19">
        <v>275</v>
      </c>
      <c r="BT24" s="19">
        <v>78</v>
      </c>
      <c r="BU24" s="19">
        <v>0</v>
      </c>
      <c r="BV24" s="19">
        <v>0</v>
      </c>
      <c r="BW24" s="19">
        <v>0</v>
      </c>
      <c r="BX24" s="19">
        <v>0</v>
      </c>
      <c r="BY24" s="19">
        <v>90</v>
      </c>
      <c r="BZ24" s="20" t="s">
        <v>276</v>
      </c>
      <c r="CA24" s="20" t="s">
        <v>276</v>
      </c>
      <c r="CB24" s="20" t="s">
        <v>276</v>
      </c>
      <c r="CC24" s="20" t="s">
        <v>276</v>
      </c>
      <c r="CD24" s="20" t="s">
        <v>276</v>
      </c>
      <c r="CE24" s="20" t="s">
        <v>276</v>
      </c>
      <c r="CF24" s="20" t="s">
        <v>276</v>
      </c>
      <c r="CG24" s="20" t="s">
        <v>276</v>
      </c>
      <c r="CH24" s="19">
        <v>2</v>
      </c>
      <c r="CI24" s="19">
        <v>0</v>
      </c>
      <c r="CJ24" s="28">
        <v>56</v>
      </c>
    </row>
    <row r="25" spans="1:88" ht="13.5" customHeight="1">
      <c r="A25" s="17" t="s">
        <v>98</v>
      </c>
      <c r="B25" s="18" t="s">
        <v>99</v>
      </c>
      <c r="C25" s="17" t="s">
        <v>59</v>
      </c>
      <c r="D25" s="19">
        <v>102483</v>
      </c>
      <c r="E25" s="19">
        <v>27331</v>
      </c>
      <c r="F25" s="19">
        <v>226</v>
      </c>
      <c r="G25" s="19">
        <v>1092</v>
      </c>
      <c r="H25" s="19">
        <v>12494</v>
      </c>
      <c r="I25" s="19">
        <v>9728</v>
      </c>
      <c r="J25" s="19">
        <v>3846</v>
      </c>
      <c r="K25" s="19">
        <v>112</v>
      </c>
      <c r="L25" s="19">
        <v>3352</v>
      </c>
      <c r="M25" s="19">
        <v>627</v>
      </c>
      <c r="N25" s="19">
        <v>1863</v>
      </c>
      <c r="O25" s="19">
        <v>209</v>
      </c>
      <c r="P25" s="19">
        <v>0</v>
      </c>
      <c r="Q25" s="19">
        <v>11465</v>
      </c>
      <c r="R25" s="19">
        <v>8434</v>
      </c>
      <c r="S25" s="19">
        <v>3943</v>
      </c>
      <c r="T25" s="19">
        <v>6517</v>
      </c>
      <c r="U25" s="19">
        <v>0</v>
      </c>
      <c r="V25" s="19">
        <v>1655</v>
      </c>
      <c r="W25" s="19">
        <v>55</v>
      </c>
      <c r="X25" s="19">
        <v>9534</v>
      </c>
      <c r="Y25" s="19">
        <v>16262</v>
      </c>
      <c r="Z25" s="19">
        <v>9404</v>
      </c>
      <c r="AA25" s="19">
        <v>52</v>
      </c>
      <c r="AB25" s="19">
        <v>109</v>
      </c>
      <c r="AC25" s="19">
        <v>1495</v>
      </c>
      <c r="AD25" s="19">
        <v>2528</v>
      </c>
      <c r="AE25" s="19">
        <v>1209</v>
      </c>
      <c r="AF25" s="19">
        <v>19</v>
      </c>
      <c r="AG25" s="19">
        <v>559</v>
      </c>
      <c r="AH25" s="19">
        <v>16</v>
      </c>
      <c r="AI25" s="20">
        <v>629</v>
      </c>
      <c r="AJ25" s="20" t="s">
        <v>276</v>
      </c>
      <c r="AK25" s="20" t="s">
        <v>276</v>
      </c>
      <c r="AL25" s="20" t="s">
        <v>276</v>
      </c>
      <c r="AM25" s="20" t="s">
        <v>276</v>
      </c>
      <c r="AN25" s="20" t="s">
        <v>276</v>
      </c>
      <c r="AO25" s="20" t="s">
        <v>276</v>
      </c>
      <c r="AP25" s="20" t="s">
        <v>276</v>
      </c>
      <c r="AQ25" s="20" t="s">
        <v>276</v>
      </c>
      <c r="AR25" s="19">
        <v>12</v>
      </c>
      <c r="AS25" s="19">
        <v>230</v>
      </c>
      <c r="AT25" s="19">
        <v>68697</v>
      </c>
      <c r="AU25" s="19">
        <v>1916</v>
      </c>
      <c r="AV25" s="19">
        <v>30</v>
      </c>
      <c r="AW25" s="19">
        <v>796</v>
      </c>
      <c r="AX25" s="19">
        <v>10699</v>
      </c>
      <c r="AY25" s="19">
        <v>7095</v>
      </c>
      <c r="AZ25" s="19">
        <v>2634</v>
      </c>
      <c r="BA25" s="19">
        <v>93</v>
      </c>
      <c r="BB25" s="19">
        <v>2793</v>
      </c>
      <c r="BC25" s="19">
        <v>611</v>
      </c>
      <c r="BD25" s="19">
        <v>478</v>
      </c>
      <c r="BE25" s="19">
        <v>209</v>
      </c>
      <c r="BF25" s="19">
        <v>0</v>
      </c>
      <c r="BG25" s="19">
        <v>11465</v>
      </c>
      <c r="BH25" s="19">
        <v>8434</v>
      </c>
      <c r="BI25" s="19">
        <v>3943</v>
      </c>
      <c r="BJ25" s="19">
        <v>6517</v>
      </c>
      <c r="BK25" s="19">
        <v>0</v>
      </c>
      <c r="BL25" s="19">
        <v>1655</v>
      </c>
      <c r="BM25" s="19">
        <v>43</v>
      </c>
      <c r="BN25" s="19">
        <v>9286</v>
      </c>
      <c r="BO25" s="19">
        <v>17524</v>
      </c>
      <c r="BP25" s="19">
        <v>16011</v>
      </c>
      <c r="BQ25" s="19">
        <v>144</v>
      </c>
      <c r="BR25" s="19">
        <v>187</v>
      </c>
      <c r="BS25" s="19">
        <v>300</v>
      </c>
      <c r="BT25" s="19">
        <v>105</v>
      </c>
      <c r="BU25" s="19">
        <v>3</v>
      </c>
      <c r="BV25" s="19">
        <v>0</v>
      </c>
      <c r="BW25" s="19">
        <v>0</v>
      </c>
      <c r="BX25" s="19">
        <v>0</v>
      </c>
      <c r="BY25" s="19">
        <v>756</v>
      </c>
      <c r="BZ25" s="20" t="s">
        <v>276</v>
      </c>
      <c r="CA25" s="20" t="s">
        <v>276</v>
      </c>
      <c r="CB25" s="20" t="s">
        <v>276</v>
      </c>
      <c r="CC25" s="20" t="s">
        <v>276</v>
      </c>
      <c r="CD25" s="20" t="s">
        <v>276</v>
      </c>
      <c r="CE25" s="20" t="s">
        <v>276</v>
      </c>
      <c r="CF25" s="20" t="s">
        <v>276</v>
      </c>
      <c r="CG25" s="20" t="s">
        <v>276</v>
      </c>
      <c r="CH25" s="19">
        <v>0</v>
      </c>
      <c r="CI25" s="19">
        <v>18</v>
      </c>
      <c r="CJ25" s="28">
        <v>39</v>
      </c>
    </row>
    <row r="26" spans="1:88" ht="13.5" customHeight="1">
      <c r="A26" s="17" t="s">
        <v>100</v>
      </c>
      <c r="B26" s="18" t="s">
        <v>101</v>
      </c>
      <c r="C26" s="17" t="s">
        <v>59</v>
      </c>
      <c r="D26" s="19">
        <v>210840</v>
      </c>
      <c r="E26" s="19">
        <v>46519</v>
      </c>
      <c r="F26" s="19">
        <v>231</v>
      </c>
      <c r="G26" s="19">
        <v>180</v>
      </c>
      <c r="H26" s="19">
        <v>26778</v>
      </c>
      <c r="I26" s="19">
        <v>20793</v>
      </c>
      <c r="J26" s="19">
        <v>5433</v>
      </c>
      <c r="K26" s="19">
        <v>277</v>
      </c>
      <c r="L26" s="19">
        <v>20398</v>
      </c>
      <c r="M26" s="19">
        <v>3079</v>
      </c>
      <c r="N26" s="19">
        <v>3833</v>
      </c>
      <c r="O26" s="19">
        <v>2439</v>
      </c>
      <c r="P26" s="19">
        <v>0</v>
      </c>
      <c r="Q26" s="19">
        <v>35675</v>
      </c>
      <c r="R26" s="19">
        <v>567</v>
      </c>
      <c r="S26" s="19">
        <v>0</v>
      </c>
      <c r="T26" s="19">
        <v>6342</v>
      </c>
      <c r="U26" s="19">
        <v>0</v>
      </c>
      <c r="V26" s="19">
        <v>0</v>
      </c>
      <c r="W26" s="19">
        <v>224</v>
      </c>
      <c r="X26" s="19">
        <v>38072</v>
      </c>
      <c r="Y26" s="19">
        <v>38804</v>
      </c>
      <c r="Z26" s="19">
        <v>11993</v>
      </c>
      <c r="AA26" s="19">
        <v>79</v>
      </c>
      <c r="AB26" s="19">
        <v>120</v>
      </c>
      <c r="AC26" s="19">
        <v>5500</v>
      </c>
      <c r="AD26" s="19">
        <v>7590</v>
      </c>
      <c r="AE26" s="19">
        <v>687</v>
      </c>
      <c r="AF26" s="19">
        <v>50</v>
      </c>
      <c r="AG26" s="19">
        <v>1571</v>
      </c>
      <c r="AH26" s="19">
        <v>1930</v>
      </c>
      <c r="AI26" s="20">
        <v>2781</v>
      </c>
      <c r="AJ26" s="20" t="s">
        <v>276</v>
      </c>
      <c r="AK26" s="20" t="s">
        <v>276</v>
      </c>
      <c r="AL26" s="20" t="s">
        <v>276</v>
      </c>
      <c r="AM26" s="20" t="s">
        <v>276</v>
      </c>
      <c r="AN26" s="20" t="s">
        <v>276</v>
      </c>
      <c r="AO26" s="20" t="s">
        <v>276</v>
      </c>
      <c r="AP26" s="20" t="s">
        <v>276</v>
      </c>
      <c r="AQ26" s="20" t="s">
        <v>276</v>
      </c>
      <c r="AR26" s="19">
        <v>100</v>
      </c>
      <c r="AS26" s="19">
        <v>6403</v>
      </c>
      <c r="AT26" s="19">
        <v>137048</v>
      </c>
      <c r="AU26" s="19">
        <v>2222</v>
      </c>
      <c r="AV26" s="19">
        <v>17</v>
      </c>
      <c r="AW26" s="19">
        <v>48</v>
      </c>
      <c r="AX26" s="19">
        <v>20815</v>
      </c>
      <c r="AY26" s="19">
        <v>13191</v>
      </c>
      <c r="AZ26" s="19">
        <v>4746</v>
      </c>
      <c r="BA26" s="19">
        <v>227</v>
      </c>
      <c r="BB26" s="19">
        <v>18827</v>
      </c>
      <c r="BC26" s="19">
        <v>1149</v>
      </c>
      <c r="BD26" s="19">
        <v>517</v>
      </c>
      <c r="BE26" s="19">
        <v>2439</v>
      </c>
      <c r="BF26" s="19">
        <v>0</v>
      </c>
      <c r="BG26" s="19">
        <v>35675</v>
      </c>
      <c r="BH26" s="19">
        <v>567</v>
      </c>
      <c r="BI26" s="19">
        <v>0</v>
      </c>
      <c r="BJ26" s="19">
        <v>6342</v>
      </c>
      <c r="BK26" s="19">
        <v>0</v>
      </c>
      <c r="BL26" s="19">
        <v>0</v>
      </c>
      <c r="BM26" s="19">
        <v>91</v>
      </c>
      <c r="BN26" s="19">
        <v>30175</v>
      </c>
      <c r="BO26" s="19">
        <v>34988</v>
      </c>
      <c r="BP26" s="19">
        <v>32304</v>
      </c>
      <c r="BQ26" s="19">
        <v>135</v>
      </c>
      <c r="BR26" s="19">
        <v>12</v>
      </c>
      <c r="BS26" s="19">
        <v>463</v>
      </c>
      <c r="BT26" s="19">
        <v>12</v>
      </c>
      <c r="BU26" s="19">
        <v>0</v>
      </c>
      <c r="BV26" s="19">
        <v>0</v>
      </c>
      <c r="BW26" s="19">
        <v>0</v>
      </c>
      <c r="BX26" s="19">
        <v>0</v>
      </c>
      <c r="BY26" s="19">
        <v>535</v>
      </c>
      <c r="BZ26" s="20" t="s">
        <v>276</v>
      </c>
      <c r="CA26" s="20" t="s">
        <v>276</v>
      </c>
      <c r="CB26" s="20" t="s">
        <v>276</v>
      </c>
      <c r="CC26" s="20" t="s">
        <v>276</v>
      </c>
      <c r="CD26" s="20" t="s">
        <v>276</v>
      </c>
      <c r="CE26" s="20" t="s">
        <v>276</v>
      </c>
      <c r="CF26" s="20" t="s">
        <v>276</v>
      </c>
      <c r="CG26" s="20" t="s">
        <v>276</v>
      </c>
      <c r="CH26" s="19">
        <v>33</v>
      </c>
      <c r="CI26" s="19">
        <v>1494</v>
      </c>
      <c r="CJ26" s="28">
        <v>29</v>
      </c>
    </row>
    <row r="27" spans="1:88" ht="13.5" customHeight="1">
      <c r="A27" s="17" t="s">
        <v>102</v>
      </c>
      <c r="B27" s="18" t="s">
        <v>103</v>
      </c>
      <c r="C27" s="17" t="s">
        <v>59</v>
      </c>
      <c r="D27" s="19">
        <v>538722</v>
      </c>
      <c r="E27" s="19">
        <v>156265</v>
      </c>
      <c r="F27" s="19">
        <v>1385</v>
      </c>
      <c r="G27" s="19">
        <v>9706</v>
      </c>
      <c r="H27" s="19">
        <v>49722</v>
      </c>
      <c r="I27" s="19">
        <v>37300</v>
      </c>
      <c r="J27" s="19">
        <v>19006</v>
      </c>
      <c r="K27" s="19">
        <v>204</v>
      </c>
      <c r="L27" s="19">
        <v>52041</v>
      </c>
      <c r="M27" s="19">
        <v>4635</v>
      </c>
      <c r="N27" s="19">
        <v>11665</v>
      </c>
      <c r="O27" s="19">
        <v>17711</v>
      </c>
      <c r="P27" s="19">
        <v>1088</v>
      </c>
      <c r="Q27" s="19">
        <v>68363</v>
      </c>
      <c r="R27" s="19">
        <v>458</v>
      </c>
      <c r="S27" s="19">
        <v>1076</v>
      </c>
      <c r="T27" s="19">
        <v>16056</v>
      </c>
      <c r="U27" s="19">
        <v>0</v>
      </c>
      <c r="V27" s="19">
        <v>6069</v>
      </c>
      <c r="W27" s="19">
        <v>294</v>
      </c>
      <c r="X27" s="19">
        <v>85678</v>
      </c>
      <c r="Y27" s="19">
        <v>97165</v>
      </c>
      <c r="Z27" s="19">
        <v>52998</v>
      </c>
      <c r="AA27" s="19">
        <v>582</v>
      </c>
      <c r="AB27" s="19">
        <v>202</v>
      </c>
      <c r="AC27" s="19">
        <v>6226</v>
      </c>
      <c r="AD27" s="19">
        <v>9751</v>
      </c>
      <c r="AE27" s="19">
        <v>2648</v>
      </c>
      <c r="AF27" s="19">
        <v>23</v>
      </c>
      <c r="AG27" s="19">
        <v>9708</v>
      </c>
      <c r="AH27" s="19">
        <v>211</v>
      </c>
      <c r="AI27" s="20">
        <v>5732</v>
      </c>
      <c r="AJ27" s="20" t="s">
        <v>276</v>
      </c>
      <c r="AK27" s="20" t="s">
        <v>276</v>
      </c>
      <c r="AL27" s="20" t="s">
        <v>276</v>
      </c>
      <c r="AM27" s="20" t="s">
        <v>276</v>
      </c>
      <c r="AN27" s="20" t="s">
        <v>276</v>
      </c>
      <c r="AO27" s="20" t="s">
        <v>276</v>
      </c>
      <c r="AP27" s="20" t="s">
        <v>276</v>
      </c>
      <c r="AQ27" s="20" t="s">
        <v>276</v>
      </c>
      <c r="AR27" s="19">
        <v>218</v>
      </c>
      <c r="AS27" s="19">
        <v>8866</v>
      </c>
      <c r="AT27" s="19">
        <v>342671</v>
      </c>
      <c r="AU27" s="19">
        <v>11904</v>
      </c>
      <c r="AV27" s="19">
        <v>186</v>
      </c>
      <c r="AW27" s="19">
        <v>9233</v>
      </c>
      <c r="AX27" s="19">
        <v>41873</v>
      </c>
      <c r="AY27" s="19">
        <v>27097</v>
      </c>
      <c r="AZ27" s="19">
        <v>16342</v>
      </c>
      <c r="BA27" s="19">
        <v>181</v>
      </c>
      <c r="BB27" s="19">
        <v>42291</v>
      </c>
      <c r="BC27" s="19">
        <v>4424</v>
      </c>
      <c r="BD27" s="19">
        <v>1434</v>
      </c>
      <c r="BE27" s="19">
        <v>17711</v>
      </c>
      <c r="BF27" s="19">
        <v>1088</v>
      </c>
      <c r="BG27" s="19">
        <v>68363</v>
      </c>
      <c r="BH27" s="19">
        <v>458</v>
      </c>
      <c r="BI27" s="19">
        <v>1076</v>
      </c>
      <c r="BJ27" s="19">
        <v>16056</v>
      </c>
      <c r="BK27" s="19">
        <v>0</v>
      </c>
      <c r="BL27" s="19">
        <v>6069</v>
      </c>
      <c r="BM27" s="19">
        <v>76</v>
      </c>
      <c r="BN27" s="19">
        <v>76809</v>
      </c>
      <c r="BO27" s="19">
        <v>98886</v>
      </c>
      <c r="BP27" s="19">
        <v>91363</v>
      </c>
      <c r="BQ27" s="19">
        <v>617</v>
      </c>
      <c r="BR27" s="19">
        <v>271</v>
      </c>
      <c r="BS27" s="19">
        <v>1623</v>
      </c>
      <c r="BT27" s="19">
        <v>452</v>
      </c>
      <c r="BU27" s="19">
        <v>16</v>
      </c>
      <c r="BV27" s="19">
        <v>0</v>
      </c>
      <c r="BW27" s="19">
        <v>42</v>
      </c>
      <c r="BX27" s="19">
        <v>0</v>
      </c>
      <c r="BY27" s="19">
        <v>4499</v>
      </c>
      <c r="BZ27" s="20" t="s">
        <v>276</v>
      </c>
      <c r="CA27" s="20" t="s">
        <v>276</v>
      </c>
      <c r="CB27" s="20" t="s">
        <v>276</v>
      </c>
      <c r="CC27" s="20" t="s">
        <v>276</v>
      </c>
      <c r="CD27" s="20" t="s">
        <v>276</v>
      </c>
      <c r="CE27" s="20" t="s">
        <v>276</v>
      </c>
      <c r="CF27" s="20" t="s">
        <v>276</v>
      </c>
      <c r="CG27" s="20" t="s">
        <v>276</v>
      </c>
      <c r="CH27" s="19">
        <v>0</v>
      </c>
      <c r="CI27" s="19">
        <v>3</v>
      </c>
      <c r="CJ27" s="28">
        <v>47</v>
      </c>
    </row>
    <row r="28" spans="1:88" ht="13.5" customHeight="1">
      <c r="A28" s="17" t="s">
        <v>104</v>
      </c>
      <c r="B28" s="18" t="s">
        <v>105</v>
      </c>
      <c r="C28" s="17" t="s">
        <v>59</v>
      </c>
      <c r="D28" s="19">
        <v>122244</v>
      </c>
      <c r="E28" s="19">
        <v>25949</v>
      </c>
      <c r="F28" s="19">
        <v>175</v>
      </c>
      <c r="G28" s="19">
        <v>2181</v>
      </c>
      <c r="H28" s="19">
        <v>12425</v>
      </c>
      <c r="I28" s="19">
        <v>7576</v>
      </c>
      <c r="J28" s="19">
        <v>2769</v>
      </c>
      <c r="K28" s="19">
        <v>1036</v>
      </c>
      <c r="L28" s="19">
        <v>7277</v>
      </c>
      <c r="M28" s="19">
        <v>6</v>
      </c>
      <c r="N28" s="19">
        <v>4194</v>
      </c>
      <c r="O28" s="19">
        <v>55</v>
      </c>
      <c r="P28" s="19">
        <v>0</v>
      </c>
      <c r="Q28" s="19">
        <v>15713</v>
      </c>
      <c r="R28" s="19">
        <v>3402</v>
      </c>
      <c r="S28" s="19">
        <v>0</v>
      </c>
      <c r="T28" s="19">
        <v>15191</v>
      </c>
      <c r="U28" s="19">
        <v>39</v>
      </c>
      <c r="V28" s="19">
        <v>4890</v>
      </c>
      <c r="W28" s="19">
        <v>62</v>
      </c>
      <c r="X28" s="19">
        <v>19304</v>
      </c>
      <c r="Y28" s="19">
        <v>26608</v>
      </c>
      <c r="Z28" s="19">
        <v>14676</v>
      </c>
      <c r="AA28" s="19">
        <v>112</v>
      </c>
      <c r="AB28" s="19">
        <v>889</v>
      </c>
      <c r="AC28" s="19">
        <v>2854</v>
      </c>
      <c r="AD28" s="19">
        <v>2149</v>
      </c>
      <c r="AE28" s="19">
        <v>620</v>
      </c>
      <c r="AF28" s="19">
        <v>3</v>
      </c>
      <c r="AG28" s="19">
        <v>178</v>
      </c>
      <c r="AH28" s="19">
        <v>6</v>
      </c>
      <c r="AI28" s="20">
        <v>3534</v>
      </c>
      <c r="AJ28" s="20" t="s">
        <v>276</v>
      </c>
      <c r="AK28" s="20" t="s">
        <v>276</v>
      </c>
      <c r="AL28" s="20" t="s">
        <v>276</v>
      </c>
      <c r="AM28" s="20" t="s">
        <v>276</v>
      </c>
      <c r="AN28" s="20" t="s">
        <v>276</v>
      </c>
      <c r="AO28" s="20" t="s">
        <v>276</v>
      </c>
      <c r="AP28" s="20" t="s">
        <v>276</v>
      </c>
      <c r="AQ28" s="20" t="s">
        <v>276</v>
      </c>
      <c r="AR28" s="19">
        <v>52</v>
      </c>
      <c r="AS28" s="19">
        <v>1535</v>
      </c>
      <c r="AT28" s="19">
        <v>85689</v>
      </c>
      <c r="AU28" s="19">
        <v>2502</v>
      </c>
      <c r="AV28" s="19">
        <v>17</v>
      </c>
      <c r="AW28" s="19">
        <v>814</v>
      </c>
      <c r="AX28" s="19">
        <v>9398</v>
      </c>
      <c r="AY28" s="19">
        <v>5348</v>
      </c>
      <c r="AZ28" s="19">
        <v>2144</v>
      </c>
      <c r="BA28" s="19">
        <v>1032</v>
      </c>
      <c r="BB28" s="19">
        <v>7099</v>
      </c>
      <c r="BC28" s="19">
        <v>0</v>
      </c>
      <c r="BD28" s="19">
        <v>266</v>
      </c>
      <c r="BE28" s="19">
        <v>55</v>
      </c>
      <c r="BF28" s="19">
        <v>0</v>
      </c>
      <c r="BG28" s="19">
        <v>15713</v>
      </c>
      <c r="BH28" s="19">
        <v>3402</v>
      </c>
      <c r="BI28" s="19">
        <v>0</v>
      </c>
      <c r="BJ28" s="19">
        <v>15191</v>
      </c>
      <c r="BK28" s="19">
        <v>39</v>
      </c>
      <c r="BL28" s="19">
        <v>4890</v>
      </c>
      <c r="BM28" s="19">
        <v>10</v>
      </c>
      <c r="BN28" s="19">
        <v>17769</v>
      </c>
      <c r="BO28" s="19">
        <v>9947</v>
      </c>
      <c r="BP28" s="19">
        <v>8771</v>
      </c>
      <c r="BQ28" s="19">
        <v>46</v>
      </c>
      <c r="BR28" s="19">
        <v>478</v>
      </c>
      <c r="BS28" s="19">
        <v>173</v>
      </c>
      <c r="BT28" s="19">
        <v>79</v>
      </c>
      <c r="BU28" s="19">
        <v>5</v>
      </c>
      <c r="BV28" s="19">
        <v>1</v>
      </c>
      <c r="BW28" s="19">
        <v>0</v>
      </c>
      <c r="BX28" s="19">
        <v>0</v>
      </c>
      <c r="BY28" s="19">
        <v>394</v>
      </c>
      <c r="BZ28" s="20" t="s">
        <v>276</v>
      </c>
      <c r="CA28" s="20" t="s">
        <v>276</v>
      </c>
      <c r="CB28" s="20" t="s">
        <v>276</v>
      </c>
      <c r="CC28" s="20" t="s">
        <v>276</v>
      </c>
      <c r="CD28" s="20" t="s">
        <v>276</v>
      </c>
      <c r="CE28" s="20" t="s">
        <v>276</v>
      </c>
      <c r="CF28" s="20" t="s">
        <v>276</v>
      </c>
      <c r="CG28" s="20" t="s">
        <v>276</v>
      </c>
      <c r="CH28" s="19">
        <v>0</v>
      </c>
      <c r="CI28" s="19">
        <v>0</v>
      </c>
      <c r="CJ28" s="28">
        <v>25</v>
      </c>
    </row>
    <row r="29" spans="1:88" ht="13.5" customHeight="1">
      <c r="A29" s="17" t="s">
        <v>106</v>
      </c>
      <c r="B29" s="18" t="s">
        <v>107</v>
      </c>
      <c r="C29" s="17" t="s">
        <v>59</v>
      </c>
      <c r="D29" s="19">
        <v>71932</v>
      </c>
      <c r="E29" s="19">
        <v>25500</v>
      </c>
      <c r="F29" s="19">
        <v>110</v>
      </c>
      <c r="G29" s="19">
        <v>1715</v>
      </c>
      <c r="H29" s="19">
        <v>7977</v>
      </c>
      <c r="I29" s="19">
        <v>6387</v>
      </c>
      <c r="J29" s="19">
        <v>3035</v>
      </c>
      <c r="K29" s="19">
        <v>53</v>
      </c>
      <c r="L29" s="19">
        <v>5239</v>
      </c>
      <c r="M29" s="19">
        <v>484</v>
      </c>
      <c r="N29" s="19">
        <v>1774</v>
      </c>
      <c r="O29" s="19">
        <v>1142</v>
      </c>
      <c r="P29" s="19">
        <v>0</v>
      </c>
      <c r="Q29" s="19">
        <v>2140</v>
      </c>
      <c r="R29" s="19">
        <v>6795</v>
      </c>
      <c r="S29" s="19">
        <v>0</v>
      </c>
      <c r="T29" s="19">
        <v>2758</v>
      </c>
      <c r="U29" s="19">
        <v>0</v>
      </c>
      <c r="V29" s="19">
        <v>0</v>
      </c>
      <c r="W29" s="19">
        <v>117</v>
      </c>
      <c r="X29" s="19">
        <v>6706</v>
      </c>
      <c r="Y29" s="19">
        <v>25006</v>
      </c>
      <c r="Z29" s="19">
        <v>12783</v>
      </c>
      <c r="AA29" s="19">
        <v>104</v>
      </c>
      <c r="AB29" s="19">
        <v>1122</v>
      </c>
      <c r="AC29" s="19">
        <v>1289</v>
      </c>
      <c r="AD29" s="19">
        <v>3198</v>
      </c>
      <c r="AE29" s="19">
        <v>319</v>
      </c>
      <c r="AF29" s="19">
        <v>3</v>
      </c>
      <c r="AG29" s="19">
        <v>0</v>
      </c>
      <c r="AH29" s="19">
        <v>0</v>
      </c>
      <c r="AI29" s="20">
        <v>1251</v>
      </c>
      <c r="AJ29" s="20" t="s">
        <v>276</v>
      </c>
      <c r="AK29" s="20" t="s">
        <v>276</v>
      </c>
      <c r="AL29" s="20" t="s">
        <v>276</v>
      </c>
      <c r="AM29" s="20" t="s">
        <v>276</v>
      </c>
      <c r="AN29" s="20" t="s">
        <v>276</v>
      </c>
      <c r="AO29" s="20" t="s">
        <v>276</v>
      </c>
      <c r="AP29" s="20" t="s">
        <v>276</v>
      </c>
      <c r="AQ29" s="20" t="s">
        <v>276</v>
      </c>
      <c r="AR29" s="19">
        <v>59</v>
      </c>
      <c r="AS29" s="19">
        <v>4878</v>
      </c>
      <c r="AT29" s="19">
        <v>34459</v>
      </c>
      <c r="AU29" s="19">
        <v>1409</v>
      </c>
      <c r="AV29" s="19">
        <v>2</v>
      </c>
      <c r="AW29" s="19">
        <v>23</v>
      </c>
      <c r="AX29" s="19">
        <v>6601</v>
      </c>
      <c r="AY29" s="19">
        <v>3186</v>
      </c>
      <c r="AZ29" s="19">
        <v>2716</v>
      </c>
      <c r="BA29" s="19">
        <v>50</v>
      </c>
      <c r="BB29" s="19">
        <v>5239</v>
      </c>
      <c r="BC29" s="19">
        <v>484</v>
      </c>
      <c r="BD29" s="19">
        <v>28</v>
      </c>
      <c r="BE29" s="19">
        <v>1142</v>
      </c>
      <c r="BF29" s="19">
        <v>0</v>
      </c>
      <c r="BG29" s="19">
        <v>2140</v>
      </c>
      <c r="BH29" s="19">
        <v>6795</v>
      </c>
      <c r="BI29" s="19">
        <v>0</v>
      </c>
      <c r="BJ29" s="19">
        <v>2758</v>
      </c>
      <c r="BK29" s="19">
        <v>0</v>
      </c>
      <c r="BL29" s="19">
        <v>0</v>
      </c>
      <c r="BM29" s="19">
        <v>58</v>
      </c>
      <c r="BN29" s="19">
        <v>1828</v>
      </c>
      <c r="BO29" s="19">
        <v>12467</v>
      </c>
      <c r="BP29" s="19">
        <v>11308</v>
      </c>
      <c r="BQ29" s="19">
        <v>4</v>
      </c>
      <c r="BR29" s="19">
        <v>570</v>
      </c>
      <c r="BS29" s="19">
        <v>87</v>
      </c>
      <c r="BT29" s="19">
        <v>3</v>
      </c>
      <c r="BU29" s="19">
        <v>0</v>
      </c>
      <c r="BV29" s="19">
        <v>0</v>
      </c>
      <c r="BW29" s="19">
        <v>0</v>
      </c>
      <c r="BX29" s="19">
        <v>0</v>
      </c>
      <c r="BY29" s="19">
        <v>495</v>
      </c>
      <c r="BZ29" s="20" t="s">
        <v>276</v>
      </c>
      <c r="CA29" s="20" t="s">
        <v>276</v>
      </c>
      <c r="CB29" s="20" t="s">
        <v>276</v>
      </c>
      <c r="CC29" s="20" t="s">
        <v>276</v>
      </c>
      <c r="CD29" s="20" t="s">
        <v>276</v>
      </c>
      <c r="CE29" s="20" t="s">
        <v>276</v>
      </c>
      <c r="CF29" s="20" t="s">
        <v>276</v>
      </c>
      <c r="CG29" s="20" t="s">
        <v>276</v>
      </c>
      <c r="CH29" s="19">
        <v>0</v>
      </c>
      <c r="CI29" s="19">
        <v>0</v>
      </c>
      <c r="CJ29" s="28">
        <v>16</v>
      </c>
    </row>
    <row r="30" spans="1:88" ht="13.5" customHeight="1">
      <c r="A30" s="17" t="s">
        <v>108</v>
      </c>
      <c r="B30" s="18" t="s">
        <v>109</v>
      </c>
      <c r="C30" s="17" t="s">
        <v>59</v>
      </c>
      <c r="D30" s="19">
        <v>102169</v>
      </c>
      <c r="E30" s="19">
        <v>42926</v>
      </c>
      <c r="F30" s="19">
        <v>204</v>
      </c>
      <c r="G30" s="19">
        <v>313</v>
      </c>
      <c r="H30" s="19">
        <v>9488</v>
      </c>
      <c r="I30" s="19">
        <v>10331</v>
      </c>
      <c r="J30" s="19">
        <v>5495</v>
      </c>
      <c r="K30" s="19">
        <v>20</v>
      </c>
      <c r="L30" s="19">
        <v>17716</v>
      </c>
      <c r="M30" s="19">
        <v>6</v>
      </c>
      <c r="N30" s="19">
        <v>2757</v>
      </c>
      <c r="O30" s="19">
        <v>298</v>
      </c>
      <c r="P30" s="19">
        <v>0</v>
      </c>
      <c r="Q30" s="19">
        <v>0</v>
      </c>
      <c r="R30" s="19">
        <v>3982</v>
      </c>
      <c r="S30" s="19">
        <v>3892</v>
      </c>
      <c r="T30" s="19">
        <v>0</v>
      </c>
      <c r="U30" s="19">
        <v>0</v>
      </c>
      <c r="V30" s="19">
        <v>0</v>
      </c>
      <c r="W30" s="19">
        <v>206</v>
      </c>
      <c r="X30" s="19">
        <v>4535</v>
      </c>
      <c r="Y30" s="19">
        <v>4926</v>
      </c>
      <c r="Z30" s="19">
        <v>1688</v>
      </c>
      <c r="AA30" s="19">
        <v>49</v>
      </c>
      <c r="AB30" s="19">
        <v>20</v>
      </c>
      <c r="AC30" s="19">
        <v>207</v>
      </c>
      <c r="AD30" s="19">
        <v>65</v>
      </c>
      <c r="AE30" s="19">
        <v>12</v>
      </c>
      <c r="AF30" s="19">
        <v>0</v>
      </c>
      <c r="AG30" s="19">
        <v>404</v>
      </c>
      <c r="AH30" s="19">
        <v>0</v>
      </c>
      <c r="AI30" s="20">
        <v>218</v>
      </c>
      <c r="AJ30" s="20" t="s">
        <v>276</v>
      </c>
      <c r="AK30" s="20" t="s">
        <v>276</v>
      </c>
      <c r="AL30" s="20" t="s">
        <v>276</v>
      </c>
      <c r="AM30" s="20" t="s">
        <v>276</v>
      </c>
      <c r="AN30" s="20" t="s">
        <v>276</v>
      </c>
      <c r="AO30" s="20" t="s">
        <v>276</v>
      </c>
      <c r="AP30" s="20" t="s">
        <v>276</v>
      </c>
      <c r="AQ30" s="20" t="s">
        <v>276</v>
      </c>
      <c r="AR30" s="19">
        <v>36</v>
      </c>
      <c r="AS30" s="19">
        <v>2227</v>
      </c>
      <c r="AT30" s="19">
        <v>53608</v>
      </c>
      <c r="AU30" s="19">
        <v>835</v>
      </c>
      <c r="AV30" s="19">
        <v>94</v>
      </c>
      <c r="AW30" s="19">
        <v>186</v>
      </c>
      <c r="AX30" s="19">
        <v>8981</v>
      </c>
      <c r="AY30" s="19">
        <v>10099</v>
      </c>
      <c r="AZ30" s="19">
        <v>5483</v>
      </c>
      <c r="BA30" s="19">
        <v>20</v>
      </c>
      <c r="BB30" s="19">
        <v>17312</v>
      </c>
      <c r="BC30" s="19">
        <v>6</v>
      </c>
      <c r="BD30" s="19">
        <v>16</v>
      </c>
      <c r="BE30" s="19">
        <v>298</v>
      </c>
      <c r="BF30" s="19">
        <v>0</v>
      </c>
      <c r="BG30" s="19">
        <v>0</v>
      </c>
      <c r="BH30" s="19">
        <v>3982</v>
      </c>
      <c r="BI30" s="19">
        <v>3892</v>
      </c>
      <c r="BJ30" s="19">
        <v>0</v>
      </c>
      <c r="BK30" s="19">
        <v>0</v>
      </c>
      <c r="BL30" s="19">
        <v>0</v>
      </c>
      <c r="BM30" s="19">
        <v>139</v>
      </c>
      <c r="BN30" s="19">
        <v>2265</v>
      </c>
      <c r="BO30" s="19">
        <v>43635</v>
      </c>
      <c r="BP30" s="19">
        <v>40403</v>
      </c>
      <c r="BQ30" s="19">
        <v>61</v>
      </c>
      <c r="BR30" s="19">
        <v>107</v>
      </c>
      <c r="BS30" s="19">
        <v>300</v>
      </c>
      <c r="BT30" s="19">
        <v>167</v>
      </c>
      <c r="BU30" s="19">
        <v>0</v>
      </c>
      <c r="BV30" s="19">
        <v>0</v>
      </c>
      <c r="BW30" s="19">
        <v>0</v>
      </c>
      <c r="BX30" s="19">
        <v>0</v>
      </c>
      <c r="BY30" s="19">
        <v>2523</v>
      </c>
      <c r="BZ30" s="20" t="s">
        <v>276</v>
      </c>
      <c r="CA30" s="20" t="s">
        <v>276</v>
      </c>
      <c r="CB30" s="20" t="s">
        <v>276</v>
      </c>
      <c r="CC30" s="20" t="s">
        <v>276</v>
      </c>
      <c r="CD30" s="20" t="s">
        <v>276</v>
      </c>
      <c r="CE30" s="20" t="s">
        <v>276</v>
      </c>
      <c r="CF30" s="20" t="s">
        <v>276</v>
      </c>
      <c r="CG30" s="20" t="s">
        <v>276</v>
      </c>
      <c r="CH30" s="19">
        <v>31</v>
      </c>
      <c r="CI30" s="19">
        <v>43</v>
      </c>
      <c r="CJ30" s="28">
        <v>23</v>
      </c>
    </row>
    <row r="31" spans="1:88" ht="13.5" customHeight="1">
      <c r="A31" s="17" t="s">
        <v>110</v>
      </c>
      <c r="B31" s="18" t="s">
        <v>111</v>
      </c>
      <c r="C31" s="17" t="s">
        <v>59</v>
      </c>
      <c r="D31" s="19">
        <v>388908</v>
      </c>
      <c r="E31" s="19">
        <v>170863</v>
      </c>
      <c r="F31" s="19">
        <v>567</v>
      </c>
      <c r="G31" s="19">
        <v>24332</v>
      </c>
      <c r="H31" s="19">
        <v>38192</v>
      </c>
      <c r="I31" s="19">
        <v>37592</v>
      </c>
      <c r="J31" s="19">
        <v>17729</v>
      </c>
      <c r="K31" s="19">
        <v>327</v>
      </c>
      <c r="L31" s="19">
        <v>51304</v>
      </c>
      <c r="M31" s="19">
        <v>87</v>
      </c>
      <c r="N31" s="19">
        <v>17261</v>
      </c>
      <c r="O31" s="19">
        <v>22</v>
      </c>
      <c r="P31" s="19">
        <v>0</v>
      </c>
      <c r="Q31" s="19">
        <v>19532</v>
      </c>
      <c r="R31" s="19">
        <v>0</v>
      </c>
      <c r="S31" s="19">
        <v>0</v>
      </c>
      <c r="T31" s="19">
        <v>0</v>
      </c>
      <c r="U31" s="19">
        <v>0</v>
      </c>
      <c r="V31" s="19">
        <v>1161</v>
      </c>
      <c r="W31" s="19">
        <v>21</v>
      </c>
      <c r="X31" s="19">
        <v>9918</v>
      </c>
      <c r="Y31" s="19">
        <v>51627</v>
      </c>
      <c r="Z31" s="19">
        <v>24921</v>
      </c>
      <c r="AA31" s="19">
        <v>126</v>
      </c>
      <c r="AB31" s="19">
        <v>10186</v>
      </c>
      <c r="AC31" s="19">
        <v>1091</v>
      </c>
      <c r="AD31" s="19">
        <v>1514</v>
      </c>
      <c r="AE31" s="19">
        <v>792</v>
      </c>
      <c r="AF31" s="19">
        <v>1</v>
      </c>
      <c r="AG31" s="19">
        <v>116</v>
      </c>
      <c r="AH31" s="19">
        <v>0</v>
      </c>
      <c r="AI31" s="20">
        <v>4624</v>
      </c>
      <c r="AJ31" s="20" t="s">
        <v>276</v>
      </c>
      <c r="AK31" s="20" t="s">
        <v>276</v>
      </c>
      <c r="AL31" s="20" t="s">
        <v>276</v>
      </c>
      <c r="AM31" s="20" t="s">
        <v>276</v>
      </c>
      <c r="AN31" s="20" t="s">
        <v>276</v>
      </c>
      <c r="AO31" s="20" t="s">
        <v>276</v>
      </c>
      <c r="AP31" s="20" t="s">
        <v>276</v>
      </c>
      <c r="AQ31" s="20" t="s">
        <v>276</v>
      </c>
      <c r="AR31" s="19">
        <v>20</v>
      </c>
      <c r="AS31" s="19">
        <v>8236</v>
      </c>
      <c r="AT31" s="19">
        <v>180149</v>
      </c>
      <c r="AU31" s="19">
        <v>15788</v>
      </c>
      <c r="AV31" s="19">
        <v>40</v>
      </c>
      <c r="AW31" s="19">
        <v>446</v>
      </c>
      <c r="AX31" s="19">
        <v>34727</v>
      </c>
      <c r="AY31" s="19">
        <v>36050</v>
      </c>
      <c r="AZ31" s="19">
        <v>16919</v>
      </c>
      <c r="BA31" s="19">
        <v>326</v>
      </c>
      <c r="BB31" s="19">
        <v>51188</v>
      </c>
      <c r="BC31" s="19">
        <v>87</v>
      </c>
      <c r="BD31" s="19">
        <v>2282</v>
      </c>
      <c r="BE31" s="19">
        <v>22</v>
      </c>
      <c r="BF31" s="19">
        <v>0</v>
      </c>
      <c r="BG31" s="19">
        <v>19532</v>
      </c>
      <c r="BH31" s="19">
        <v>0</v>
      </c>
      <c r="BI31" s="19">
        <v>0</v>
      </c>
      <c r="BJ31" s="19">
        <v>0</v>
      </c>
      <c r="BK31" s="19">
        <v>0</v>
      </c>
      <c r="BL31" s="19">
        <v>1161</v>
      </c>
      <c r="BM31" s="19">
        <v>0</v>
      </c>
      <c r="BN31" s="19">
        <v>1581</v>
      </c>
      <c r="BO31" s="19">
        <v>157132</v>
      </c>
      <c r="BP31" s="19">
        <v>130154</v>
      </c>
      <c r="BQ31" s="19">
        <v>401</v>
      </c>
      <c r="BR31" s="19">
        <v>13700</v>
      </c>
      <c r="BS31" s="19">
        <v>2374</v>
      </c>
      <c r="BT31" s="19">
        <v>28</v>
      </c>
      <c r="BU31" s="19">
        <v>18</v>
      </c>
      <c r="BV31" s="19">
        <v>0</v>
      </c>
      <c r="BW31" s="19">
        <v>0</v>
      </c>
      <c r="BX31" s="19">
        <v>0</v>
      </c>
      <c r="BY31" s="19">
        <v>10355</v>
      </c>
      <c r="BZ31" s="20" t="s">
        <v>276</v>
      </c>
      <c r="CA31" s="20" t="s">
        <v>276</v>
      </c>
      <c r="CB31" s="20" t="s">
        <v>276</v>
      </c>
      <c r="CC31" s="20" t="s">
        <v>276</v>
      </c>
      <c r="CD31" s="20" t="s">
        <v>276</v>
      </c>
      <c r="CE31" s="20" t="s">
        <v>276</v>
      </c>
      <c r="CF31" s="20" t="s">
        <v>276</v>
      </c>
      <c r="CG31" s="20" t="s">
        <v>276</v>
      </c>
      <c r="CH31" s="19">
        <v>1</v>
      </c>
      <c r="CI31" s="19">
        <v>101</v>
      </c>
      <c r="CJ31" s="28">
        <v>42</v>
      </c>
    </row>
    <row r="32" spans="1:88" ht="13.5" customHeight="1">
      <c r="A32" s="17" t="s">
        <v>112</v>
      </c>
      <c r="B32" s="18" t="s">
        <v>113</v>
      </c>
      <c r="C32" s="17" t="s">
        <v>59</v>
      </c>
      <c r="D32" s="19">
        <v>276675</v>
      </c>
      <c r="E32" s="19">
        <v>125332</v>
      </c>
      <c r="F32" s="19">
        <v>315</v>
      </c>
      <c r="G32" s="19">
        <v>5027</v>
      </c>
      <c r="H32" s="19">
        <v>29877</v>
      </c>
      <c r="I32" s="19">
        <v>21071</v>
      </c>
      <c r="J32" s="19">
        <v>11022</v>
      </c>
      <c r="K32" s="19">
        <v>13</v>
      </c>
      <c r="L32" s="19">
        <v>21282</v>
      </c>
      <c r="M32" s="19">
        <v>1381</v>
      </c>
      <c r="N32" s="19">
        <v>8757</v>
      </c>
      <c r="O32" s="19">
        <v>13238</v>
      </c>
      <c r="P32" s="19">
        <v>0</v>
      </c>
      <c r="Q32" s="19">
        <v>14382</v>
      </c>
      <c r="R32" s="19">
        <v>2608</v>
      </c>
      <c r="S32" s="19">
        <v>302</v>
      </c>
      <c r="T32" s="19">
        <v>10934</v>
      </c>
      <c r="U32" s="19">
        <v>0</v>
      </c>
      <c r="V32" s="19">
        <v>529</v>
      </c>
      <c r="W32" s="19">
        <v>106</v>
      </c>
      <c r="X32" s="19">
        <v>10499</v>
      </c>
      <c r="Y32" s="19">
        <v>54077</v>
      </c>
      <c r="Z32" s="19">
        <v>30866</v>
      </c>
      <c r="AA32" s="19">
        <v>61</v>
      </c>
      <c r="AB32" s="19">
        <v>3241</v>
      </c>
      <c r="AC32" s="19">
        <v>2005</v>
      </c>
      <c r="AD32" s="19">
        <v>3685</v>
      </c>
      <c r="AE32" s="19">
        <v>501</v>
      </c>
      <c r="AF32" s="19">
        <v>4</v>
      </c>
      <c r="AG32" s="19">
        <v>156</v>
      </c>
      <c r="AH32" s="19">
        <v>1199</v>
      </c>
      <c r="AI32" s="20">
        <v>3927</v>
      </c>
      <c r="AJ32" s="20" t="s">
        <v>276</v>
      </c>
      <c r="AK32" s="20" t="s">
        <v>276</v>
      </c>
      <c r="AL32" s="20" t="s">
        <v>276</v>
      </c>
      <c r="AM32" s="20" t="s">
        <v>276</v>
      </c>
      <c r="AN32" s="20" t="s">
        <v>276</v>
      </c>
      <c r="AO32" s="20" t="s">
        <v>276</v>
      </c>
      <c r="AP32" s="20" t="s">
        <v>276</v>
      </c>
      <c r="AQ32" s="20" t="s">
        <v>276</v>
      </c>
      <c r="AR32" s="19">
        <v>65</v>
      </c>
      <c r="AS32" s="19">
        <v>8367</v>
      </c>
      <c r="AT32" s="19">
        <v>126544</v>
      </c>
      <c r="AU32" s="19">
        <v>5587</v>
      </c>
      <c r="AV32" s="19">
        <v>89</v>
      </c>
      <c r="AW32" s="19">
        <v>830</v>
      </c>
      <c r="AX32" s="19">
        <v>26026</v>
      </c>
      <c r="AY32" s="19">
        <v>17198</v>
      </c>
      <c r="AZ32" s="19">
        <v>10475</v>
      </c>
      <c r="BA32" s="19">
        <v>9</v>
      </c>
      <c r="BB32" s="19">
        <v>21126</v>
      </c>
      <c r="BC32" s="19">
        <v>182</v>
      </c>
      <c r="BD32" s="19">
        <v>865</v>
      </c>
      <c r="BE32" s="19">
        <v>13238</v>
      </c>
      <c r="BF32" s="19">
        <v>0</v>
      </c>
      <c r="BG32" s="19">
        <v>14382</v>
      </c>
      <c r="BH32" s="19">
        <v>2608</v>
      </c>
      <c r="BI32" s="19">
        <v>302</v>
      </c>
      <c r="BJ32" s="19">
        <v>10934</v>
      </c>
      <c r="BK32" s="19">
        <v>0</v>
      </c>
      <c r="BL32" s="19">
        <v>529</v>
      </c>
      <c r="BM32" s="19">
        <v>41</v>
      </c>
      <c r="BN32" s="19">
        <v>2123</v>
      </c>
      <c r="BO32" s="19">
        <v>96054</v>
      </c>
      <c r="BP32" s="19">
        <v>88879</v>
      </c>
      <c r="BQ32" s="19">
        <v>165</v>
      </c>
      <c r="BR32" s="19">
        <v>956</v>
      </c>
      <c r="BS32" s="19">
        <v>1846</v>
      </c>
      <c r="BT32" s="19">
        <v>188</v>
      </c>
      <c r="BU32" s="19">
        <v>46</v>
      </c>
      <c r="BV32" s="19">
        <v>0</v>
      </c>
      <c r="BW32" s="19">
        <v>0</v>
      </c>
      <c r="BX32" s="19">
        <v>0</v>
      </c>
      <c r="BY32" s="19">
        <v>3965</v>
      </c>
      <c r="BZ32" s="20" t="s">
        <v>276</v>
      </c>
      <c r="CA32" s="20" t="s">
        <v>276</v>
      </c>
      <c r="CB32" s="20" t="s">
        <v>276</v>
      </c>
      <c r="CC32" s="20" t="s">
        <v>276</v>
      </c>
      <c r="CD32" s="20" t="s">
        <v>276</v>
      </c>
      <c r="CE32" s="20" t="s">
        <v>276</v>
      </c>
      <c r="CF32" s="20" t="s">
        <v>276</v>
      </c>
      <c r="CG32" s="20" t="s">
        <v>276</v>
      </c>
      <c r="CH32" s="19">
        <v>0</v>
      </c>
      <c r="CI32" s="19">
        <v>9</v>
      </c>
      <c r="CJ32" s="28">
        <v>38</v>
      </c>
    </row>
    <row r="33" spans="1:88" ht="13.5" customHeight="1">
      <c r="A33" s="17" t="s">
        <v>114</v>
      </c>
      <c r="B33" s="18" t="s">
        <v>115</v>
      </c>
      <c r="C33" s="17" t="s">
        <v>59</v>
      </c>
      <c r="D33" s="19">
        <v>68637</v>
      </c>
      <c r="E33" s="19">
        <v>36497</v>
      </c>
      <c r="F33" s="19">
        <v>200</v>
      </c>
      <c r="G33" s="19">
        <v>317</v>
      </c>
      <c r="H33" s="19">
        <v>7950</v>
      </c>
      <c r="I33" s="19">
        <v>6331</v>
      </c>
      <c r="J33" s="19">
        <v>2103</v>
      </c>
      <c r="K33" s="19">
        <v>14</v>
      </c>
      <c r="L33" s="19">
        <v>5318</v>
      </c>
      <c r="M33" s="19">
        <v>1346</v>
      </c>
      <c r="N33" s="19">
        <v>2543</v>
      </c>
      <c r="O33" s="19">
        <v>454</v>
      </c>
      <c r="P33" s="19">
        <v>0</v>
      </c>
      <c r="Q33" s="19">
        <v>0</v>
      </c>
      <c r="R33" s="19">
        <v>0</v>
      </c>
      <c r="S33" s="19">
        <v>0</v>
      </c>
      <c r="T33" s="19">
        <v>358</v>
      </c>
      <c r="U33" s="19">
        <v>0</v>
      </c>
      <c r="V33" s="19">
        <v>0</v>
      </c>
      <c r="W33" s="19">
        <v>31</v>
      </c>
      <c r="X33" s="19">
        <v>5175</v>
      </c>
      <c r="Y33" s="19">
        <v>15650</v>
      </c>
      <c r="Z33" s="19">
        <v>10030</v>
      </c>
      <c r="AA33" s="19">
        <v>99</v>
      </c>
      <c r="AB33" s="19">
        <v>4</v>
      </c>
      <c r="AC33" s="19">
        <v>1106</v>
      </c>
      <c r="AD33" s="19">
        <v>1475</v>
      </c>
      <c r="AE33" s="19">
        <v>731</v>
      </c>
      <c r="AF33" s="19">
        <v>3</v>
      </c>
      <c r="AG33" s="19">
        <v>1348</v>
      </c>
      <c r="AH33" s="19">
        <v>14</v>
      </c>
      <c r="AI33" s="20">
        <v>664</v>
      </c>
      <c r="AJ33" s="20" t="s">
        <v>276</v>
      </c>
      <c r="AK33" s="20" t="s">
        <v>276</v>
      </c>
      <c r="AL33" s="20" t="s">
        <v>276</v>
      </c>
      <c r="AM33" s="20" t="s">
        <v>276</v>
      </c>
      <c r="AN33" s="20" t="s">
        <v>276</v>
      </c>
      <c r="AO33" s="20" t="s">
        <v>276</v>
      </c>
      <c r="AP33" s="20" t="s">
        <v>276</v>
      </c>
      <c r="AQ33" s="20" t="s">
        <v>276</v>
      </c>
      <c r="AR33" s="19">
        <v>16</v>
      </c>
      <c r="AS33" s="19">
        <v>160</v>
      </c>
      <c r="AT33" s="19">
        <v>24651</v>
      </c>
      <c r="AU33" s="19">
        <v>440</v>
      </c>
      <c r="AV33" s="19">
        <v>6</v>
      </c>
      <c r="AW33" s="19">
        <v>57</v>
      </c>
      <c r="AX33" s="19">
        <v>6538</v>
      </c>
      <c r="AY33" s="19">
        <v>4855</v>
      </c>
      <c r="AZ33" s="19">
        <v>1372</v>
      </c>
      <c r="BA33" s="19">
        <v>11</v>
      </c>
      <c r="BB33" s="19">
        <v>3970</v>
      </c>
      <c r="BC33" s="19">
        <v>1332</v>
      </c>
      <c r="BD33" s="19">
        <v>228</v>
      </c>
      <c r="BE33" s="19">
        <v>454</v>
      </c>
      <c r="BF33" s="19">
        <v>0</v>
      </c>
      <c r="BG33" s="19">
        <v>0</v>
      </c>
      <c r="BH33" s="19">
        <v>0</v>
      </c>
      <c r="BI33" s="19">
        <v>0</v>
      </c>
      <c r="BJ33" s="19">
        <v>358</v>
      </c>
      <c r="BK33" s="19">
        <v>0</v>
      </c>
      <c r="BL33" s="19">
        <v>0</v>
      </c>
      <c r="BM33" s="19">
        <v>15</v>
      </c>
      <c r="BN33" s="19">
        <v>5015</v>
      </c>
      <c r="BO33" s="19">
        <v>28336</v>
      </c>
      <c r="BP33" s="19">
        <v>26027</v>
      </c>
      <c r="BQ33" s="19">
        <v>95</v>
      </c>
      <c r="BR33" s="19">
        <v>256</v>
      </c>
      <c r="BS33" s="19">
        <v>306</v>
      </c>
      <c r="BT33" s="19">
        <v>1</v>
      </c>
      <c r="BU33" s="19">
        <v>0</v>
      </c>
      <c r="BV33" s="19">
        <v>0</v>
      </c>
      <c r="BW33" s="19">
        <v>0</v>
      </c>
      <c r="BX33" s="19">
        <v>0</v>
      </c>
      <c r="BY33" s="19">
        <v>1651</v>
      </c>
      <c r="BZ33" s="20" t="s">
        <v>276</v>
      </c>
      <c r="CA33" s="20" t="s">
        <v>276</v>
      </c>
      <c r="CB33" s="20" t="s">
        <v>276</v>
      </c>
      <c r="CC33" s="20" t="s">
        <v>276</v>
      </c>
      <c r="CD33" s="20" t="s">
        <v>276</v>
      </c>
      <c r="CE33" s="20" t="s">
        <v>276</v>
      </c>
      <c r="CF33" s="20" t="s">
        <v>276</v>
      </c>
      <c r="CG33" s="20" t="s">
        <v>276</v>
      </c>
      <c r="CH33" s="19">
        <v>0</v>
      </c>
      <c r="CI33" s="19">
        <v>0</v>
      </c>
      <c r="CJ33" s="28">
        <v>29</v>
      </c>
    </row>
    <row r="34" spans="1:88" ht="13.5" customHeight="1">
      <c r="A34" s="17" t="s">
        <v>116</v>
      </c>
      <c r="B34" s="18" t="s">
        <v>117</v>
      </c>
      <c r="C34" s="17" t="s">
        <v>59</v>
      </c>
      <c r="D34" s="19">
        <v>42163</v>
      </c>
      <c r="E34" s="19">
        <v>14029</v>
      </c>
      <c r="F34" s="19">
        <v>36</v>
      </c>
      <c r="G34" s="19">
        <v>850</v>
      </c>
      <c r="H34" s="19">
        <v>7079</v>
      </c>
      <c r="I34" s="19">
        <v>5411</v>
      </c>
      <c r="J34" s="19">
        <v>2459</v>
      </c>
      <c r="K34" s="19">
        <v>36</v>
      </c>
      <c r="L34" s="19">
        <v>4096</v>
      </c>
      <c r="M34" s="19">
        <v>1815</v>
      </c>
      <c r="N34" s="19">
        <v>1464</v>
      </c>
      <c r="O34" s="19">
        <v>0</v>
      </c>
      <c r="P34" s="19">
        <v>0</v>
      </c>
      <c r="Q34" s="19">
        <v>537</v>
      </c>
      <c r="R34" s="19">
        <v>8</v>
      </c>
      <c r="S34" s="19">
        <v>661</v>
      </c>
      <c r="T34" s="19">
        <v>0</v>
      </c>
      <c r="U34" s="19">
        <v>0</v>
      </c>
      <c r="V34" s="19">
        <v>0</v>
      </c>
      <c r="W34" s="19">
        <v>26</v>
      </c>
      <c r="X34" s="19">
        <v>3656</v>
      </c>
      <c r="Y34" s="19">
        <v>4544</v>
      </c>
      <c r="Z34" s="19">
        <v>2067</v>
      </c>
      <c r="AA34" s="19">
        <v>0</v>
      </c>
      <c r="AB34" s="19">
        <v>119</v>
      </c>
      <c r="AC34" s="19">
        <v>1409</v>
      </c>
      <c r="AD34" s="19">
        <v>229</v>
      </c>
      <c r="AE34" s="19">
        <v>214</v>
      </c>
      <c r="AF34" s="19">
        <v>0</v>
      </c>
      <c r="AG34" s="19">
        <v>253</v>
      </c>
      <c r="AH34" s="19">
        <v>168</v>
      </c>
      <c r="AI34" s="20">
        <v>44</v>
      </c>
      <c r="AJ34" s="20" t="s">
        <v>276</v>
      </c>
      <c r="AK34" s="20" t="s">
        <v>276</v>
      </c>
      <c r="AL34" s="20" t="s">
        <v>276</v>
      </c>
      <c r="AM34" s="20" t="s">
        <v>276</v>
      </c>
      <c r="AN34" s="20" t="s">
        <v>276</v>
      </c>
      <c r="AO34" s="20" t="s">
        <v>276</v>
      </c>
      <c r="AP34" s="20" t="s">
        <v>276</v>
      </c>
      <c r="AQ34" s="20" t="s">
        <v>276</v>
      </c>
      <c r="AR34" s="19">
        <v>23</v>
      </c>
      <c r="AS34" s="19">
        <v>18</v>
      </c>
      <c r="AT34" s="19">
        <v>30215</v>
      </c>
      <c r="AU34" s="19">
        <v>5887</v>
      </c>
      <c r="AV34" s="19">
        <v>34</v>
      </c>
      <c r="AW34" s="19">
        <v>201</v>
      </c>
      <c r="AX34" s="19">
        <v>5512</v>
      </c>
      <c r="AY34" s="19">
        <v>5175</v>
      </c>
      <c r="AZ34" s="19">
        <v>2241</v>
      </c>
      <c r="BA34" s="19">
        <v>36</v>
      </c>
      <c r="BB34" s="19">
        <v>3843</v>
      </c>
      <c r="BC34" s="19">
        <v>1647</v>
      </c>
      <c r="BD34" s="19">
        <v>1109</v>
      </c>
      <c r="BE34" s="19">
        <v>0</v>
      </c>
      <c r="BF34" s="19">
        <v>0</v>
      </c>
      <c r="BG34" s="19">
        <v>537</v>
      </c>
      <c r="BH34" s="19">
        <v>8</v>
      </c>
      <c r="BI34" s="19">
        <v>661</v>
      </c>
      <c r="BJ34" s="19">
        <v>0</v>
      </c>
      <c r="BK34" s="19">
        <v>0</v>
      </c>
      <c r="BL34" s="19">
        <v>0</v>
      </c>
      <c r="BM34" s="19">
        <v>3</v>
      </c>
      <c r="BN34" s="19">
        <v>3321</v>
      </c>
      <c r="BO34" s="19">
        <v>7404</v>
      </c>
      <c r="BP34" s="19">
        <v>6075</v>
      </c>
      <c r="BQ34" s="19">
        <v>2</v>
      </c>
      <c r="BR34" s="19">
        <v>530</v>
      </c>
      <c r="BS34" s="19">
        <v>158</v>
      </c>
      <c r="BT34" s="19">
        <v>7</v>
      </c>
      <c r="BU34" s="19">
        <v>4</v>
      </c>
      <c r="BV34" s="19">
        <v>0</v>
      </c>
      <c r="BW34" s="19">
        <v>0</v>
      </c>
      <c r="BX34" s="19">
        <v>0</v>
      </c>
      <c r="BY34" s="19">
        <v>311</v>
      </c>
      <c r="BZ34" s="20" t="s">
        <v>276</v>
      </c>
      <c r="CA34" s="20" t="s">
        <v>276</v>
      </c>
      <c r="CB34" s="20" t="s">
        <v>276</v>
      </c>
      <c r="CC34" s="20" t="s">
        <v>276</v>
      </c>
      <c r="CD34" s="20" t="s">
        <v>276</v>
      </c>
      <c r="CE34" s="20" t="s">
        <v>276</v>
      </c>
      <c r="CF34" s="20" t="s">
        <v>276</v>
      </c>
      <c r="CG34" s="20" t="s">
        <v>276</v>
      </c>
      <c r="CH34" s="19">
        <v>0</v>
      </c>
      <c r="CI34" s="19">
        <v>317</v>
      </c>
      <c r="CJ34" s="28">
        <v>22</v>
      </c>
    </row>
    <row r="35" spans="1:88" ht="13.5" customHeight="1">
      <c r="A35" s="17" t="s">
        <v>118</v>
      </c>
      <c r="B35" s="18" t="s">
        <v>119</v>
      </c>
      <c r="C35" s="17" t="s">
        <v>59</v>
      </c>
      <c r="D35" s="19">
        <v>57341</v>
      </c>
      <c r="E35" s="19">
        <v>34252</v>
      </c>
      <c r="F35" s="19">
        <v>61</v>
      </c>
      <c r="G35" s="19">
        <v>24</v>
      </c>
      <c r="H35" s="19">
        <v>3700</v>
      </c>
      <c r="I35" s="19">
        <v>2081</v>
      </c>
      <c r="J35" s="19">
        <v>976</v>
      </c>
      <c r="K35" s="19">
        <v>81</v>
      </c>
      <c r="L35" s="19">
        <v>2597</v>
      </c>
      <c r="M35" s="19">
        <v>589</v>
      </c>
      <c r="N35" s="19">
        <v>244</v>
      </c>
      <c r="O35" s="19">
        <v>3020</v>
      </c>
      <c r="P35" s="19">
        <v>157</v>
      </c>
      <c r="Q35" s="19">
        <v>0</v>
      </c>
      <c r="R35" s="19">
        <v>526</v>
      </c>
      <c r="S35" s="19">
        <v>83</v>
      </c>
      <c r="T35" s="19">
        <v>7999</v>
      </c>
      <c r="U35" s="19">
        <v>0</v>
      </c>
      <c r="V35" s="19">
        <v>0</v>
      </c>
      <c r="W35" s="19">
        <v>39</v>
      </c>
      <c r="X35" s="19">
        <v>912</v>
      </c>
      <c r="Y35" s="19">
        <v>29105</v>
      </c>
      <c r="Z35" s="19">
        <v>27890</v>
      </c>
      <c r="AA35" s="19">
        <v>17</v>
      </c>
      <c r="AB35" s="19">
        <v>4</v>
      </c>
      <c r="AC35" s="19">
        <v>98</v>
      </c>
      <c r="AD35" s="19">
        <v>341</v>
      </c>
      <c r="AE35" s="19">
        <v>201</v>
      </c>
      <c r="AF35" s="19">
        <v>15</v>
      </c>
      <c r="AG35" s="19">
        <v>28</v>
      </c>
      <c r="AH35" s="19">
        <v>9</v>
      </c>
      <c r="AI35" s="20">
        <v>235</v>
      </c>
      <c r="AJ35" s="20" t="s">
        <v>276</v>
      </c>
      <c r="AK35" s="20" t="s">
        <v>276</v>
      </c>
      <c r="AL35" s="20" t="s">
        <v>276</v>
      </c>
      <c r="AM35" s="20" t="s">
        <v>276</v>
      </c>
      <c r="AN35" s="20" t="s">
        <v>276</v>
      </c>
      <c r="AO35" s="20" t="s">
        <v>276</v>
      </c>
      <c r="AP35" s="20" t="s">
        <v>276</v>
      </c>
      <c r="AQ35" s="20" t="s">
        <v>276</v>
      </c>
      <c r="AR35" s="19">
        <v>37</v>
      </c>
      <c r="AS35" s="19">
        <v>230</v>
      </c>
      <c r="AT35" s="19">
        <v>24288</v>
      </c>
      <c r="AU35" s="19">
        <v>2603</v>
      </c>
      <c r="AV35" s="19">
        <v>33</v>
      </c>
      <c r="AW35" s="19">
        <v>19</v>
      </c>
      <c r="AX35" s="19">
        <v>3444</v>
      </c>
      <c r="AY35" s="19">
        <v>1732</v>
      </c>
      <c r="AZ35" s="19">
        <v>775</v>
      </c>
      <c r="BA35" s="19">
        <v>66</v>
      </c>
      <c r="BB35" s="19">
        <v>2569</v>
      </c>
      <c r="BC35" s="19">
        <v>580</v>
      </c>
      <c r="BD35" s="19">
        <v>0</v>
      </c>
      <c r="BE35" s="19">
        <v>3020</v>
      </c>
      <c r="BF35" s="19">
        <v>157</v>
      </c>
      <c r="BG35" s="19">
        <v>0</v>
      </c>
      <c r="BH35" s="19">
        <v>526</v>
      </c>
      <c r="BI35" s="19">
        <v>83</v>
      </c>
      <c r="BJ35" s="19">
        <v>7999</v>
      </c>
      <c r="BK35" s="19">
        <v>0</v>
      </c>
      <c r="BL35" s="19">
        <v>0</v>
      </c>
      <c r="BM35" s="19">
        <v>2</v>
      </c>
      <c r="BN35" s="19">
        <v>680</v>
      </c>
      <c r="BO35" s="19">
        <v>3948</v>
      </c>
      <c r="BP35" s="19">
        <v>3759</v>
      </c>
      <c r="BQ35" s="19">
        <v>11</v>
      </c>
      <c r="BR35" s="19">
        <v>1</v>
      </c>
      <c r="BS35" s="19">
        <v>158</v>
      </c>
      <c r="BT35" s="19">
        <v>8</v>
      </c>
      <c r="BU35" s="19">
        <v>0</v>
      </c>
      <c r="BV35" s="19">
        <v>0</v>
      </c>
      <c r="BW35" s="19">
        <v>0</v>
      </c>
      <c r="BX35" s="19">
        <v>0</v>
      </c>
      <c r="BY35" s="19">
        <v>9</v>
      </c>
      <c r="BZ35" s="20" t="s">
        <v>276</v>
      </c>
      <c r="CA35" s="20" t="s">
        <v>276</v>
      </c>
      <c r="CB35" s="20" t="s">
        <v>276</v>
      </c>
      <c r="CC35" s="20" t="s">
        <v>276</v>
      </c>
      <c r="CD35" s="20" t="s">
        <v>276</v>
      </c>
      <c r="CE35" s="20" t="s">
        <v>276</v>
      </c>
      <c r="CF35" s="20" t="s">
        <v>276</v>
      </c>
      <c r="CG35" s="20" t="s">
        <v>276</v>
      </c>
      <c r="CH35" s="19">
        <v>0</v>
      </c>
      <c r="CI35" s="19">
        <v>2</v>
      </c>
      <c r="CJ35" s="28">
        <v>9</v>
      </c>
    </row>
    <row r="36" spans="1:88" ht="13.5" customHeight="1">
      <c r="A36" s="17" t="s">
        <v>120</v>
      </c>
      <c r="B36" s="18" t="s">
        <v>121</v>
      </c>
      <c r="C36" s="17" t="s">
        <v>59</v>
      </c>
      <c r="D36" s="19">
        <v>46971</v>
      </c>
      <c r="E36" s="19">
        <v>11144</v>
      </c>
      <c r="F36" s="19">
        <v>48</v>
      </c>
      <c r="G36" s="19">
        <v>353</v>
      </c>
      <c r="H36" s="19">
        <v>6109</v>
      </c>
      <c r="I36" s="19">
        <v>2745</v>
      </c>
      <c r="J36" s="19">
        <v>1044</v>
      </c>
      <c r="K36" s="19">
        <v>0</v>
      </c>
      <c r="L36" s="19">
        <v>2755</v>
      </c>
      <c r="M36" s="19">
        <v>851</v>
      </c>
      <c r="N36" s="19">
        <v>709</v>
      </c>
      <c r="O36" s="19">
        <v>1945</v>
      </c>
      <c r="P36" s="19">
        <v>36</v>
      </c>
      <c r="Q36" s="19">
        <v>8274</v>
      </c>
      <c r="R36" s="19">
        <v>5661</v>
      </c>
      <c r="S36" s="19">
        <v>0</v>
      </c>
      <c r="T36" s="19">
        <v>663</v>
      </c>
      <c r="U36" s="19">
        <v>0</v>
      </c>
      <c r="V36" s="19">
        <v>0</v>
      </c>
      <c r="W36" s="19">
        <v>30</v>
      </c>
      <c r="X36" s="19">
        <v>4604</v>
      </c>
      <c r="Y36" s="19">
        <v>7967</v>
      </c>
      <c r="Z36" s="19">
        <v>4317</v>
      </c>
      <c r="AA36" s="19">
        <v>17</v>
      </c>
      <c r="AB36" s="19">
        <v>0</v>
      </c>
      <c r="AC36" s="19">
        <v>91</v>
      </c>
      <c r="AD36" s="19">
        <v>271</v>
      </c>
      <c r="AE36" s="19">
        <v>275</v>
      </c>
      <c r="AF36" s="19">
        <v>0</v>
      </c>
      <c r="AG36" s="19">
        <v>7</v>
      </c>
      <c r="AH36" s="19">
        <v>446</v>
      </c>
      <c r="AI36" s="20">
        <v>303</v>
      </c>
      <c r="AJ36" s="20" t="s">
        <v>276</v>
      </c>
      <c r="AK36" s="20" t="s">
        <v>276</v>
      </c>
      <c r="AL36" s="20" t="s">
        <v>276</v>
      </c>
      <c r="AM36" s="20" t="s">
        <v>276</v>
      </c>
      <c r="AN36" s="20" t="s">
        <v>276</v>
      </c>
      <c r="AO36" s="20" t="s">
        <v>276</v>
      </c>
      <c r="AP36" s="20" t="s">
        <v>276</v>
      </c>
      <c r="AQ36" s="20" t="s">
        <v>276</v>
      </c>
      <c r="AR36" s="19">
        <v>20</v>
      </c>
      <c r="AS36" s="19">
        <v>2220</v>
      </c>
      <c r="AT36" s="19">
        <v>38642</v>
      </c>
      <c r="AU36" s="19">
        <v>6506</v>
      </c>
      <c r="AV36" s="19">
        <v>30</v>
      </c>
      <c r="AW36" s="19">
        <v>353</v>
      </c>
      <c r="AX36" s="19">
        <v>6003</v>
      </c>
      <c r="AY36" s="19">
        <v>2473</v>
      </c>
      <c r="AZ36" s="19">
        <v>769</v>
      </c>
      <c r="BA36" s="19">
        <v>0</v>
      </c>
      <c r="BB36" s="19">
        <v>2748</v>
      </c>
      <c r="BC36" s="19">
        <v>405</v>
      </c>
      <c r="BD36" s="19">
        <v>382</v>
      </c>
      <c r="BE36" s="19">
        <v>1945</v>
      </c>
      <c r="BF36" s="19">
        <v>36</v>
      </c>
      <c r="BG36" s="19">
        <v>8274</v>
      </c>
      <c r="BH36" s="19">
        <v>5661</v>
      </c>
      <c r="BI36" s="19">
        <v>0</v>
      </c>
      <c r="BJ36" s="19">
        <v>663</v>
      </c>
      <c r="BK36" s="19">
        <v>0</v>
      </c>
      <c r="BL36" s="19">
        <v>0</v>
      </c>
      <c r="BM36" s="19">
        <v>10</v>
      </c>
      <c r="BN36" s="19">
        <v>2384</v>
      </c>
      <c r="BO36" s="19">
        <v>362</v>
      </c>
      <c r="BP36" s="19">
        <v>321</v>
      </c>
      <c r="BQ36" s="19">
        <v>1</v>
      </c>
      <c r="BR36" s="19">
        <v>0</v>
      </c>
      <c r="BS36" s="19">
        <v>15</v>
      </c>
      <c r="BT36" s="19">
        <v>1</v>
      </c>
      <c r="BU36" s="19">
        <v>0</v>
      </c>
      <c r="BV36" s="19">
        <v>0</v>
      </c>
      <c r="BW36" s="19">
        <v>0</v>
      </c>
      <c r="BX36" s="19">
        <v>0</v>
      </c>
      <c r="BY36" s="19">
        <v>24</v>
      </c>
      <c r="BZ36" s="20" t="s">
        <v>276</v>
      </c>
      <c r="CA36" s="20" t="s">
        <v>276</v>
      </c>
      <c r="CB36" s="20" t="s">
        <v>276</v>
      </c>
      <c r="CC36" s="20" t="s">
        <v>276</v>
      </c>
      <c r="CD36" s="20" t="s">
        <v>276</v>
      </c>
      <c r="CE36" s="20" t="s">
        <v>276</v>
      </c>
      <c r="CF36" s="20" t="s">
        <v>276</v>
      </c>
      <c r="CG36" s="20" t="s">
        <v>276</v>
      </c>
      <c r="CH36" s="19">
        <v>0</v>
      </c>
      <c r="CI36" s="19">
        <v>0</v>
      </c>
      <c r="CJ36" s="28">
        <v>18</v>
      </c>
    </row>
    <row r="37" spans="1:88" ht="13.5" customHeight="1">
      <c r="A37" s="17" t="s">
        <v>122</v>
      </c>
      <c r="B37" s="18" t="s">
        <v>123</v>
      </c>
      <c r="C37" s="17" t="s">
        <v>59</v>
      </c>
      <c r="D37" s="19">
        <v>152929</v>
      </c>
      <c r="E37" s="19">
        <v>33318</v>
      </c>
      <c r="F37" s="19">
        <v>92</v>
      </c>
      <c r="G37" s="19">
        <v>1247</v>
      </c>
      <c r="H37" s="19">
        <v>13075</v>
      </c>
      <c r="I37" s="19">
        <v>8582</v>
      </c>
      <c r="J37" s="19">
        <v>2842</v>
      </c>
      <c r="K37" s="19">
        <v>38</v>
      </c>
      <c r="L37" s="19">
        <v>2788</v>
      </c>
      <c r="M37" s="19">
        <v>29</v>
      </c>
      <c r="N37" s="19">
        <v>4205</v>
      </c>
      <c r="O37" s="19">
        <v>39</v>
      </c>
      <c r="P37" s="19">
        <v>0</v>
      </c>
      <c r="Q37" s="19">
        <v>14655</v>
      </c>
      <c r="R37" s="19">
        <v>282</v>
      </c>
      <c r="S37" s="19">
        <v>0</v>
      </c>
      <c r="T37" s="19">
        <v>16347</v>
      </c>
      <c r="U37" s="19">
        <v>0</v>
      </c>
      <c r="V37" s="19">
        <v>1173</v>
      </c>
      <c r="W37" s="19">
        <v>167</v>
      </c>
      <c r="X37" s="19">
        <v>54050</v>
      </c>
      <c r="Y37" s="19">
        <v>16889</v>
      </c>
      <c r="Z37" s="19">
        <v>10296</v>
      </c>
      <c r="AA37" s="19">
        <v>32</v>
      </c>
      <c r="AB37" s="19">
        <v>119</v>
      </c>
      <c r="AC37" s="19">
        <v>1963</v>
      </c>
      <c r="AD37" s="19">
        <v>573</v>
      </c>
      <c r="AE37" s="19">
        <v>234</v>
      </c>
      <c r="AF37" s="19">
        <v>9</v>
      </c>
      <c r="AG37" s="19">
        <v>253</v>
      </c>
      <c r="AH37" s="19">
        <v>10</v>
      </c>
      <c r="AI37" s="20">
        <v>2998</v>
      </c>
      <c r="AJ37" s="20" t="s">
        <v>276</v>
      </c>
      <c r="AK37" s="20" t="s">
        <v>276</v>
      </c>
      <c r="AL37" s="20" t="s">
        <v>276</v>
      </c>
      <c r="AM37" s="20" t="s">
        <v>276</v>
      </c>
      <c r="AN37" s="20" t="s">
        <v>276</v>
      </c>
      <c r="AO37" s="20" t="s">
        <v>276</v>
      </c>
      <c r="AP37" s="20" t="s">
        <v>276</v>
      </c>
      <c r="AQ37" s="20" t="s">
        <v>276</v>
      </c>
      <c r="AR37" s="19">
        <v>152</v>
      </c>
      <c r="AS37" s="19">
        <v>250</v>
      </c>
      <c r="AT37" s="19">
        <v>112270</v>
      </c>
      <c r="AU37" s="19">
        <v>2732</v>
      </c>
      <c r="AV37" s="19">
        <v>6</v>
      </c>
      <c r="AW37" s="19">
        <v>42</v>
      </c>
      <c r="AX37" s="19">
        <v>9866</v>
      </c>
      <c r="AY37" s="19">
        <v>7940</v>
      </c>
      <c r="AZ37" s="19">
        <v>2467</v>
      </c>
      <c r="BA37" s="19">
        <v>29</v>
      </c>
      <c r="BB37" s="19">
        <v>2508</v>
      </c>
      <c r="BC37" s="19">
        <v>19</v>
      </c>
      <c r="BD37" s="19">
        <v>425</v>
      </c>
      <c r="BE37" s="19">
        <v>39</v>
      </c>
      <c r="BF37" s="19">
        <v>0</v>
      </c>
      <c r="BG37" s="19">
        <v>14655</v>
      </c>
      <c r="BH37" s="19">
        <v>282</v>
      </c>
      <c r="BI37" s="19">
        <v>0</v>
      </c>
      <c r="BJ37" s="19">
        <v>16347</v>
      </c>
      <c r="BK37" s="19">
        <v>0</v>
      </c>
      <c r="BL37" s="19">
        <v>1173</v>
      </c>
      <c r="BM37" s="19">
        <v>15</v>
      </c>
      <c r="BN37" s="19">
        <v>53725</v>
      </c>
      <c r="BO37" s="19">
        <v>23770</v>
      </c>
      <c r="BP37" s="19">
        <v>20290</v>
      </c>
      <c r="BQ37" s="19">
        <v>54</v>
      </c>
      <c r="BR37" s="19">
        <v>1086</v>
      </c>
      <c r="BS37" s="19">
        <v>1246</v>
      </c>
      <c r="BT37" s="19">
        <v>69</v>
      </c>
      <c r="BU37" s="19">
        <v>141</v>
      </c>
      <c r="BV37" s="19">
        <v>0</v>
      </c>
      <c r="BW37" s="19">
        <v>27</v>
      </c>
      <c r="BX37" s="19">
        <v>0</v>
      </c>
      <c r="BY37" s="19">
        <v>782</v>
      </c>
      <c r="BZ37" s="20" t="s">
        <v>276</v>
      </c>
      <c r="CA37" s="20" t="s">
        <v>276</v>
      </c>
      <c r="CB37" s="20" t="s">
        <v>276</v>
      </c>
      <c r="CC37" s="20" t="s">
        <v>276</v>
      </c>
      <c r="CD37" s="20" t="s">
        <v>276</v>
      </c>
      <c r="CE37" s="20" t="s">
        <v>276</v>
      </c>
      <c r="CF37" s="20" t="s">
        <v>276</v>
      </c>
      <c r="CG37" s="20" t="s">
        <v>276</v>
      </c>
      <c r="CH37" s="19">
        <v>0</v>
      </c>
      <c r="CI37" s="19">
        <v>75</v>
      </c>
      <c r="CJ37" s="28">
        <v>20</v>
      </c>
    </row>
    <row r="38" spans="1:88" ht="13.5" customHeight="1">
      <c r="A38" s="17" t="s">
        <v>124</v>
      </c>
      <c r="B38" s="18" t="s">
        <v>125</v>
      </c>
      <c r="C38" s="17" t="s">
        <v>59</v>
      </c>
      <c r="D38" s="19">
        <v>182311</v>
      </c>
      <c r="E38" s="19">
        <v>49706</v>
      </c>
      <c r="F38" s="19">
        <v>77</v>
      </c>
      <c r="G38" s="19">
        <v>1567</v>
      </c>
      <c r="H38" s="19">
        <v>19076</v>
      </c>
      <c r="I38" s="19">
        <v>11115</v>
      </c>
      <c r="J38" s="19">
        <v>5135</v>
      </c>
      <c r="K38" s="19">
        <v>11</v>
      </c>
      <c r="L38" s="19">
        <v>21930</v>
      </c>
      <c r="M38" s="19">
        <v>774</v>
      </c>
      <c r="N38" s="19">
        <v>2891</v>
      </c>
      <c r="O38" s="19">
        <v>1328</v>
      </c>
      <c r="P38" s="19">
        <v>0</v>
      </c>
      <c r="Q38" s="19">
        <v>3264</v>
      </c>
      <c r="R38" s="19">
        <v>57820</v>
      </c>
      <c r="S38" s="19">
        <v>97</v>
      </c>
      <c r="T38" s="19">
        <v>1998</v>
      </c>
      <c r="U38" s="19">
        <v>0</v>
      </c>
      <c r="V38" s="19">
        <v>2479</v>
      </c>
      <c r="W38" s="19">
        <v>11</v>
      </c>
      <c r="X38" s="19">
        <v>3032</v>
      </c>
      <c r="Y38" s="19">
        <v>13039</v>
      </c>
      <c r="Z38" s="19">
        <v>8991</v>
      </c>
      <c r="AA38" s="19">
        <v>39</v>
      </c>
      <c r="AB38" s="19">
        <v>1348</v>
      </c>
      <c r="AC38" s="19">
        <v>247</v>
      </c>
      <c r="AD38" s="19">
        <v>599</v>
      </c>
      <c r="AE38" s="19">
        <v>345</v>
      </c>
      <c r="AF38" s="19">
        <v>1</v>
      </c>
      <c r="AG38" s="19">
        <v>35</v>
      </c>
      <c r="AH38" s="19">
        <v>0</v>
      </c>
      <c r="AI38" s="20">
        <v>1356</v>
      </c>
      <c r="AJ38" s="20" t="s">
        <v>276</v>
      </c>
      <c r="AK38" s="20" t="s">
        <v>276</v>
      </c>
      <c r="AL38" s="20" t="s">
        <v>276</v>
      </c>
      <c r="AM38" s="20" t="s">
        <v>276</v>
      </c>
      <c r="AN38" s="20" t="s">
        <v>276</v>
      </c>
      <c r="AO38" s="20" t="s">
        <v>276</v>
      </c>
      <c r="AP38" s="20" t="s">
        <v>276</v>
      </c>
      <c r="AQ38" s="20" t="s">
        <v>276</v>
      </c>
      <c r="AR38" s="19">
        <v>0</v>
      </c>
      <c r="AS38" s="19">
        <v>78</v>
      </c>
      <c r="AT38" s="19">
        <v>155956</v>
      </c>
      <c r="AU38" s="19">
        <v>28300</v>
      </c>
      <c r="AV38" s="19">
        <v>20</v>
      </c>
      <c r="AW38" s="19">
        <v>100</v>
      </c>
      <c r="AX38" s="19">
        <v>18341</v>
      </c>
      <c r="AY38" s="19">
        <v>10487</v>
      </c>
      <c r="AZ38" s="19">
        <v>4786</v>
      </c>
      <c r="BA38" s="19">
        <v>10</v>
      </c>
      <c r="BB38" s="19">
        <v>21895</v>
      </c>
      <c r="BC38" s="19">
        <v>774</v>
      </c>
      <c r="BD38" s="19">
        <v>1311</v>
      </c>
      <c r="BE38" s="19">
        <v>1328</v>
      </c>
      <c r="BF38" s="19">
        <v>0</v>
      </c>
      <c r="BG38" s="19">
        <v>3264</v>
      </c>
      <c r="BH38" s="19">
        <v>57820</v>
      </c>
      <c r="BI38" s="19">
        <v>97</v>
      </c>
      <c r="BJ38" s="19">
        <v>1998</v>
      </c>
      <c r="BK38" s="19">
        <v>0</v>
      </c>
      <c r="BL38" s="19">
        <v>2479</v>
      </c>
      <c r="BM38" s="19">
        <v>0</v>
      </c>
      <c r="BN38" s="19">
        <v>2946</v>
      </c>
      <c r="BO38" s="19">
        <v>13316</v>
      </c>
      <c r="BP38" s="19">
        <v>12415</v>
      </c>
      <c r="BQ38" s="19">
        <v>18</v>
      </c>
      <c r="BR38" s="19">
        <v>119</v>
      </c>
      <c r="BS38" s="19">
        <v>488</v>
      </c>
      <c r="BT38" s="19">
        <v>29</v>
      </c>
      <c r="BU38" s="19">
        <v>4</v>
      </c>
      <c r="BV38" s="19">
        <v>0</v>
      </c>
      <c r="BW38" s="19">
        <v>0</v>
      </c>
      <c r="BX38" s="19">
        <v>0</v>
      </c>
      <c r="BY38" s="19">
        <v>224</v>
      </c>
      <c r="BZ38" s="20" t="s">
        <v>276</v>
      </c>
      <c r="CA38" s="20" t="s">
        <v>276</v>
      </c>
      <c r="CB38" s="20" t="s">
        <v>276</v>
      </c>
      <c r="CC38" s="20" t="s">
        <v>276</v>
      </c>
      <c r="CD38" s="20" t="s">
        <v>276</v>
      </c>
      <c r="CE38" s="20" t="s">
        <v>276</v>
      </c>
      <c r="CF38" s="20" t="s">
        <v>276</v>
      </c>
      <c r="CG38" s="20" t="s">
        <v>276</v>
      </c>
      <c r="CH38" s="19">
        <v>11</v>
      </c>
      <c r="CI38" s="19">
        <v>8</v>
      </c>
      <c r="CJ38" s="28">
        <v>16</v>
      </c>
    </row>
    <row r="39" spans="1:88" ht="13.5" customHeight="1">
      <c r="A39" s="17" t="s">
        <v>126</v>
      </c>
      <c r="B39" s="18" t="s">
        <v>127</v>
      </c>
      <c r="C39" s="17" t="s">
        <v>59</v>
      </c>
      <c r="D39" s="19">
        <v>155058</v>
      </c>
      <c r="E39" s="19">
        <v>28140</v>
      </c>
      <c r="F39" s="19">
        <v>136</v>
      </c>
      <c r="G39" s="19">
        <v>931</v>
      </c>
      <c r="H39" s="19">
        <v>11492</v>
      </c>
      <c r="I39" s="19">
        <v>6369</v>
      </c>
      <c r="J39" s="19">
        <v>2612</v>
      </c>
      <c r="K39" s="19">
        <v>10</v>
      </c>
      <c r="L39" s="19">
        <v>11030</v>
      </c>
      <c r="M39" s="19">
        <v>2804</v>
      </c>
      <c r="N39" s="19">
        <v>999</v>
      </c>
      <c r="O39" s="19">
        <v>0</v>
      </c>
      <c r="P39" s="19">
        <v>0</v>
      </c>
      <c r="Q39" s="19">
        <v>712</v>
      </c>
      <c r="R39" s="19">
        <v>6315</v>
      </c>
      <c r="S39" s="19">
        <v>0</v>
      </c>
      <c r="T39" s="19">
        <v>34388</v>
      </c>
      <c r="U39" s="19">
        <v>0</v>
      </c>
      <c r="V39" s="19">
        <v>0</v>
      </c>
      <c r="W39" s="19">
        <v>54</v>
      </c>
      <c r="X39" s="19">
        <v>49066</v>
      </c>
      <c r="Y39" s="19">
        <v>22219</v>
      </c>
      <c r="Z39" s="19">
        <v>19785</v>
      </c>
      <c r="AA39" s="19">
        <v>98</v>
      </c>
      <c r="AB39" s="19">
        <v>267</v>
      </c>
      <c r="AC39" s="19">
        <v>652</v>
      </c>
      <c r="AD39" s="19">
        <v>48</v>
      </c>
      <c r="AE39" s="19">
        <v>81</v>
      </c>
      <c r="AF39" s="19">
        <v>0</v>
      </c>
      <c r="AG39" s="19">
        <v>16</v>
      </c>
      <c r="AH39" s="19">
        <v>0</v>
      </c>
      <c r="AI39" s="20">
        <v>884</v>
      </c>
      <c r="AJ39" s="20" t="s">
        <v>276</v>
      </c>
      <c r="AK39" s="20" t="s">
        <v>276</v>
      </c>
      <c r="AL39" s="20" t="s">
        <v>276</v>
      </c>
      <c r="AM39" s="20" t="s">
        <v>276</v>
      </c>
      <c r="AN39" s="20" t="s">
        <v>276</v>
      </c>
      <c r="AO39" s="20" t="s">
        <v>276</v>
      </c>
      <c r="AP39" s="20" t="s">
        <v>276</v>
      </c>
      <c r="AQ39" s="20" t="s">
        <v>276</v>
      </c>
      <c r="AR39" s="19">
        <v>0</v>
      </c>
      <c r="AS39" s="19">
        <v>388</v>
      </c>
      <c r="AT39" s="19">
        <v>125175</v>
      </c>
      <c r="AU39" s="19">
        <v>1260</v>
      </c>
      <c r="AV39" s="19">
        <v>31</v>
      </c>
      <c r="AW39" s="19">
        <v>622</v>
      </c>
      <c r="AX39" s="19">
        <v>10399</v>
      </c>
      <c r="AY39" s="19">
        <v>6299</v>
      </c>
      <c r="AZ39" s="19">
        <v>2521</v>
      </c>
      <c r="BA39" s="19">
        <v>10</v>
      </c>
      <c r="BB39" s="19">
        <v>11014</v>
      </c>
      <c r="BC39" s="19">
        <v>2804</v>
      </c>
      <c r="BD39" s="19">
        <v>71</v>
      </c>
      <c r="BE39" s="19">
        <v>0</v>
      </c>
      <c r="BF39" s="19">
        <v>0</v>
      </c>
      <c r="BG39" s="19">
        <v>712</v>
      </c>
      <c r="BH39" s="19">
        <v>6315</v>
      </c>
      <c r="BI39" s="19">
        <v>0</v>
      </c>
      <c r="BJ39" s="19">
        <v>34388</v>
      </c>
      <c r="BK39" s="19">
        <v>0</v>
      </c>
      <c r="BL39" s="19">
        <v>0</v>
      </c>
      <c r="BM39" s="19">
        <v>54</v>
      </c>
      <c r="BN39" s="19">
        <v>48675</v>
      </c>
      <c r="BO39" s="19">
        <v>7664</v>
      </c>
      <c r="BP39" s="19">
        <v>7095</v>
      </c>
      <c r="BQ39" s="19">
        <v>7</v>
      </c>
      <c r="BR39" s="19">
        <v>42</v>
      </c>
      <c r="BS39" s="19">
        <v>441</v>
      </c>
      <c r="BT39" s="19">
        <v>22</v>
      </c>
      <c r="BU39" s="19">
        <v>10</v>
      </c>
      <c r="BV39" s="19">
        <v>0</v>
      </c>
      <c r="BW39" s="19">
        <v>0</v>
      </c>
      <c r="BX39" s="19">
        <v>0</v>
      </c>
      <c r="BY39" s="19">
        <v>44</v>
      </c>
      <c r="BZ39" s="20" t="s">
        <v>276</v>
      </c>
      <c r="CA39" s="20" t="s">
        <v>276</v>
      </c>
      <c r="CB39" s="20" t="s">
        <v>276</v>
      </c>
      <c r="CC39" s="20" t="s">
        <v>276</v>
      </c>
      <c r="CD39" s="20" t="s">
        <v>276</v>
      </c>
      <c r="CE39" s="20" t="s">
        <v>276</v>
      </c>
      <c r="CF39" s="20" t="s">
        <v>276</v>
      </c>
      <c r="CG39" s="20" t="s">
        <v>276</v>
      </c>
      <c r="CH39" s="19">
        <v>0</v>
      </c>
      <c r="CI39" s="19">
        <v>3</v>
      </c>
      <c r="CJ39" s="28">
        <v>17</v>
      </c>
    </row>
    <row r="40" spans="1:88" ht="13.5" customHeight="1">
      <c r="A40" s="17" t="s">
        <v>128</v>
      </c>
      <c r="B40" s="18" t="s">
        <v>129</v>
      </c>
      <c r="C40" s="17" t="s">
        <v>59</v>
      </c>
      <c r="D40" s="19">
        <v>41841</v>
      </c>
      <c r="E40" s="19">
        <v>16436</v>
      </c>
      <c r="F40" s="19">
        <v>55</v>
      </c>
      <c r="G40" s="19">
        <v>184</v>
      </c>
      <c r="H40" s="19">
        <v>6280</v>
      </c>
      <c r="I40" s="19">
        <v>3693</v>
      </c>
      <c r="J40" s="19">
        <v>1383</v>
      </c>
      <c r="K40" s="19">
        <v>84</v>
      </c>
      <c r="L40" s="19">
        <v>5752</v>
      </c>
      <c r="M40" s="19">
        <v>1003</v>
      </c>
      <c r="N40" s="19">
        <v>521</v>
      </c>
      <c r="O40" s="19">
        <v>0</v>
      </c>
      <c r="P40" s="19">
        <v>0</v>
      </c>
      <c r="Q40" s="19">
        <v>3959</v>
      </c>
      <c r="R40" s="19">
        <v>813</v>
      </c>
      <c r="S40" s="19">
        <v>0</v>
      </c>
      <c r="T40" s="19">
        <v>0</v>
      </c>
      <c r="U40" s="19">
        <v>0</v>
      </c>
      <c r="V40" s="19">
        <v>0</v>
      </c>
      <c r="W40" s="19">
        <v>39</v>
      </c>
      <c r="X40" s="19">
        <v>1639</v>
      </c>
      <c r="Y40" s="19">
        <v>14183</v>
      </c>
      <c r="Z40" s="19">
        <v>10850</v>
      </c>
      <c r="AA40" s="19">
        <v>34</v>
      </c>
      <c r="AB40" s="19">
        <v>101</v>
      </c>
      <c r="AC40" s="19">
        <v>620</v>
      </c>
      <c r="AD40" s="19">
        <v>1261</v>
      </c>
      <c r="AE40" s="19">
        <v>220</v>
      </c>
      <c r="AF40" s="19">
        <v>4</v>
      </c>
      <c r="AG40" s="19">
        <v>50</v>
      </c>
      <c r="AH40" s="19">
        <v>15</v>
      </c>
      <c r="AI40" s="20">
        <v>343</v>
      </c>
      <c r="AJ40" s="20" t="s">
        <v>276</v>
      </c>
      <c r="AK40" s="20" t="s">
        <v>276</v>
      </c>
      <c r="AL40" s="20" t="s">
        <v>276</v>
      </c>
      <c r="AM40" s="20" t="s">
        <v>276</v>
      </c>
      <c r="AN40" s="20" t="s">
        <v>276</v>
      </c>
      <c r="AO40" s="20" t="s">
        <v>276</v>
      </c>
      <c r="AP40" s="20" t="s">
        <v>276</v>
      </c>
      <c r="AQ40" s="20" t="s">
        <v>276</v>
      </c>
      <c r="AR40" s="19">
        <v>15</v>
      </c>
      <c r="AS40" s="19">
        <v>670</v>
      </c>
      <c r="AT40" s="19">
        <v>22885</v>
      </c>
      <c r="AU40" s="19">
        <v>1197</v>
      </c>
      <c r="AV40" s="19">
        <v>6</v>
      </c>
      <c r="AW40" s="19">
        <v>21</v>
      </c>
      <c r="AX40" s="19">
        <v>5468</v>
      </c>
      <c r="AY40" s="19">
        <v>2423</v>
      </c>
      <c r="AZ40" s="19">
        <v>1158</v>
      </c>
      <c r="BA40" s="19">
        <v>80</v>
      </c>
      <c r="BB40" s="19">
        <v>5702</v>
      </c>
      <c r="BC40" s="19">
        <v>988</v>
      </c>
      <c r="BD40" s="19">
        <v>101</v>
      </c>
      <c r="BE40" s="19">
        <v>0</v>
      </c>
      <c r="BF40" s="19">
        <v>0</v>
      </c>
      <c r="BG40" s="19">
        <v>3959</v>
      </c>
      <c r="BH40" s="19">
        <v>813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969</v>
      </c>
      <c r="BO40" s="19">
        <v>4773</v>
      </c>
      <c r="BP40" s="19">
        <v>4389</v>
      </c>
      <c r="BQ40" s="19">
        <v>15</v>
      </c>
      <c r="BR40" s="19">
        <v>62</v>
      </c>
      <c r="BS40" s="19">
        <v>192</v>
      </c>
      <c r="BT40" s="19">
        <v>9</v>
      </c>
      <c r="BU40" s="19">
        <v>5</v>
      </c>
      <c r="BV40" s="19">
        <v>0</v>
      </c>
      <c r="BW40" s="19">
        <v>0</v>
      </c>
      <c r="BX40" s="19">
        <v>0</v>
      </c>
      <c r="BY40" s="19">
        <v>77</v>
      </c>
      <c r="BZ40" s="20" t="s">
        <v>276</v>
      </c>
      <c r="CA40" s="20" t="s">
        <v>276</v>
      </c>
      <c r="CB40" s="20" t="s">
        <v>276</v>
      </c>
      <c r="CC40" s="20" t="s">
        <v>276</v>
      </c>
      <c r="CD40" s="20" t="s">
        <v>276</v>
      </c>
      <c r="CE40" s="20" t="s">
        <v>276</v>
      </c>
      <c r="CF40" s="20" t="s">
        <v>276</v>
      </c>
      <c r="CG40" s="20" t="s">
        <v>276</v>
      </c>
      <c r="CH40" s="19">
        <v>24</v>
      </c>
      <c r="CI40" s="19">
        <v>0</v>
      </c>
      <c r="CJ40" s="28">
        <v>18</v>
      </c>
    </row>
    <row r="41" spans="1:88" ht="13.5" customHeight="1">
      <c r="A41" s="17" t="s">
        <v>130</v>
      </c>
      <c r="B41" s="18" t="s">
        <v>131</v>
      </c>
      <c r="C41" s="17" t="s">
        <v>59</v>
      </c>
      <c r="D41" s="19">
        <v>58070</v>
      </c>
      <c r="E41" s="19">
        <v>19130</v>
      </c>
      <c r="F41" s="19">
        <v>50</v>
      </c>
      <c r="G41" s="19">
        <v>1298</v>
      </c>
      <c r="H41" s="19">
        <v>4904</v>
      </c>
      <c r="I41" s="19">
        <v>4314</v>
      </c>
      <c r="J41" s="19">
        <v>1775</v>
      </c>
      <c r="K41" s="19">
        <v>6</v>
      </c>
      <c r="L41" s="19">
        <v>6216</v>
      </c>
      <c r="M41" s="19">
        <v>454</v>
      </c>
      <c r="N41" s="19">
        <v>2203</v>
      </c>
      <c r="O41" s="19">
        <v>0</v>
      </c>
      <c r="P41" s="19">
        <v>0</v>
      </c>
      <c r="Q41" s="19">
        <v>2436</v>
      </c>
      <c r="R41" s="19">
        <v>6309</v>
      </c>
      <c r="S41" s="19">
        <v>0</v>
      </c>
      <c r="T41" s="19">
        <v>3049</v>
      </c>
      <c r="U41" s="19">
        <v>0</v>
      </c>
      <c r="V41" s="19">
        <v>358</v>
      </c>
      <c r="W41" s="19">
        <v>15</v>
      </c>
      <c r="X41" s="19">
        <v>5553</v>
      </c>
      <c r="Y41" s="19">
        <v>9927</v>
      </c>
      <c r="Z41" s="19">
        <v>6345</v>
      </c>
      <c r="AA41" s="19">
        <v>19</v>
      </c>
      <c r="AB41" s="19">
        <v>962</v>
      </c>
      <c r="AC41" s="19">
        <v>706</v>
      </c>
      <c r="AD41" s="19">
        <v>777</v>
      </c>
      <c r="AE41" s="19">
        <v>246</v>
      </c>
      <c r="AF41" s="19">
        <v>1</v>
      </c>
      <c r="AG41" s="19">
        <v>218</v>
      </c>
      <c r="AH41" s="19">
        <v>0</v>
      </c>
      <c r="AI41" s="20">
        <v>259</v>
      </c>
      <c r="AJ41" s="20" t="s">
        <v>276</v>
      </c>
      <c r="AK41" s="20" t="s">
        <v>276</v>
      </c>
      <c r="AL41" s="20" t="s">
        <v>276</v>
      </c>
      <c r="AM41" s="20" t="s">
        <v>276</v>
      </c>
      <c r="AN41" s="20" t="s">
        <v>276</v>
      </c>
      <c r="AO41" s="20" t="s">
        <v>276</v>
      </c>
      <c r="AP41" s="20" t="s">
        <v>276</v>
      </c>
      <c r="AQ41" s="20" t="s">
        <v>276</v>
      </c>
      <c r="AR41" s="19">
        <v>5</v>
      </c>
      <c r="AS41" s="19">
        <v>389</v>
      </c>
      <c r="AT41" s="19">
        <v>46535</v>
      </c>
      <c r="AU41" s="19">
        <v>11438</v>
      </c>
      <c r="AV41" s="19">
        <v>19</v>
      </c>
      <c r="AW41" s="19">
        <v>230</v>
      </c>
      <c r="AX41" s="19">
        <v>4171</v>
      </c>
      <c r="AY41" s="19">
        <v>3534</v>
      </c>
      <c r="AZ41" s="19">
        <v>1528</v>
      </c>
      <c r="BA41" s="19">
        <v>5</v>
      </c>
      <c r="BB41" s="19">
        <v>5998</v>
      </c>
      <c r="BC41" s="19">
        <v>454</v>
      </c>
      <c r="BD41" s="19">
        <v>1832</v>
      </c>
      <c r="BE41" s="19">
        <v>0</v>
      </c>
      <c r="BF41" s="19">
        <v>0</v>
      </c>
      <c r="BG41" s="19">
        <v>2436</v>
      </c>
      <c r="BH41" s="19">
        <v>6309</v>
      </c>
      <c r="BI41" s="19">
        <v>0</v>
      </c>
      <c r="BJ41" s="19">
        <v>3049</v>
      </c>
      <c r="BK41" s="19">
        <v>0</v>
      </c>
      <c r="BL41" s="19">
        <v>358</v>
      </c>
      <c r="BM41" s="19">
        <v>10</v>
      </c>
      <c r="BN41" s="19">
        <v>5164</v>
      </c>
      <c r="BO41" s="19">
        <v>1608</v>
      </c>
      <c r="BP41" s="19">
        <v>1347</v>
      </c>
      <c r="BQ41" s="19">
        <v>12</v>
      </c>
      <c r="BR41" s="19">
        <v>106</v>
      </c>
      <c r="BS41" s="19">
        <v>27</v>
      </c>
      <c r="BT41" s="19">
        <v>3</v>
      </c>
      <c r="BU41" s="19">
        <v>1</v>
      </c>
      <c r="BV41" s="19">
        <v>0</v>
      </c>
      <c r="BW41" s="19">
        <v>0</v>
      </c>
      <c r="BX41" s="19">
        <v>0</v>
      </c>
      <c r="BY41" s="19">
        <v>112</v>
      </c>
      <c r="BZ41" s="20" t="s">
        <v>276</v>
      </c>
      <c r="CA41" s="20" t="s">
        <v>276</v>
      </c>
      <c r="CB41" s="20" t="s">
        <v>276</v>
      </c>
      <c r="CC41" s="20" t="s">
        <v>276</v>
      </c>
      <c r="CD41" s="20" t="s">
        <v>276</v>
      </c>
      <c r="CE41" s="20" t="s">
        <v>276</v>
      </c>
      <c r="CF41" s="20" t="s">
        <v>276</v>
      </c>
      <c r="CG41" s="20" t="s">
        <v>276</v>
      </c>
      <c r="CH41" s="19">
        <v>0</v>
      </c>
      <c r="CI41" s="19">
        <v>0</v>
      </c>
      <c r="CJ41" s="28">
        <v>12</v>
      </c>
    </row>
    <row r="42" spans="1:88" ht="13.5" customHeight="1">
      <c r="A42" s="17" t="s">
        <v>132</v>
      </c>
      <c r="B42" s="18" t="s">
        <v>133</v>
      </c>
      <c r="C42" s="17" t="s">
        <v>59</v>
      </c>
      <c r="D42" s="19">
        <v>69525</v>
      </c>
      <c r="E42" s="19">
        <v>25551</v>
      </c>
      <c r="F42" s="19">
        <v>78</v>
      </c>
      <c r="G42" s="19">
        <v>347</v>
      </c>
      <c r="H42" s="19">
        <v>9681</v>
      </c>
      <c r="I42" s="19">
        <v>7767</v>
      </c>
      <c r="J42" s="19">
        <v>3018</v>
      </c>
      <c r="K42" s="19">
        <v>14</v>
      </c>
      <c r="L42" s="19">
        <v>8177</v>
      </c>
      <c r="M42" s="19">
        <v>41</v>
      </c>
      <c r="N42" s="19">
        <v>645</v>
      </c>
      <c r="O42" s="19">
        <v>684</v>
      </c>
      <c r="P42" s="19">
        <v>0</v>
      </c>
      <c r="Q42" s="19">
        <v>4084</v>
      </c>
      <c r="R42" s="19">
        <v>0</v>
      </c>
      <c r="S42" s="19">
        <v>6</v>
      </c>
      <c r="T42" s="19">
        <v>5434</v>
      </c>
      <c r="U42" s="19">
        <v>0</v>
      </c>
      <c r="V42" s="19">
        <v>0</v>
      </c>
      <c r="W42" s="19">
        <v>63</v>
      </c>
      <c r="X42" s="19">
        <v>3935</v>
      </c>
      <c r="Y42" s="19">
        <v>11796</v>
      </c>
      <c r="Z42" s="19">
        <v>10058</v>
      </c>
      <c r="AA42" s="19">
        <v>21</v>
      </c>
      <c r="AB42" s="19">
        <v>183</v>
      </c>
      <c r="AC42" s="19">
        <v>451</v>
      </c>
      <c r="AD42" s="19">
        <v>283</v>
      </c>
      <c r="AE42" s="19">
        <v>1</v>
      </c>
      <c r="AF42" s="19">
        <v>0</v>
      </c>
      <c r="AG42" s="19">
        <v>0</v>
      </c>
      <c r="AH42" s="19">
        <v>0</v>
      </c>
      <c r="AI42" s="20">
        <v>394</v>
      </c>
      <c r="AJ42" s="20" t="s">
        <v>276</v>
      </c>
      <c r="AK42" s="20" t="s">
        <v>276</v>
      </c>
      <c r="AL42" s="20" t="s">
        <v>276</v>
      </c>
      <c r="AM42" s="20" t="s">
        <v>276</v>
      </c>
      <c r="AN42" s="20" t="s">
        <v>276</v>
      </c>
      <c r="AO42" s="20" t="s">
        <v>276</v>
      </c>
      <c r="AP42" s="20" t="s">
        <v>276</v>
      </c>
      <c r="AQ42" s="20" t="s">
        <v>276</v>
      </c>
      <c r="AR42" s="19">
        <v>20</v>
      </c>
      <c r="AS42" s="19">
        <v>385</v>
      </c>
      <c r="AT42" s="19">
        <v>51048</v>
      </c>
      <c r="AU42" s="19">
        <v>9023</v>
      </c>
      <c r="AV42" s="19">
        <v>48</v>
      </c>
      <c r="AW42" s="19">
        <v>164</v>
      </c>
      <c r="AX42" s="19">
        <v>9107</v>
      </c>
      <c r="AY42" s="19">
        <v>7482</v>
      </c>
      <c r="AZ42" s="19">
        <v>3007</v>
      </c>
      <c r="BA42" s="19">
        <v>14</v>
      </c>
      <c r="BB42" s="19">
        <v>8177</v>
      </c>
      <c r="BC42" s="19">
        <v>41</v>
      </c>
      <c r="BD42" s="19">
        <v>228</v>
      </c>
      <c r="BE42" s="19">
        <v>684</v>
      </c>
      <c r="BF42" s="19">
        <v>0</v>
      </c>
      <c r="BG42" s="19">
        <v>4084</v>
      </c>
      <c r="BH42" s="19">
        <v>0</v>
      </c>
      <c r="BI42" s="19">
        <v>6</v>
      </c>
      <c r="BJ42" s="19">
        <v>5434</v>
      </c>
      <c r="BK42" s="19">
        <v>0</v>
      </c>
      <c r="BL42" s="19">
        <v>0</v>
      </c>
      <c r="BM42" s="19">
        <v>43</v>
      </c>
      <c r="BN42" s="19">
        <v>3506</v>
      </c>
      <c r="BO42" s="19">
        <v>6681</v>
      </c>
      <c r="BP42" s="19">
        <v>6470</v>
      </c>
      <c r="BQ42" s="19">
        <v>9</v>
      </c>
      <c r="BR42" s="19">
        <v>0</v>
      </c>
      <c r="BS42" s="19">
        <v>123</v>
      </c>
      <c r="BT42" s="19">
        <v>2</v>
      </c>
      <c r="BU42" s="19">
        <v>10</v>
      </c>
      <c r="BV42" s="19">
        <v>0</v>
      </c>
      <c r="BW42" s="19">
        <v>0</v>
      </c>
      <c r="BX42" s="19">
        <v>0</v>
      </c>
      <c r="BY42" s="19">
        <v>23</v>
      </c>
      <c r="BZ42" s="20" t="s">
        <v>276</v>
      </c>
      <c r="CA42" s="20" t="s">
        <v>276</v>
      </c>
      <c r="CB42" s="20" t="s">
        <v>276</v>
      </c>
      <c r="CC42" s="20" t="s">
        <v>276</v>
      </c>
      <c r="CD42" s="20" t="s">
        <v>276</v>
      </c>
      <c r="CE42" s="20" t="s">
        <v>276</v>
      </c>
      <c r="CF42" s="20" t="s">
        <v>276</v>
      </c>
      <c r="CG42" s="20" t="s">
        <v>276</v>
      </c>
      <c r="CH42" s="19">
        <v>0</v>
      </c>
      <c r="CI42" s="19">
        <v>44</v>
      </c>
      <c r="CJ42" s="28">
        <v>13</v>
      </c>
    </row>
    <row r="43" spans="1:88" ht="13.5" customHeight="1">
      <c r="A43" s="17" t="s">
        <v>134</v>
      </c>
      <c r="B43" s="18" t="s">
        <v>135</v>
      </c>
      <c r="C43" s="17" t="s">
        <v>59</v>
      </c>
      <c r="D43" s="19">
        <v>49158</v>
      </c>
      <c r="E43" s="19">
        <v>8367</v>
      </c>
      <c r="F43" s="19">
        <v>15</v>
      </c>
      <c r="G43" s="19">
        <v>260</v>
      </c>
      <c r="H43" s="19">
        <v>5937</v>
      </c>
      <c r="I43" s="19">
        <v>3177</v>
      </c>
      <c r="J43" s="19">
        <v>730</v>
      </c>
      <c r="K43" s="19">
        <v>3</v>
      </c>
      <c r="L43" s="19">
        <v>2989</v>
      </c>
      <c r="M43" s="19">
        <v>692</v>
      </c>
      <c r="N43" s="19">
        <v>1112</v>
      </c>
      <c r="O43" s="19">
        <v>10</v>
      </c>
      <c r="P43" s="19">
        <v>0</v>
      </c>
      <c r="Q43" s="19">
        <v>4401</v>
      </c>
      <c r="R43" s="19">
        <v>5869</v>
      </c>
      <c r="S43" s="19">
        <v>0</v>
      </c>
      <c r="T43" s="19">
        <v>11668</v>
      </c>
      <c r="U43" s="19">
        <v>0</v>
      </c>
      <c r="V43" s="19">
        <v>918</v>
      </c>
      <c r="W43" s="19">
        <v>2</v>
      </c>
      <c r="X43" s="19">
        <v>3008</v>
      </c>
      <c r="Y43" s="19">
        <v>5819</v>
      </c>
      <c r="Z43" s="19">
        <v>4549</v>
      </c>
      <c r="AA43" s="19">
        <v>5</v>
      </c>
      <c r="AB43" s="19">
        <v>145</v>
      </c>
      <c r="AC43" s="19">
        <v>28</v>
      </c>
      <c r="AD43" s="19">
        <v>172</v>
      </c>
      <c r="AE43" s="19">
        <v>87</v>
      </c>
      <c r="AF43" s="19">
        <v>0</v>
      </c>
      <c r="AG43" s="19">
        <v>193</v>
      </c>
      <c r="AH43" s="19">
        <v>6</v>
      </c>
      <c r="AI43" s="20">
        <v>493</v>
      </c>
      <c r="AJ43" s="20" t="s">
        <v>276</v>
      </c>
      <c r="AK43" s="20" t="s">
        <v>276</v>
      </c>
      <c r="AL43" s="20" t="s">
        <v>276</v>
      </c>
      <c r="AM43" s="20" t="s">
        <v>276</v>
      </c>
      <c r="AN43" s="20" t="s">
        <v>276</v>
      </c>
      <c r="AO43" s="20" t="s">
        <v>276</v>
      </c>
      <c r="AP43" s="20" t="s">
        <v>276</v>
      </c>
      <c r="AQ43" s="20" t="s">
        <v>276</v>
      </c>
      <c r="AR43" s="19">
        <v>2</v>
      </c>
      <c r="AS43" s="19">
        <v>139</v>
      </c>
      <c r="AT43" s="19">
        <v>43185</v>
      </c>
      <c r="AU43" s="19">
        <v>3681</v>
      </c>
      <c r="AV43" s="19">
        <v>7</v>
      </c>
      <c r="AW43" s="19">
        <v>115</v>
      </c>
      <c r="AX43" s="19">
        <v>5896</v>
      </c>
      <c r="AY43" s="19">
        <v>3004</v>
      </c>
      <c r="AZ43" s="19">
        <v>643</v>
      </c>
      <c r="BA43" s="19">
        <v>3</v>
      </c>
      <c r="BB43" s="19">
        <v>2796</v>
      </c>
      <c r="BC43" s="19">
        <v>686</v>
      </c>
      <c r="BD43" s="19">
        <v>619</v>
      </c>
      <c r="BE43" s="19">
        <v>10</v>
      </c>
      <c r="BF43" s="19">
        <v>0</v>
      </c>
      <c r="BG43" s="19">
        <v>4401</v>
      </c>
      <c r="BH43" s="19">
        <v>5869</v>
      </c>
      <c r="BI43" s="19">
        <v>0</v>
      </c>
      <c r="BJ43" s="19">
        <v>11668</v>
      </c>
      <c r="BK43" s="19">
        <v>0</v>
      </c>
      <c r="BL43" s="19">
        <v>918</v>
      </c>
      <c r="BM43" s="19">
        <v>0</v>
      </c>
      <c r="BN43" s="19">
        <v>2869</v>
      </c>
      <c r="BO43" s="19">
        <v>154</v>
      </c>
      <c r="BP43" s="19">
        <v>137</v>
      </c>
      <c r="BQ43" s="19">
        <v>3</v>
      </c>
      <c r="BR43" s="19">
        <v>0</v>
      </c>
      <c r="BS43" s="19">
        <v>13</v>
      </c>
      <c r="BT43" s="19">
        <v>1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20" t="s">
        <v>276</v>
      </c>
      <c r="CA43" s="20" t="s">
        <v>276</v>
      </c>
      <c r="CB43" s="20" t="s">
        <v>276</v>
      </c>
      <c r="CC43" s="20" t="s">
        <v>276</v>
      </c>
      <c r="CD43" s="20" t="s">
        <v>276</v>
      </c>
      <c r="CE43" s="20" t="s">
        <v>276</v>
      </c>
      <c r="CF43" s="20" t="s">
        <v>276</v>
      </c>
      <c r="CG43" s="20" t="s">
        <v>276</v>
      </c>
      <c r="CH43" s="19">
        <v>0</v>
      </c>
      <c r="CI43" s="19">
        <v>0</v>
      </c>
      <c r="CJ43" s="28">
        <v>24</v>
      </c>
    </row>
    <row r="44" spans="1:88" ht="13.5" customHeight="1">
      <c r="A44" s="17" t="s">
        <v>136</v>
      </c>
      <c r="B44" s="18" t="s">
        <v>137</v>
      </c>
      <c r="C44" s="17" t="s">
        <v>59</v>
      </c>
      <c r="D44" s="19">
        <v>359100.33638277731</v>
      </c>
      <c r="E44" s="19">
        <v>113091.89</v>
      </c>
      <c r="F44" s="19">
        <v>272.15999999999997</v>
      </c>
      <c r="G44" s="19">
        <v>1217</v>
      </c>
      <c r="H44" s="19">
        <v>33122.6499800811</v>
      </c>
      <c r="I44" s="19">
        <v>16686.510000000002</v>
      </c>
      <c r="J44" s="19">
        <v>10027.08460548372</v>
      </c>
      <c r="K44" s="19">
        <v>141.22499999999999</v>
      </c>
      <c r="L44" s="19">
        <v>9842.0733243721079</v>
      </c>
      <c r="M44" s="19">
        <v>699</v>
      </c>
      <c r="N44" s="19">
        <v>5063</v>
      </c>
      <c r="O44" s="19">
        <v>1612</v>
      </c>
      <c r="P44" s="19">
        <v>0</v>
      </c>
      <c r="Q44" s="19">
        <v>32983.933622840363</v>
      </c>
      <c r="R44" s="19">
        <v>74984</v>
      </c>
      <c r="S44" s="19">
        <v>56</v>
      </c>
      <c r="T44" s="19">
        <v>11385</v>
      </c>
      <c r="U44" s="19">
        <v>66</v>
      </c>
      <c r="V44" s="19">
        <v>7055</v>
      </c>
      <c r="W44" s="19">
        <v>64</v>
      </c>
      <c r="X44" s="19">
        <v>40731.809850000005</v>
      </c>
      <c r="Y44" s="19">
        <v>90766.699850000005</v>
      </c>
      <c r="Z44" s="19">
        <v>52644.89</v>
      </c>
      <c r="AA44" s="19">
        <v>30</v>
      </c>
      <c r="AB44" s="19">
        <v>358</v>
      </c>
      <c r="AC44" s="19">
        <v>1880</v>
      </c>
      <c r="AD44" s="19">
        <v>1124</v>
      </c>
      <c r="AE44" s="19">
        <v>597</v>
      </c>
      <c r="AF44" s="19">
        <v>16</v>
      </c>
      <c r="AG44" s="19">
        <v>1341</v>
      </c>
      <c r="AH44" s="19">
        <v>173</v>
      </c>
      <c r="AI44" s="20">
        <v>1917</v>
      </c>
      <c r="AJ44" s="20" t="s">
        <v>276</v>
      </c>
      <c r="AK44" s="20" t="s">
        <v>276</v>
      </c>
      <c r="AL44" s="20" t="s">
        <v>276</v>
      </c>
      <c r="AM44" s="20" t="s">
        <v>276</v>
      </c>
      <c r="AN44" s="20" t="s">
        <v>276</v>
      </c>
      <c r="AO44" s="20" t="s">
        <v>276</v>
      </c>
      <c r="AP44" s="20" t="s">
        <v>276</v>
      </c>
      <c r="AQ44" s="20" t="s">
        <v>276</v>
      </c>
      <c r="AR44" s="19">
        <v>40</v>
      </c>
      <c r="AS44" s="19">
        <v>30645.809850000001</v>
      </c>
      <c r="AT44" s="19">
        <v>207812.63653277728</v>
      </c>
      <c r="AU44" s="19">
        <v>4216</v>
      </c>
      <c r="AV44" s="19">
        <v>229.16</v>
      </c>
      <c r="AW44" s="19">
        <v>656</v>
      </c>
      <c r="AX44" s="19">
        <v>30452.6499800811</v>
      </c>
      <c r="AY44" s="19">
        <v>15325.51</v>
      </c>
      <c r="AZ44" s="19">
        <v>9376.0846054837202</v>
      </c>
      <c r="BA44" s="19">
        <v>60.224999999999994</v>
      </c>
      <c r="BB44" s="19">
        <v>8500.0733243721079</v>
      </c>
      <c r="BC44" s="19">
        <v>525</v>
      </c>
      <c r="BD44" s="19">
        <v>800</v>
      </c>
      <c r="BE44" s="19">
        <v>1612</v>
      </c>
      <c r="BF44" s="19">
        <v>0</v>
      </c>
      <c r="BG44" s="19">
        <v>32983.933622840363</v>
      </c>
      <c r="BH44" s="19">
        <v>74984</v>
      </c>
      <c r="BI44" s="19">
        <v>56</v>
      </c>
      <c r="BJ44" s="19">
        <v>11385</v>
      </c>
      <c r="BK44" s="19">
        <v>66</v>
      </c>
      <c r="BL44" s="19">
        <v>7055</v>
      </c>
      <c r="BM44" s="19">
        <v>0</v>
      </c>
      <c r="BN44" s="19">
        <v>9530</v>
      </c>
      <c r="BO44" s="19">
        <v>60521</v>
      </c>
      <c r="BP44" s="19">
        <v>56231</v>
      </c>
      <c r="BQ44" s="19">
        <v>13</v>
      </c>
      <c r="BR44" s="19">
        <v>203</v>
      </c>
      <c r="BS44" s="19">
        <v>790</v>
      </c>
      <c r="BT44" s="19">
        <v>237</v>
      </c>
      <c r="BU44" s="19">
        <v>54</v>
      </c>
      <c r="BV44" s="19">
        <v>65</v>
      </c>
      <c r="BW44" s="19">
        <v>1</v>
      </c>
      <c r="BX44" s="19">
        <v>1</v>
      </c>
      <c r="BY44" s="19">
        <v>2346</v>
      </c>
      <c r="BZ44" s="20" t="s">
        <v>276</v>
      </c>
      <c r="CA44" s="20" t="s">
        <v>276</v>
      </c>
      <c r="CB44" s="20" t="s">
        <v>276</v>
      </c>
      <c r="CC44" s="20" t="s">
        <v>276</v>
      </c>
      <c r="CD44" s="20" t="s">
        <v>276</v>
      </c>
      <c r="CE44" s="20" t="s">
        <v>276</v>
      </c>
      <c r="CF44" s="20" t="s">
        <v>276</v>
      </c>
      <c r="CG44" s="20" t="s">
        <v>276</v>
      </c>
      <c r="CH44" s="19">
        <v>24</v>
      </c>
      <c r="CI44" s="19">
        <v>556</v>
      </c>
      <c r="CJ44" s="28">
        <v>44</v>
      </c>
    </row>
    <row r="45" spans="1:88" ht="13.5" customHeight="1">
      <c r="A45" s="17" t="s">
        <v>138</v>
      </c>
      <c r="B45" s="18" t="s">
        <v>139</v>
      </c>
      <c r="C45" s="17" t="s">
        <v>59</v>
      </c>
      <c r="D45" s="19">
        <v>51535</v>
      </c>
      <c r="E45" s="19">
        <v>10633</v>
      </c>
      <c r="F45" s="19">
        <v>43</v>
      </c>
      <c r="G45" s="19">
        <v>399</v>
      </c>
      <c r="H45" s="19">
        <v>6565</v>
      </c>
      <c r="I45" s="19">
        <v>3701</v>
      </c>
      <c r="J45" s="19">
        <v>1721</v>
      </c>
      <c r="K45" s="19">
        <v>6</v>
      </c>
      <c r="L45" s="19">
        <v>510</v>
      </c>
      <c r="M45" s="19">
        <v>83</v>
      </c>
      <c r="N45" s="19">
        <v>1090</v>
      </c>
      <c r="O45" s="19">
        <v>1688</v>
      </c>
      <c r="P45" s="19">
        <v>0</v>
      </c>
      <c r="Q45" s="19">
        <v>10756</v>
      </c>
      <c r="R45" s="19">
        <v>113</v>
      </c>
      <c r="S45" s="19">
        <v>430</v>
      </c>
      <c r="T45" s="19">
        <v>5954</v>
      </c>
      <c r="U45" s="19">
        <v>0</v>
      </c>
      <c r="V45" s="19">
        <v>1594</v>
      </c>
      <c r="W45" s="19">
        <v>159</v>
      </c>
      <c r="X45" s="19">
        <v>6090</v>
      </c>
      <c r="Y45" s="19">
        <v>7430</v>
      </c>
      <c r="Z45" s="19">
        <v>2668</v>
      </c>
      <c r="AA45" s="19">
        <v>7</v>
      </c>
      <c r="AB45" s="19">
        <v>294</v>
      </c>
      <c r="AC45" s="19">
        <v>302</v>
      </c>
      <c r="AD45" s="19">
        <v>33</v>
      </c>
      <c r="AE45" s="19">
        <v>90</v>
      </c>
      <c r="AF45" s="19">
        <v>0</v>
      </c>
      <c r="AG45" s="19">
        <v>94</v>
      </c>
      <c r="AH45" s="19">
        <v>0</v>
      </c>
      <c r="AI45" s="20">
        <v>280</v>
      </c>
      <c r="AJ45" s="20" t="s">
        <v>276</v>
      </c>
      <c r="AK45" s="20" t="s">
        <v>276</v>
      </c>
      <c r="AL45" s="20" t="s">
        <v>276</v>
      </c>
      <c r="AM45" s="20" t="s">
        <v>276</v>
      </c>
      <c r="AN45" s="20" t="s">
        <v>276</v>
      </c>
      <c r="AO45" s="20" t="s">
        <v>276</v>
      </c>
      <c r="AP45" s="20" t="s">
        <v>276</v>
      </c>
      <c r="AQ45" s="20" t="s">
        <v>276</v>
      </c>
      <c r="AR45" s="19">
        <v>11</v>
      </c>
      <c r="AS45" s="19">
        <v>3651</v>
      </c>
      <c r="AT45" s="19">
        <v>40782</v>
      </c>
      <c r="AU45" s="19">
        <v>5028</v>
      </c>
      <c r="AV45" s="19">
        <v>31</v>
      </c>
      <c r="AW45" s="19">
        <v>33</v>
      </c>
      <c r="AX45" s="19">
        <v>6131</v>
      </c>
      <c r="AY45" s="19">
        <v>3633</v>
      </c>
      <c r="AZ45" s="19">
        <v>1622</v>
      </c>
      <c r="BA45" s="19">
        <v>6</v>
      </c>
      <c r="BB45" s="19">
        <v>416</v>
      </c>
      <c r="BC45" s="19">
        <v>83</v>
      </c>
      <c r="BD45" s="19">
        <v>683</v>
      </c>
      <c r="BE45" s="19">
        <v>1688</v>
      </c>
      <c r="BF45" s="19">
        <v>0</v>
      </c>
      <c r="BG45" s="19">
        <v>10756</v>
      </c>
      <c r="BH45" s="19">
        <v>113</v>
      </c>
      <c r="BI45" s="19">
        <v>430</v>
      </c>
      <c r="BJ45" s="19">
        <v>5954</v>
      </c>
      <c r="BK45" s="19">
        <v>0</v>
      </c>
      <c r="BL45" s="19">
        <v>1594</v>
      </c>
      <c r="BM45" s="19">
        <v>143</v>
      </c>
      <c r="BN45" s="19">
        <v>2438</v>
      </c>
      <c r="BO45" s="19">
        <v>3323</v>
      </c>
      <c r="BP45" s="19">
        <v>2937</v>
      </c>
      <c r="BQ45" s="19">
        <v>5</v>
      </c>
      <c r="BR45" s="19">
        <v>72</v>
      </c>
      <c r="BS45" s="19">
        <v>132</v>
      </c>
      <c r="BT45" s="19">
        <v>35</v>
      </c>
      <c r="BU45" s="19">
        <v>9</v>
      </c>
      <c r="BV45" s="19">
        <v>0</v>
      </c>
      <c r="BW45" s="19">
        <v>0</v>
      </c>
      <c r="BX45" s="19">
        <v>0</v>
      </c>
      <c r="BY45" s="19">
        <v>127</v>
      </c>
      <c r="BZ45" s="20" t="s">
        <v>276</v>
      </c>
      <c r="CA45" s="20" t="s">
        <v>276</v>
      </c>
      <c r="CB45" s="20" t="s">
        <v>276</v>
      </c>
      <c r="CC45" s="20" t="s">
        <v>276</v>
      </c>
      <c r="CD45" s="20" t="s">
        <v>276</v>
      </c>
      <c r="CE45" s="20" t="s">
        <v>276</v>
      </c>
      <c r="CF45" s="20" t="s">
        <v>276</v>
      </c>
      <c r="CG45" s="20" t="s">
        <v>276</v>
      </c>
      <c r="CH45" s="19">
        <v>5</v>
      </c>
      <c r="CI45" s="19">
        <v>1</v>
      </c>
      <c r="CJ45" s="28">
        <v>14</v>
      </c>
    </row>
    <row r="46" spans="1:88" ht="13.5" customHeight="1">
      <c r="A46" s="17" t="s">
        <v>140</v>
      </c>
      <c r="B46" s="18" t="s">
        <v>141</v>
      </c>
      <c r="C46" s="17" t="s">
        <v>59</v>
      </c>
      <c r="D46" s="19">
        <v>74383</v>
      </c>
      <c r="E46" s="19">
        <v>21547</v>
      </c>
      <c r="F46" s="19">
        <v>44</v>
      </c>
      <c r="G46" s="19">
        <v>119</v>
      </c>
      <c r="H46" s="19">
        <v>9680</v>
      </c>
      <c r="I46" s="19">
        <v>6910</v>
      </c>
      <c r="J46" s="19">
        <v>3911</v>
      </c>
      <c r="K46" s="19">
        <v>46</v>
      </c>
      <c r="L46" s="19">
        <v>5797</v>
      </c>
      <c r="M46" s="19">
        <v>20</v>
      </c>
      <c r="N46" s="19">
        <v>498</v>
      </c>
      <c r="O46" s="19">
        <v>488</v>
      </c>
      <c r="P46" s="19">
        <v>0</v>
      </c>
      <c r="Q46" s="19">
        <v>7032</v>
      </c>
      <c r="R46" s="19">
        <v>344</v>
      </c>
      <c r="S46" s="19">
        <v>0</v>
      </c>
      <c r="T46" s="19">
        <v>12265</v>
      </c>
      <c r="U46" s="19">
        <v>0</v>
      </c>
      <c r="V46" s="19">
        <v>821</v>
      </c>
      <c r="W46" s="19">
        <v>23</v>
      </c>
      <c r="X46" s="19">
        <v>4838</v>
      </c>
      <c r="Y46" s="19">
        <v>4497</v>
      </c>
      <c r="Z46" s="19">
        <v>2919</v>
      </c>
      <c r="AA46" s="19">
        <v>17</v>
      </c>
      <c r="AB46" s="19">
        <v>21</v>
      </c>
      <c r="AC46" s="19">
        <v>350</v>
      </c>
      <c r="AD46" s="19">
        <v>193</v>
      </c>
      <c r="AE46" s="19">
        <v>489</v>
      </c>
      <c r="AF46" s="19">
        <v>0</v>
      </c>
      <c r="AG46" s="19">
        <v>186</v>
      </c>
      <c r="AH46" s="19">
        <v>0</v>
      </c>
      <c r="AI46" s="20">
        <v>282</v>
      </c>
      <c r="AJ46" s="20" t="s">
        <v>276</v>
      </c>
      <c r="AK46" s="20" t="s">
        <v>276</v>
      </c>
      <c r="AL46" s="20" t="s">
        <v>276</v>
      </c>
      <c r="AM46" s="20" t="s">
        <v>276</v>
      </c>
      <c r="AN46" s="20" t="s">
        <v>276</v>
      </c>
      <c r="AO46" s="20" t="s">
        <v>276</v>
      </c>
      <c r="AP46" s="20" t="s">
        <v>276</v>
      </c>
      <c r="AQ46" s="20" t="s">
        <v>276</v>
      </c>
      <c r="AR46" s="19">
        <v>0</v>
      </c>
      <c r="AS46" s="19">
        <v>40</v>
      </c>
      <c r="AT46" s="19">
        <v>57292</v>
      </c>
      <c r="AU46" s="19">
        <v>7151</v>
      </c>
      <c r="AV46" s="19">
        <v>18</v>
      </c>
      <c r="AW46" s="19">
        <v>98</v>
      </c>
      <c r="AX46" s="19">
        <v>8681</v>
      </c>
      <c r="AY46" s="19">
        <v>6602</v>
      </c>
      <c r="AZ46" s="19">
        <v>3272</v>
      </c>
      <c r="BA46" s="19">
        <v>46</v>
      </c>
      <c r="BB46" s="19">
        <v>5611</v>
      </c>
      <c r="BC46" s="19">
        <v>15</v>
      </c>
      <c r="BD46" s="19">
        <v>27</v>
      </c>
      <c r="BE46" s="19">
        <v>488</v>
      </c>
      <c r="BF46" s="19">
        <v>0</v>
      </c>
      <c r="BG46" s="19">
        <v>7032</v>
      </c>
      <c r="BH46" s="19">
        <v>344</v>
      </c>
      <c r="BI46" s="19">
        <v>0</v>
      </c>
      <c r="BJ46" s="19">
        <v>12265</v>
      </c>
      <c r="BK46" s="19">
        <v>0</v>
      </c>
      <c r="BL46" s="19">
        <v>821</v>
      </c>
      <c r="BM46" s="19">
        <v>23</v>
      </c>
      <c r="BN46" s="19">
        <v>4798</v>
      </c>
      <c r="BO46" s="19">
        <v>12594</v>
      </c>
      <c r="BP46" s="19">
        <v>11477</v>
      </c>
      <c r="BQ46" s="19">
        <v>9</v>
      </c>
      <c r="BR46" s="19">
        <v>0</v>
      </c>
      <c r="BS46" s="19">
        <v>649</v>
      </c>
      <c r="BT46" s="19">
        <v>115</v>
      </c>
      <c r="BU46" s="19">
        <v>150</v>
      </c>
      <c r="BV46" s="19">
        <v>0</v>
      </c>
      <c r="BW46" s="19">
        <v>0</v>
      </c>
      <c r="BX46" s="19">
        <v>5</v>
      </c>
      <c r="BY46" s="19">
        <v>189</v>
      </c>
      <c r="BZ46" s="20" t="s">
        <v>276</v>
      </c>
      <c r="CA46" s="20" t="s">
        <v>276</v>
      </c>
      <c r="CB46" s="20" t="s">
        <v>276</v>
      </c>
      <c r="CC46" s="20" t="s">
        <v>276</v>
      </c>
      <c r="CD46" s="20" t="s">
        <v>276</v>
      </c>
      <c r="CE46" s="20" t="s">
        <v>276</v>
      </c>
      <c r="CF46" s="20" t="s">
        <v>276</v>
      </c>
      <c r="CG46" s="20" t="s">
        <v>276</v>
      </c>
      <c r="CH46" s="19">
        <v>0</v>
      </c>
      <c r="CI46" s="19">
        <v>0</v>
      </c>
      <c r="CJ46" s="28">
        <v>17</v>
      </c>
    </row>
    <row r="47" spans="1:88" ht="13.5" customHeight="1">
      <c r="A47" s="17" t="s">
        <v>142</v>
      </c>
      <c r="B47" s="18" t="s">
        <v>143</v>
      </c>
      <c r="C47" s="17" t="s">
        <v>59</v>
      </c>
      <c r="D47" s="19">
        <v>112879</v>
      </c>
      <c r="E47" s="19">
        <v>36039</v>
      </c>
      <c r="F47" s="19">
        <v>179</v>
      </c>
      <c r="G47" s="19">
        <v>810</v>
      </c>
      <c r="H47" s="19">
        <v>10672</v>
      </c>
      <c r="I47" s="19">
        <v>7976</v>
      </c>
      <c r="J47" s="19">
        <v>4350</v>
      </c>
      <c r="K47" s="19">
        <v>60</v>
      </c>
      <c r="L47" s="19">
        <v>6882</v>
      </c>
      <c r="M47" s="19">
        <v>852</v>
      </c>
      <c r="N47" s="19">
        <v>3328</v>
      </c>
      <c r="O47" s="19">
        <v>1198</v>
      </c>
      <c r="P47" s="19">
        <v>0</v>
      </c>
      <c r="Q47" s="19">
        <v>1052</v>
      </c>
      <c r="R47" s="19">
        <v>15374</v>
      </c>
      <c r="S47" s="19">
        <v>0</v>
      </c>
      <c r="T47" s="19">
        <v>6222</v>
      </c>
      <c r="U47" s="19">
        <v>0</v>
      </c>
      <c r="V47" s="19">
        <v>3804</v>
      </c>
      <c r="W47" s="19">
        <v>66</v>
      </c>
      <c r="X47" s="19">
        <v>14015</v>
      </c>
      <c r="Y47" s="19">
        <v>8993</v>
      </c>
      <c r="Z47" s="19">
        <v>3352</v>
      </c>
      <c r="AA47" s="19">
        <v>43</v>
      </c>
      <c r="AB47" s="19">
        <v>269</v>
      </c>
      <c r="AC47" s="19">
        <v>634</v>
      </c>
      <c r="AD47" s="19">
        <v>2112</v>
      </c>
      <c r="AE47" s="19">
        <v>461</v>
      </c>
      <c r="AF47" s="19">
        <v>16</v>
      </c>
      <c r="AG47" s="19">
        <v>360</v>
      </c>
      <c r="AH47" s="19">
        <v>193</v>
      </c>
      <c r="AI47" s="20">
        <v>892</v>
      </c>
      <c r="AJ47" s="20" t="s">
        <v>276</v>
      </c>
      <c r="AK47" s="20" t="s">
        <v>276</v>
      </c>
      <c r="AL47" s="20" t="s">
        <v>276</v>
      </c>
      <c r="AM47" s="20" t="s">
        <v>276</v>
      </c>
      <c r="AN47" s="20" t="s">
        <v>276</v>
      </c>
      <c r="AO47" s="20" t="s">
        <v>276</v>
      </c>
      <c r="AP47" s="20" t="s">
        <v>276</v>
      </c>
      <c r="AQ47" s="20" t="s">
        <v>276</v>
      </c>
      <c r="AR47" s="19">
        <v>26</v>
      </c>
      <c r="AS47" s="19">
        <v>635</v>
      </c>
      <c r="AT47" s="19">
        <v>91287</v>
      </c>
      <c r="AU47" s="19">
        <v>21550</v>
      </c>
      <c r="AV47" s="19">
        <v>108</v>
      </c>
      <c r="AW47" s="19">
        <v>479</v>
      </c>
      <c r="AX47" s="19">
        <v>9438</v>
      </c>
      <c r="AY47" s="19">
        <v>5670</v>
      </c>
      <c r="AZ47" s="19">
        <v>3725</v>
      </c>
      <c r="BA47" s="19">
        <v>44</v>
      </c>
      <c r="BB47" s="19">
        <v>6522</v>
      </c>
      <c r="BC47" s="19">
        <v>649</v>
      </c>
      <c r="BD47" s="19">
        <v>2343</v>
      </c>
      <c r="BE47" s="19">
        <v>1198</v>
      </c>
      <c r="BF47" s="19">
        <v>0</v>
      </c>
      <c r="BG47" s="19">
        <v>1052</v>
      </c>
      <c r="BH47" s="19">
        <v>15374</v>
      </c>
      <c r="BI47" s="19">
        <v>0</v>
      </c>
      <c r="BJ47" s="19">
        <v>6222</v>
      </c>
      <c r="BK47" s="19">
        <v>0</v>
      </c>
      <c r="BL47" s="19">
        <v>3804</v>
      </c>
      <c r="BM47" s="19">
        <v>40</v>
      </c>
      <c r="BN47" s="19">
        <v>13069</v>
      </c>
      <c r="BO47" s="19">
        <v>12599</v>
      </c>
      <c r="BP47" s="19">
        <v>11137</v>
      </c>
      <c r="BQ47" s="19">
        <v>28</v>
      </c>
      <c r="BR47" s="19">
        <v>62</v>
      </c>
      <c r="BS47" s="19">
        <v>600</v>
      </c>
      <c r="BT47" s="19">
        <v>194</v>
      </c>
      <c r="BU47" s="19">
        <v>164</v>
      </c>
      <c r="BV47" s="19">
        <v>0</v>
      </c>
      <c r="BW47" s="19">
        <v>0</v>
      </c>
      <c r="BX47" s="19">
        <v>10</v>
      </c>
      <c r="BY47" s="19">
        <v>93</v>
      </c>
      <c r="BZ47" s="20" t="s">
        <v>276</v>
      </c>
      <c r="CA47" s="20" t="s">
        <v>276</v>
      </c>
      <c r="CB47" s="20" t="s">
        <v>276</v>
      </c>
      <c r="CC47" s="20" t="s">
        <v>276</v>
      </c>
      <c r="CD47" s="20" t="s">
        <v>276</v>
      </c>
      <c r="CE47" s="20" t="s">
        <v>276</v>
      </c>
      <c r="CF47" s="20" t="s">
        <v>276</v>
      </c>
      <c r="CG47" s="20" t="s">
        <v>276</v>
      </c>
      <c r="CH47" s="19">
        <v>0</v>
      </c>
      <c r="CI47" s="19">
        <v>311</v>
      </c>
      <c r="CJ47" s="28">
        <v>30</v>
      </c>
    </row>
    <row r="48" spans="1:88" ht="13.5" customHeight="1">
      <c r="A48" s="17" t="s">
        <v>144</v>
      </c>
      <c r="B48" s="18" t="s">
        <v>145</v>
      </c>
      <c r="C48" s="17" t="s">
        <v>59</v>
      </c>
      <c r="D48" s="19">
        <v>73189</v>
      </c>
      <c r="E48" s="19">
        <v>20107</v>
      </c>
      <c r="F48" s="19">
        <v>95</v>
      </c>
      <c r="G48" s="19">
        <v>1795</v>
      </c>
      <c r="H48" s="19">
        <v>10582</v>
      </c>
      <c r="I48" s="19">
        <v>3746</v>
      </c>
      <c r="J48" s="19">
        <v>2982</v>
      </c>
      <c r="K48" s="19">
        <v>5</v>
      </c>
      <c r="L48" s="19">
        <v>4011</v>
      </c>
      <c r="M48" s="19">
        <v>693</v>
      </c>
      <c r="N48" s="19">
        <v>2003</v>
      </c>
      <c r="O48" s="19">
        <v>916</v>
      </c>
      <c r="P48" s="19">
        <v>0</v>
      </c>
      <c r="Q48" s="19">
        <v>9011</v>
      </c>
      <c r="R48" s="19">
        <v>0</v>
      </c>
      <c r="S48" s="19">
        <v>435</v>
      </c>
      <c r="T48" s="19">
        <v>12758</v>
      </c>
      <c r="U48" s="19">
        <v>0</v>
      </c>
      <c r="V48" s="19">
        <v>2092</v>
      </c>
      <c r="W48" s="19">
        <v>13</v>
      </c>
      <c r="X48" s="19">
        <v>1945</v>
      </c>
      <c r="Y48" s="19">
        <v>9257</v>
      </c>
      <c r="Z48" s="19">
        <v>6107</v>
      </c>
      <c r="AA48" s="19">
        <v>28</v>
      </c>
      <c r="AB48" s="19">
        <v>67</v>
      </c>
      <c r="AC48" s="19">
        <v>255</v>
      </c>
      <c r="AD48" s="19">
        <v>956</v>
      </c>
      <c r="AE48" s="19">
        <v>234</v>
      </c>
      <c r="AF48" s="19">
        <v>3</v>
      </c>
      <c r="AG48" s="19">
        <v>480</v>
      </c>
      <c r="AH48" s="19">
        <v>185</v>
      </c>
      <c r="AI48" s="20">
        <v>774</v>
      </c>
      <c r="AJ48" s="20" t="s">
        <v>276</v>
      </c>
      <c r="AK48" s="20" t="s">
        <v>276</v>
      </c>
      <c r="AL48" s="20" t="s">
        <v>276</v>
      </c>
      <c r="AM48" s="20" t="s">
        <v>276</v>
      </c>
      <c r="AN48" s="20" t="s">
        <v>276</v>
      </c>
      <c r="AO48" s="20" t="s">
        <v>276</v>
      </c>
      <c r="AP48" s="20" t="s">
        <v>276</v>
      </c>
      <c r="AQ48" s="20" t="s">
        <v>276</v>
      </c>
      <c r="AR48" s="19">
        <v>6</v>
      </c>
      <c r="AS48" s="19">
        <v>162</v>
      </c>
      <c r="AT48" s="19">
        <v>60505</v>
      </c>
      <c r="AU48" s="19">
        <v>11585</v>
      </c>
      <c r="AV48" s="19">
        <v>67</v>
      </c>
      <c r="AW48" s="19">
        <v>964</v>
      </c>
      <c r="AX48" s="19">
        <v>10198</v>
      </c>
      <c r="AY48" s="19">
        <v>2742</v>
      </c>
      <c r="AZ48" s="19">
        <v>2714</v>
      </c>
      <c r="BA48" s="19">
        <v>2</v>
      </c>
      <c r="BB48" s="19">
        <v>3531</v>
      </c>
      <c r="BC48" s="19">
        <v>508</v>
      </c>
      <c r="BD48" s="19">
        <v>1202</v>
      </c>
      <c r="BE48" s="19">
        <v>916</v>
      </c>
      <c r="BF48" s="19">
        <v>0</v>
      </c>
      <c r="BG48" s="19">
        <v>9011</v>
      </c>
      <c r="BH48" s="19">
        <v>0</v>
      </c>
      <c r="BI48" s="19">
        <v>435</v>
      </c>
      <c r="BJ48" s="19">
        <v>12758</v>
      </c>
      <c r="BK48" s="19">
        <v>0</v>
      </c>
      <c r="BL48" s="19">
        <v>2092</v>
      </c>
      <c r="BM48" s="19">
        <v>0</v>
      </c>
      <c r="BN48" s="19">
        <v>1780</v>
      </c>
      <c r="BO48" s="19">
        <v>3427</v>
      </c>
      <c r="BP48" s="19">
        <v>2415</v>
      </c>
      <c r="BQ48" s="19">
        <v>0</v>
      </c>
      <c r="BR48" s="19">
        <v>764</v>
      </c>
      <c r="BS48" s="19">
        <v>129</v>
      </c>
      <c r="BT48" s="19">
        <v>48</v>
      </c>
      <c r="BU48" s="19">
        <v>34</v>
      </c>
      <c r="BV48" s="19">
        <v>0</v>
      </c>
      <c r="BW48" s="19">
        <v>0</v>
      </c>
      <c r="BX48" s="19">
        <v>0</v>
      </c>
      <c r="BY48" s="19">
        <v>27</v>
      </c>
      <c r="BZ48" s="20" t="s">
        <v>276</v>
      </c>
      <c r="CA48" s="20" t="s">
        <v>276</v>
      </c>
      <c r="CB48" s="20" t="s">
        <v>276</v>
      </c>
      <c r="CC48" s="20" t="s">
        <v>276</v>
      </c>
      <c r="CD48" s="20" t="s">
        <v>276</v>
      </c>
      <c r="CE48" s="20" t="s">
        <v>276</v>
      </c>
      <c r="CF48" s="20" t="s">
        <v>276</v>
      </c>
      <c r="CG48" s="20" t="s">
        <v>276</v>
      </c>
      <c r="CH48" s="19">
        <v>7</v>
      </c>
      <c r="CI48" s="19">
        <v>3</v>
      </c>
      <c r="CJ48" s="28">
        <v>14</v>
      </c>
    </row>
    <row r="49" spans="1:88" ht="13.5" customHeight="1">
      <c r="A49" s="17" t="s">
        <v>146</v>
      </c>
      <c r="B49" s="18" t="s">
        <v>147</v>
      </c>
      <c r="C49" s="17" t="s">
        <v>59</v>
      </c>
      <c r="D49" s="19">
        <v>65258</v>
      </c>
      <c r="E49" s="19">
        <v>29493</v>
      </c>
      <c r="F49" s="19">
        <v>74</v>
      </c>
      <c r="G49" s="19">
        <v>267</v>
      </c>
      <c r="H49" s="19">
        <v>9598</v>
      </c>
      <c r="I49" s="19">
        <v>4971</v>
      </c>
      <c r="J49" s="19">
        <v>3436</v>
      </c>
      <c r="K49" s="19">
        <v>9</v>
      </c>
      <c r="L49" s="19">
        <v>6191</v>
      </c>
      <c r="M49" s="19">
        <v>103</v>
      </c>
      <c r="N49" s="19">
        <v>2272</v>
      </c>
      <c r="O49" s="19">
        <v>1154</v>
      </c>
      <c r="P49" s="19">
        <v>171</v>
      </c>
      <c r="Q49" s="19">
        <v>0</v>
      </c>
      <c r="R49" s="19">
        <v>196</v>
      </c>
      <c r="S49" s="19">
        <v>0</v>
      </c>
      <c r="T49" s="19">
        <v>554</v>
      </c>
      <c r="U49" s="19">
        <v>0</v>
      </c>
      <c r="V49" s="19">
        <v>0</v>
      </c>
      <c r="W49" s="19">
        <v>29</v>
      </c>
      <c r="X49" s="19">
        <v>6740</v>
      </c>
      <c r="Y49" s="19">
        <v>30316</v>
      </c>
      <c r="Z49" s="19">
        <v>23856</v>
      </c>
      <c r="AA49" s="19">
        <v>45</v>
      </c>
      <c r="AB49" s="19">
        <v>111</v>
      </c>
      <c r="AC49" s="19">
        <v>717</v>
      </c>
      <c r="AD49" s="19">
        <v>389</v>
      </c>
      <c r="AE49" s="19">
        <v>367</v>
      </c>
      <c r="AF49" s="19">
        <v>0</v>
      </c>
      <c r="AG49" s="19">
        <v>0</v>
      </c>
      <c r="AH49" s="19">
        <v>0</v>
      </c>
      <c r="AI49" s="20">
        <v>1743</v>
      </c>
      <c r="AJ49" s="20" t="s">
        <v>276</v>
      </c>
      <c r="AK49" s="20" t="s">
        <v>276</v>
      </c>
      <c r="AL49" s="20" t="s">
        <v>276</v>
      </c>
      <c r="AM49" s="20" t="s">
        <v>276</v>
      </c>
      <c r="AN49" s="20" t="s">
        <v>276</v>
      </c>
      <c r="AO49" s="20" t="s">
        <v>276</v>
      </c>
      <c r="AP49" s="20" t="s">
        <v>276</v>
      </c>
      <c r="AQ49" s="20" t="s">
        <v>276</v>
      </c>
      <c r="AR49" s="19">
        <v>8</v>
      </c>
      <c r="AS49" s="19">
        <v>3080</v>
      </c>
      <c r="AT49" s="19">
        <v>33414</v>
      </c>
      <c r="AU49" s="19">
        <v>4310</v>
      </c>
      <c r="AV49" s="19">
        <v>28</v>
      </c>
      <c r="AW49" s="19">
        <v>156</v>
      </c>
      <c r="AX49" s="19">
        <v>8755</v>
      </c>
      <c r="AY49" s="19">
        <v>4566</v>
      </c>
      <c r="AZ49" s="19">
        <v>3020</v>
      </c>
      <c r="BA49" s="19">
        <v>9</v>
      </c>
      <c r="BB49" s="19">
        <v>6191</v>
      </c>
      <c r="BC49" s="19">
        <v>103</v>
      </c>
      <c r="BD49" s="19">
        <v>529</v>
      </c>
      <c r="BE49" s="19">
        <v>1154</v>
      </c>
      <c r="BF49" s="19">
        <v>171</v>
      </c>
      <c r="BG49" s="19">
        <v>0</v>
      </c>
      <c r="BH49" s="19">
        <v>196</v>
      </c>
      <c r="BI49" s="19">
        <v>0</v>
      </c>
      <c r="BJ49" s="19">
        <v>554</v>
      </c>
      <c r="BK49" s="19">
        <v>0</v>
      </c>
      <c r="BL49" s="19">
        <v>0</v>
      </c>
      <c r="BM49" s="19">
        <v>21</v>
      </c>
      <c r="BN49" s="19">
        <v>3651</v>
      </c>
      <c r="BO49" s="19">
        <v>1528</v>
      </c>
      <c r="BP49" s="19">
        <v>1327</v>
      </c>
      <c r="BQ49" s="19">
        <v>1</v>
      </c>
      <c r="BR49" s="19">
        <v>0</v>
      </c>
      <c r="BS49" s="19">
        <v>126</v>
      </c>
      <c r="BT49" s="19">
        <v>16</v>
      </c>
      <c r="BU49" s="19">
        <v>49</v>
      </c>
      <c r="BV49" s="19">
        <v>0</v>
      </c>
      <c r="BW49" s="19">
        <v>0</v>
      </c>
      <c r="BX49" s="19">
        <v>0</v>
      </c>
      <c r="BY49" s="19">
        <v>0</v>
      </c>
      <c r="BZ49" s="20" t="s">
        <v>276</v>
      </c>
      <c r="CA49" s="20" t="s">
        <v>276</v>
      </c>
      <c r="CB49" s="20" t="s">
        <v>276</v>
      </c>
      <c r="CC49" s="20" t="s">
        <v>276</v>
      </c>
      <c r="CD49" s="20" t="s">
        <v>276</v>
      </c>
      <c r="CE49" s="20" t="s">
        <v>276</v>
      </c>
      <c r="CF49" s="20" t="s">
        <v>276</v>
      </c>
      <c r="CG49" s="20" t="s">
        <v>276</v>
      </c>
      <c r="CH49" s="19">
        <v>0</v>
      </c>
      <c r="CI49" s="19">
        <v>9</v>
      </c>
      <c r="CJ49" s="28">
        <v>20</v>
      </c>
    </row>
    <row r="50" spans="1:88" ht="13.5" customHeight="1">
      <c r="A50" s="17" t="s">
        <v>148</v>
      </c>
      <c r="B50" s="18" t="s">
        <v>149</v>
      </c>
      <c r="C50" s="17" t="s">
        <v>59</v>
      </c>
      <c r="D50" s="19">
        <v>84261</v>
      </c>
      <c r="E50" s="19">
        <v>26615</v>
      </c>
      <c r="F50" s="19">
        <v>111</v>
      </c>
      <c r="G50" s="19">
        <v>689</v>
      </c>
      <c r="H50" s="19">
        <v>12919</v>
      </c>
      <c r="I50" s="19">
        <v>6564</v>
      </c>
      <c r="J50" s="19">
        <v>4074</v>
      </c>
      <c r="K50" s="19">
        <v>119</v>
      </c>
      <c r="L50" s="19">
        <v>7582</v>
      </c>
      <c r="M50" s="19">
        <v>148</v>
      </c>
      <c r="N50" s="19">
        <v>950</v>
      </c>
      <c r="O50" s="19">
        <v>9535</v>
      </c>
      <c r="P50" s="19">
        <v>0</v>
      </c>
      <c r="Q50" s="19">
        <v>3383</v>
      </c>
      <c r="R50" s="19">
        <v>907</v>
      </c>
      <c r="S50" s="19">
        <v>175</v>
      </c>
      <c r="T50" s="19">
        <v>3233</v>
      </c>
      <c r="U50" s="19">
        <v>0</v>
      </c>
      <c r="V50" s="19">
        <v>1839</v>
      </c>
      <c r="W50" s="19">
        <v>123</v>
      </c>
      <c r="X50" s="19">
        <v>5295</v>
      </c>
      <c r="Y50" s="19">
        <v>26121</v>
      </c>
      <c r="Z50" s="19">
        <v>19602</v>
      </c>
      <c r="AA50" s="19">
        <v>54</v>
      </c>
      <c r="AB50" s="19">
        <v>206</v>
      </c>
      <c r="AC50" s="19">
        <v>1330</v>
      </c>
      <c r="AD50" s="19">
        <v>1768</v>
      </c>
      <c r="AE50" s="19">
        <v>607</v>
      </c>
      <c r="AF50" s="19">
        <v>21</v>
      </c>
      <c r="AG50" s="19">
        <v>609</v>
      </c>
      <c r="AH50" s="19">
        <v>31</v>
      </c>
      <c r="AI50" s="20">
        <v>428</v>
      </c>
      <c r="AJ50" s="20" t="s">
        <v>276</v>
      </c>
      <c r="AK50" s="20" t="s">
        <v>276</v>
      </c>
      <c r="AL50" s="20" t="s">
        <v>276</v>
      </c>
      <c r="AM50" s="20" t="s">
        <v>276</v>
      </c>
      <c r="AN50" s="20" t="s">
        <v>276</v>
      </c>
      <c r="AO50" s="20" t="s">
        <v>276</v>
      </c>
      <c r="AP50" s="20" t="s">
        <v>276</v>
      </c>
      <c r="AQ50" s="20" t="s">
        <v>276</v>
      </c>
      <c r="AR50" s="19">
        <v>57</v>
      </c>
      <c r="AS50" s="19">
        <v>1408</v>
      </c>
      <c r="AT50" s="19">
        <v>55827</v>
      </c>
      <c r="AU50" s="19">
        <v>4921</v>
      </c>
      <c r="AV50" s="19">
        <v>53</v>
      </c>
      <c r="AW50" s="19">
        <v>483</v>
      </c>
      <c r="AX50" s="19">
        <v>11493</v>
      </c>
      <c r="AY50" s="19">
        <v>4726</v>
      </c>
      <c r="AZ50" s="19">
        <v>3457</v>
      </c>
      <c r="BA50" s="19">
        <v>98</v>
      </c>
      <c r="BB50" s="19">
        <v>6972</v>
      </c>
      <c r="BC50" s="19">
        <v>114</v>
      </c>
      <c r="BD50" s="19">
        <v>520</v>
      </c>
      <c r="BE50" s="19">
        <v>9535</v>
      </c>
      <c r="BF50" s="19">
        <v>0</v>
      </c>
      <c r="BG50" s="19">
        <v>3383</v>
      </c>
      <c r="BH50" s="19">
        <v>907</v>
      </c>
      <c r="BI50" s="19">
        <v>175</v>
      </c>
      <c r="BJ50" s="19">
        <v>3233</v>
      </c>
      <c r="BK50" s="19">
        <v>0</v>
      </c>
      <c r="BL50" s="19">
        <v>1839</v>
      </c>
      <c r="BM50" s="19">
        <v>55</v>
      </c>
      <c r="BN50" s="19">
        <v>3863</v>
      </c>
      <c r="BO50" s="19">
        <v>2313</v>
      </c>
      <c r="BP50" s="19">
        <v>2092</v>
      </c>
      <c r="BQ50" s="19">
        <v>4</v>
      </c>
      <c r="BR50" s="19">
        <v>0</v>
      </c>
      <c r="BS50" s="19">
        <v>96</v>
      </c>
      <c r="BT50" s="19">
        <v>70</v>
      </c>
      <c r="BU50" s="19">
        <v>10</v>
      </c>
      <c r="BV50" s="19">
        <v>0</v>
      </c>
      <c r="BW50" s="19">
        <v>1</v>
      </c>
      <c r="BX50" s="19">
        <v>3</v>
      </c>
      <c r="BY50" s="19">
        <v>2</v>
      </c>
      <c r="BZ50" s="20" t="s">
        <v>276</v>
      </c>
      <c r="CA50" s="20" t="s">
        <v>276</v>
      </c>
      <c r="CB50" s="20" t="s">
        <v>276</v>
      </c>
      <c r="CC50" s="20" t="s">
        <v>276</v>
      </c>
      <c r="CD50" s="20" t="s">
        <v>276</v>
      </c>
      <c r="CE50" s="20" t="s">
        <v>276</v>
      </c>
      <c r="CF50" s="20" t="s">
        <v>276</v>
      </c>
      <c r="CG50" s="20" t="s">
        <v>276</v>
      </c>
      <c r="CH50" s="19">
        <v>11</v>
      </c>
      <c r="CI50" s="19">
        <v>24</v>
      </c>
      <c r="CJ50" s="28">
        <v>40</v>
      </c>
    </row>
    <row r="51" spans="1:88" ht="13.5" customHeight="1">
      <c r="A51" s="17" t="s">
        <v>150</v>
      </c>
      <c r="B51" s="18" t="s">
        <v>151</v>
      </c>
      <c r="C51" s="17" t="s">
        <v>59</v>
      </c>
      <c r="D51" s="19">
        <v>74913</v>
      </c>
      <c r="E51" s="19">
        <v>15396</v>
      </c>
      <c r="F51" s="19">
        <v>67</v>
      </c>
      <c r="G51" s="19">
        <v>3107</v>
      </c>
      <c r="H51" s="19">
        <v>9799</v>
      </c>
      <c r="I51" s="19">
        <v>10949</v>
      </c>
      <c r="J51" s="19">
        <v>6279</v>
      </c>
      <c r="K51" s="19">
        <v>5</v>
      </c>
      <c r="L51" s="19">
        <v>1171</v>
      </c>
      <c r="M51" s="19">
        <v>36</v>
      </c>
      <c r="N51" s="19">
        <v>435</v>
      </c>
      <c r="O51" s="19">
        <v>5809</v>
      </c>
      <c r="P51" s="19">
        <v>73</v>
      </c>
      <c r="Q51" s="19">
        <v>9764</v>
      </c>
      <c r="R51" s="19">
        <v>0</v>
      </c>
      <c r="S51" s="19">
        <v>0</v>
      </c>
      <c r="T51" s="19">
        <v>4509</v>
      </c>
      <c r="U51" s="19">
        <v>0</v>
      </c>
      <c r="V51" s="19">
        <v>855</v>
      </c>
      <c r="W51" s="19">
        <v>40</v>
      </c>
      <c r="X51" s="19">
        <v>6619</v>
      </c>
      <c r="Y51" s="19">
        <v>18664</v>
      </c>
      <c r="Z51" s="19">
        <v>10632</v>
      </c>
      <c r="AA51" s="19">
        <v>27</v>
      </c>
      <c r="AB51" s="19">
        <v>909</v>
      </c>
      <c r="AC51" s="19">
        <v>1047</v>
      </c>
      <c r="AD51" s="19">
        <v>1408</v>
      </c>
      <c r="AE51" s="19">
        <v>838</v>
      </c>
      <c r="AF51" s="19">
        <v>0</v>
      </c>
      <c r="AG51" s="19">
        <v>1142</v>
      </c>
      <c r="AH51" s="19">
        <v>0</v>
      </c>
      <c r="AI51" s="20">
        <v>110</v>
      </c>
      <c r="AJ51" s="20" t="s">
        <v>276</v>
      </c>
      <c r="AK51" s="20" t="s">
        <v>276</v>
      </c>
      <c r="AL51" s="20" t="s">
        <v>276</v>
      </c>
      <c r="AM51" s="20" t="s">
        <v>276</v>
      </c>
      <c r="AN51" s="20" t="s">
        <v>276</v>
      </c>
      <c r="AO51" s="20" t="s">
        <v>276</v>
      </c>
      <c r="AP51" s="20" t="s">
        <v>276</v>
      </c>
      <c r="AQ51" s="20" t="s">
        <v>276</v>
      </c>
      <c r="AR51" s="19">
        <v>33</v>
      </c>
      <c r="AS51" s="19">
        <v>2518</v>
      </c>
      <c r="AT51" s="19">
        <v>56162</v>
      </c>
      <c r="AU51" s="19">
        <v>4726</v>
      </c>
      <c r="AV51" s="19">
        <v>40</v>
      </c>
      <c r="AW51" s="19">
        <v>2198</v>
      </c>
      <c r="AX51" s="19">
        <v>8723</v>
      </c>
      <c r="AY51" s="19">
        <v>9541</v>
      </c>
      <c r="AZ51" s="19">
        <v>5441</v>
      </c>
      <c r="BA51" s="19">
        <v>5</v>
      </c>
      <c r="BB51" s="19">
        <v>29</v>
      </c>
      <c r="BC51" s="19">
        <v>36</v>
      </c>
      <c r="BD51" s="19">
        <v>325</v>
      </c>
      <c r="BE51" s="19">
        <v>5809</v>
      </c>
      <c r="BF51" s="19">
        <v>73</v>
      </c>
      <c r="BG51" s="19">
        <v>9764</v>
      </c>
      <c r="BH51" s="19">
        <v>0</v>
      </c>
      <c r="BI51" s="19">
        <v>0</v>
      </c>
      <c r="BJ51" s="19">
        <v>4509</v>
      </c>
      <c r="BK51" s="19">
        <v>0</v>
      </c>
      <c r="BL51" s="19">
        <v>855</v>
      </c>
      <c r="BM51" s="19">
        <v>7</v>
      </c>
      <c r="BN51" s="19">
        <v>4081</v>
      </c>
      <c r="BO51" s="19">
        <v>87</v>
      </c>
      <c r="BP51" s="19">
        <v>38</v>
      </c>
      <c r="BQ51" s="19">
        <v>0</v>
      </c>
      <c r="BR51" s="19">
        <v>0</v>
      </c>
      <c r="BS51" s="19">
        <v>29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20" t="s">
        <v>276</v>
      </c>
      <c r="CA51" s="20" t="s">
        <v>276</v>
      </c>
      <c r="CB51" s="20" t="s">
        <v>276</v>
      </c>
      <c r="CC51" s="20" t="s">
        <v>276</v>
      </c>
      <c r="CD51" s="20" t="s">
        <v>276</v>
      </c>
      <c r="CE51" s="20" t="s">
        <v>276</v>
      </c>
      <c r="CF51" s="20" t="s">
        <v>276</v>
      </c>
      <c r="CG51" s="20" t="s">
        <v>276</v>
      </c>
      <c r="CH51" s="19">
        <v>0</v>
      </c>
      <c r="CI51" s="19">
        <v>20</v>
      </c>
      <c r="CJ51" s="28">
        <v>32</v>
      </c>
    </row>
    <row r="52" spans="1:88" ht="13.5" customHeight="1">
      <c r="A52" s="17" t="s">
        <v>152</v>
      </c>
      <c r="B52" s="18" t="s">
        <v>153</v>
      </c>
      <c r="C52" s="17" t="s">
        <v>59</v>
      </c>
      <c r="D52" s="19">
        <v>8156990.6924210778</v>
      </c>
      <c r="E52" s="19">
        <v>2978122.0260000001</v>
      </c>
      <c r="F52" s="19">
        <v>12069.956</v>
      </c>
      <c r="G52" s="19">
        <v>119470.417</v>
      </c>
      <c r="H52" s="19">
        <v>857724.84992488113</v>
      </c>
      <c r="I52" s="19">
        <v>689394.18001100002</v>
      </c>
      <c r="J52" s="19">
        <v>333771.16068798373</v>
      </c>
      <c r="K52" s="19">
        <v>4114.2250000000004</v>
      </c>
      <c r="L52" s="19">
        <v>696137.07332437206</v>
      </c>
      <c r="M52" s="19">
        <v>44574</v>
      </c>
      <c r="N52" s="19">
        <v>193830.27100000001</v>
      </c>
      <c r="O52" s="19">
        <v>119990</v>
      </c>
      <c r="P52" s="19">
        <v>5349</v>
      </c>
      <c r="Q52" s="19">
        <v>518746.93362284038</v>
      </c>
      <c r="R52" s="19">
        <v>249052</v>
      </c>
      <c r="S52" s="19">
        <v>53519</v>
      </c>
      <c r="T52" s="19">
        <v>478815</v>
      </c>
      <c r="U52" s="19">
        <v>15100</v>
      </c>
      <c r="V52" s="19">
        <v>43428</v>
      </c>
      <c r="W52" s="19">
        <v>3963</v>
      </c>
      <c r="X52" s="19">
        <v>739819.59985</v>
      </c>
      <c r="Y52" s="19">
        <v>1890891.5734883</v>
      </c>
      <c r="Z52" s="19">
        <v>1141825.8199999998</v>
      </c>
      <c r="AA52" s="19">
        <v>5224</v>
      </c>
      <c r="AB52" s="19">
        <v>45962.417000000001</v>
      </c>
      <c r="AC52" s="19">
        <v>104420.1059448</v>
      </c>
      <c r="AD52" s="19">
        <v>168391.34461100001</v>
      </c>
      <c r="AE52" s="19">
        <v>74504.076082500003</v>
      </c>
      <c r="AF52" s="19">
        <v>549</v>
      </c>
      <c r="AG52" s="19">
        <v>74418</v>
      </c>
      <c r="AH52" s="19">
        <v>5676</v>
      </c>
      <c r="AI52" s="20">
        <v>94598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19">
        <v>2251</v>
      </c>
      <c r="AS52" s="19">
        <v>173071.80984999999</v>
      </c>
      <c r="AT52" s="19">
        <v>4673274.426532777</v>
      </c>
      <c r="AU52" s="19">
        <v>418878</v>
      </c>
      <c r="AV52" s="19">
        <v>2677.16</v>
      </c>
      <c r="AW52" s="19">
        <v>40754</v>
      </c>
      <c r="AX52" s="19">
        <v>714934.64998008113</v>
      </c>
      <c r="AY52" s="19">
        <v>502636.51</v>
      </c>
      <c r="AZ52" s="19">
        <v>254967.08460548372</v>
      </c>
      <c r="BA52" s="19">
        <v>3477.2249999999999</v>
      </c>
      <c r="BB52" s="19">
        <v>620803.07332437206</v>
      </c>
      <c r="BC52" s="19">
        <v>38757</v>
      </c>
      <c r="BD52" s="19">
        <v>38521</v>
      </c>
      <c r="BE52" s="19">
        <v>119990</v>
      </c>
      <c r="BF52" s="19">
        <v>5349</v>
      </c>
      <c r="BG52" s="19">
        <v>518746.93362284038</v>
      </c>
      <c r="BH52" s="19">
        <v>249052</v>
      </c>
      <c r="BI52" s="19">
        <v>53519</v>
      </c>
      <c r="BJ52" s="19">
        <v>478815</v>
      </c>
      <c r="BK52" s="19">
        <v>15100</v>
      </c>
      <c r="BL52" s="19">
        <v>43428</v>
      </c>
      <c r="BM52" s="19">
        <v>1304</v>
      </c>
      <c r="BN52" s="19">
        <v>551564.79</v>
      </c>
      <c r="BO52" s="19">
        <v>1592824.6924000001</v>
      </c>
      <c r="BP52" s="19">
        <v>1417418.206</v>
      </c>
      <c r="BQ52" s="19">
        <v>4168.7960000000003</v>
      </c>
      <c r="BR52" s="19">
        <v>32754</v>
      </c>
      <c r="BS52" s="19">
        <v>38370.093999999997</v>
      </c>
      <c r="BT52" s="19">
        <v>18366.325400000002</v>
      </c>
      <c r="BU52" s="19">
        <v>4300</v>
      </c>
      <c r="BV52" s="19">
        <v>88</v>
      </c>
      <c r="BW52" s="19">
        <v>916</v>
      </c>
      <c r="BX52" s="19">
        <v>141</v>
      </c>
      <c r="BY52" s="19">
        <v>60711.271000000001</v>
      </c>
      <c r="BZ52" s="20">
        <v>0</v>
      </c>
      <c r="CA52" s="20">
        <v>0</v>
      </c>
      <c r="CB52" s="20">
        <v>0</v>
      </c>
      <c r="CC52" s="20">
        <v>0</v>
      </c>
      <c r="CD52" s="20">
        <v>0</v>
      </c>
      <c r="CE52" s="20">
        <v>0</v>
      </c>
      <c r="CF52" s="20">
        <v>0</v>
      </c>
      <c r="CG52" s="20">
        <v>0</v>
      </c>
      <c r="CH52" s="19">
        <v>408</v>
      </c>
      <c r="CI52" s="19">
        <v>15183</v>
      </c>
      <c r="CJ52" s="28">
        <v>1443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48" orientation="landscape" r:id="rId1"/>
  <headerFooter alignWithMargins="0">
    <oddHeader>&amp;Lごみ資源化の状況（令和2年度実績）</oddHeader>
  </headerFooter>
  <colBreaks count="3" manualBreakCount="3">
    <brk id="24" min="1" max="23" man="1"/>
    <brk id="45" min="1" max="23" man="1"/>
    <brk id="66" min="1" max="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O53"/>
  <sheetViews>
    <sheetView zoomScaleNormal="100" workbookViewId="0">
      <pane xSplit="3" ySplit="5" topLeftCell="D6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/>
  <cols>
    <col min="1" max="1" width="10.75" style="10" customWidth="1"/>
    <col min="2" max="2" width="8.75" style="13" customWidth="1"/>
    <col min="3" max="3" width="12.625" style="10" customWidth="1"/>
    <col min="4" max="35" width="10.625" style="14" customWidth="1"/>
    <col min="36" max="37" width="10.625" style="15" customWidth="1"/>
    <col min="38" max="38" width="10.625" style="14" customWidth="1"/>
    <col min="39" max="40" width="10.625" style="15" customWidth="1"/>
    <col min="41" max="41" width="10.625" style="14" customWidth="1"/>
    <col min="42" max="42" width="10.625" style="15" customWidth="1"/>
    <col min="43" max="43" width="10.625" style="14" customWidth="1"/>
    <col min="44" max="44" width="10.625" style="15" customWidth="1"/>
    <col min="45" max="58" width="10.625" style="14" customWidth="1"/>
    <col min="59" max="65" width="10.625" style="15" customWidth="1"/>
    <col min="66" max="79" width="10.625" style="14" customWidth="1"/>
    <col min="80" max="86" width="10.625" style="15" customWidth="1"/>
    <col min="87" max="100" width="10.625" style="14" customWidth="1"/>
    <col min="101" max="107" width="10.625" style="15" customWidth="1"/>
    <col min="108" max="121" width="10.625" style="14" customWidth="1"/>
    <col min="122" max="123" width="10.625" style="15" customWidth="1"/>
    <col min="124" max="124" width="10.625" style="14" customWidth="1"/>
    <col min="125" max="128" width="10.625" style="15" customWidth="1"/>
    <col min="129" max="140" width="10.625" style="14" customWidth="1"/>
    <col min="141" max="143" width="10.625" style="15" customWidth="1"/>
    <col min="144" max="145" width="10.625" style="14" customWidth="1"/>
    <col min="146" max="148" width="10.625" style="15" customWidth="1"/>
    <col min="149" max="163" width="10.625" style="14" customWidth="1"/>
    <col min="164" max="166" width="10.625" style="15" customWidth="1"/>
    <col min="167" max="171" width="10.625" style="14" customWidth="1"/>
    <col min="172" max="16384" width="9" style="10"/>
  </cols>
  <sheetData>
    <row r="1" spans="1:171" s="3" customFormat="1" ht="17.25">
      <c r="A1" s="1" t="s">
        <v>277</v>
      </c>
      <c r="B1" s="2"/>
      <c r="C1" s="2"/>
      <c r="E1" s="4"/>
      <c r="Z1" s="4"/>
      <c r="AJ1" s="5"/>
      <c r="AK1" s="5"/>
      <c r="AM1" s="5"/>
      <c r="AN1" s="5"/>
      <c r="AP1" s="5"/>
      <c r="AR1" s="5"/>
      <c r="AU1" s="4"/>
      <c r="BG1" s="5"/>
      <c r="BH1" s="5"/>
      <c r="BI1" s="5"/>
      <c r="BJ1" s="5"/>
      <c r="BK1" s="5"/>
      <c r="BL1" s="5"/>
      <c r="BM1" s="5"/>
      <c r="BP1" s="4"/>
      <c r="CB1" s="5"/>
      <c r="CC1" s="5"/>
      <c r="CD1" s="5"/>
      <c r="CE1" s="5"/>
      <c r="CF1" s="5"/>
      <c r="CG1" s="5"/>
      <c r="CH1" s="5"/>
      <c r="CK1" s="4"/>
      <c r="CW1" s="5"/>
      <c r="CX1" s="5"/>
      <c r="CY1" s="5"/>
      <c r="CZ1" s="5"/>
      <c r="DA1" s="5"/>
      <c r="DB1" s="5"/>
      <c r="DC1" s="5"/>
      <c r="DF1" s="4"/>
      <c r="DR1" s="5"/>
      <c r="DS1" s="5"/>
      <c r="DU1" s="5"/>
      <c r="DV1" s="5"/>
      <c r="DW1" s="5"/>
      <c r="DX1" s="5"/>
      <c r="EA1" s="4"/>
      <c r="EK1" s="5"/>
      <c r="EL1" s="5"/>
      <c r="EM1" s="5"/>
      <c r="EP1" s="5"/>
      <c r="EQ1" s="5"/>
      <c r="ER1" s="5"/>
      <c r="EV1" s="4"/>
      <c r="FH1" s="5"/>
      <c r="FI1" s="5"/>
      <c r="FJ1" s="5"/>
    </row>
    <row r="2" spans="1:171" s="29" customFormat="1" ht="25.5" customHeight="1">
      <c r="A2" s="7" t="s">
        <v>278</v>
      </c>
      <c r="B2" s="7" t="s">
        <v>279</v>
      </c>
      <c r="C2" s="8" t="s">
        <v>280</v>
      </c>
      <c r="D2" s="26" t="s">
        <v>254</v>
      </c>
      <c r="E2" s="26" t="s">
        <v>254</v>
      </c>
      <c r="F2" s="26" t="s">
        <v>281</v>
      </c>
      <c r="G2" s="26" t="s">
        <v>254</v>
      </c>
      <c r="H2" s="26" t="s">
        <v>254</v>
      </c>
      <c r="I2" s="26" t="s">
        <v>254</v>
      </c>
      <c r="J2" s="26" t="s">
        <v>254</v>
      </c>
      <c r="K2" s="26" t="s">
        <v>254</v>
      </c>
      <c r="L2" s="26" t="s">
        <v>254</v>
      </c>
      <c r="M2" s="26" t="s">
        <v>254</v>
      </c>
      <c r="N2" s="26" t="s">
        <v>254</v>
      </c>
      <c r="O2" s="26" t="s">
        <v>254</v>
      </c>
      <c r="P2" s="26" t="s">
        <v>254</v>
      </c>
      <c r="Q2" s="26" t="s">
        <v>254</v>
      </c>
      <c r="R2" s="26" t="s">
        <v>254</v>
      </c>
      <c r="S2" s="26" t="s">
        <v>254</v>
      </c>
      <c r="T2" s="26" t="s">
        <v>254</v>
      </c>
      <c r="U2" s="26" t="s">
        <v>254</v>
      </c>
      <c r="V2" s="26" t="s">
        <v>254</v>
      </c>
      <c r="W2" s="26" t="s">
        <v>254</v>
      </c>
      <c r="X2" s="26" t="s">
        <v>254</v>
      </c>
      <c r="Y2" s="26" t="s">
        <v>254</v>
      </c>
      <c r="Z2" s="26" t="s">
        <v>254</v>
      </c>
      <c r="AA2" s="26" t="s">
        <v>254</v>
      </c>
      <c r="AB2" s="26" t="s">
        <v>254</v>
      </c>
      <c r="AC2" s="26" t="s">
        <v>254</v>
      </c>
      <c r="AD2" s="26" t="s">
        <v>254</v>
      </c>
      <c r="AE2" s="26" t="s">
        <v>254</v>
      </c>
      <c r="AF2" s="26" t="s">
        <v>254</v>
      </c>
      <c r="AG2" s="26" t="s">
        <v>254</v>
      </c>
      <c r="AH2" s="26" t="s">
        <v>254</v>
      </c>
      <c r="AI2" s="26" t="s">
        <v>254</v>
      </c>
      <c r="AJ2" s="26" t="s">
        <v>254</v>
      </c>
      <c r="AK2" s="26" t="s">
        <v>254</v>
      </c>
      <c r="AL2" s="26" t="s">
        <v>254</v>
      </c>
      <c r="AM2" s="26" t="s">
        <v>254</v>
      </c>
      <c r="AN2" s="26" t="s">
        <v>254</v>
      </c>
      <c r="AO2" s="26" t="s">
        <v>254</v>
      </c>
      <c r="AP2" s="26" t="s">
        <v>254</v>
      </c>
      <c r="AQ2" s="26" t="s">
        <v>254</v>
      </c>
      <c r="AR2" s="26" t="s">
        <v>254</v>
      </c>
      <c r="AS2" s="26" t="s">
        <v>254</v>
      </c>
      <c r="AT2" s="26" t="s">
        <v>254</v>
      </c>
      <c r="AU2" s="26" t="s">
        <v>254</v>
      </c>
      <c r="AV2" s="26" t="s">
        <v>254</v>
      </c>
      <c r="AW2" s="26" t="s">
        <v>254</v>
      </c>
      <c r="AX2" s="26" t="s">
        <v>254</v>
      </c>
      <c r="AY2" s="26" t="s">
        <v>254</v>
      </c>
      <c r="AZ2" s="26" t="s">
        <v>254</v>
      </c>
      <c r="BA2" s="26" t="s">
        <v>254</v>
      </c>
      <c r="BB2" s="26" t="s">
        <v>254</v>
      </c>
      <c r="BC2" s="26" t="s">
        <v>254</v>
      </c>
      <c r="BD2" s="26" t="s">
        <v>254</v>
      </c>
      <c r="BE2" s="26" t="s">
        <v>254</v>
      </c>
      <c r="BF2" s="26" t="s">
        <v>254</v>
      </c>
      <c r="BG2" s="26" t="s">
        <v>254</v>
      </c>
      <c r="BH2" s="26" t="s">
        <v>254</v>
      </c>
      <c r="BI2" s="26" t="s">
        <v>254</v>
      </c>
      <c r="BJ2" s="26" t="s">
        <v>254</v>
      </c>
      <c r="BK2" s="26" t="s">
        <v>254</v>
      </c>
      <c r="BL2" s="26" t="s">
        <v>254</v>
      </c>
      <c r="BM2" s="26" t="s">
        <v>254</v>
      </c>
      <c r="BN2" s="26" t="s">
        <v>254</v>
      </c>
      <c r="BO2" s="26" t="s">
        <v>254</v>
      </c>
      <c r="BP2" s="26" t="s">
        <v>254</v>
      </c>
      <c r="BQ2" s="26" t="s">
        <v>254</v>
      </c>
      <c r="BR2" s="26" t="s">
        <v>254</v>
      </c>
      <c r="BS2" s="26" t="s">
        <v>254</v>
      </c>
      <c r="BT2" s="26" t="s">
        <v>254</v>
      </c>
      <c r="BU2" s="26" t="s">
        <v>254</v>
      </c>
      <c r="BV2" s="26" t="s">
        <v>254</v>
      </c>
      <c r="BW2" s="26" t="s">
        <v>254</v>
      </c>
      <c r="BX2" s="26" t="s">
        <v>254</v>
      </c>
      <c r="BY2" s="26" t="s">
        <v>254</v>
      </c>
      <c r="BZ2" s="26" t="s">
        <v>254</v>
      </c>
      <c r="CA2" s="26" t="s">
        <v>254</v>
      </c>
      <c r="CB2" s="26" t="s">
        <v>254</v>
      </c>
      <c r="CC2" s="26" t="s">
        <v>254</v>
      </c>
      <c r="CD2" s="26" t="s">
        <v>254</v>
      </c>
      <c r="CE2" s="26" t="s">
        <v>254</v>
      </c>
      <c r="CF2" s="26" t="s">
        <v>254</v>
      </c>
      <c r="CG2" s="26" t="s">
        <v>254</v>
      </c>
      <c r="CH2" s="26" t="s">
        <v>254</v>
      </c>
      <c r="CI2" s="26" t="s">
        <v>254</v>
      </c>
      <c r="CJ2" s="26" t="s">
        <v>254</v>
      </c>
      <c r="CK2" s="26" t="s">
        <v>254</v>
      </c>
      <c r="CL2" s="26" t="s">
        <v>254</v>
      </c>
      <c r="CM2" s="26" t="s">
        <v>254</v>
      </c>
      <c r="CN2" s="26" t="s">
        <v>254</v>
      </c>
      <c r="CO2" s="26" t="s">
        <v>254</v>
      </c>
      <c r="CP2" s="26" t="s">
        <v>254</v>
      </c>
      <c r="CQ2" s="26" t="s">
        <v>254</v>
      </c>
      <c r="CR2" s="26" t="s">
        <v>254</v>
      </c>
      <c r="CS2" s="26" t="s">
        <v>254</v>
      </c>
      <c r="CT2" s="26" t="s">
        <v>254</v>
      </c>
      <c r="CU2" s="26" t="s">
        <v>254</v>
      </c>
      <c r="CV2" s="26" t="s">
        <v>254</v>
      </c>
      <c r="CW2" s="26" t="s">
        <v>254</v>
      </c>
      <c r="CX2" s="26" t="s">
        <v>254</v>
      </c>
      <c r="CY2" s="26" t="s">
        <v>254</v>
      </c>
      <c r="CZ2" s="26" t="s">
        <v>254</v>
      </c>
      <c r="DA2" s="26" t="s">
        <v>254</v>
      </c>
      <c r="DB2" s="26" t="s">
        <v>254</v>
      </c>
      <c r="DC2" s="26" t="s">
        <v>254</v>
      </c>
      <c r="DD2" s="26" t="s">
        <v>254</v>
      </c>
      <c r="DE2" s="26" t="s">
        <v>254</v>
      </c>
      <c r="DF2" s="26" t="s">
        <v>254</v>
      </c>
      <c r="DG2" s="26" t="s">
        <v>254</v>
      </c>
      <c r="DH2" s="26" t="s">
        <v>254</v>
      </c>
      <c r="DI2" s="26" t="s">
        <v>254</v>
      </c>
      <c r="DJ2" s="26" t="s">
        <v>254</v>
      </c>
      <c r="DK2" s="26" t="s">
        <v>254</v>
      </c>
      <c r="DL2" s="26" t="s">
        <v>254</v>
      </c>
      <c r="DM2" s="26" t="s">
        <v>254</v>
      </c>
      <c r="DN2" s="26" t="s">
        <v>254</v>
      </c>
      <c r="DO2" s="26" t="s">
        <v>254</v>
      </c>
      <c r="DP2" s="26" t="s">
        <v>254</v>
      </c>
      <c r="DQ2" s="26" t="s">
        <v>254</v>
      </c>
      <c r="DR2" s="26" t="s">
        <v>254</v>
      </c>
      <c r="DS2" s="26" t="s">
        <v>254</v>
      </c>
      <c r="DT2" s="26" t="s">
        <v>254</v>
      </c>
      <c r="DU2" s="26" t="s">
        <v>254</v>
      </c>
      <c r="DV2" s="26" t="s">
        <v>254</v>
      </c>
      <c r="DW2" s="26" t="s">
        <v>254</v>
      </c>
      <c r="DX2" s="26" t="s">
        <v>254</v>
      </c>
      <c r="DY2" s="26" t="s">
        <v>254</v>
      </c>
      <c r="DZ2" s="26" t="s">
        <v>254</v>
      </c>
      <c r="EA2" s="26" t="s">
        <v>254</v>
      </c>
      <c r="EB2" s="26" t="s">
        <v>254</v>
      </c>
      <c r="EC2" s="26" t="s">
        <v>254</v>
      </c>
      <c r="ED2" s="26" t="s">
        <v>254</v>
      </c>
      <c r="EE2" s="26" t="s">
        <v>254</v>
      </c>
      <c r="EF2" s="26" t="s">
        <v>254</v>
      </c>
      <c r="EG2" s="26" t="s">
        <v>254</v>
      </c>
      <c r="EH2" s="26" t="s">
        <v>254</v>
      </c>
      <c r="EI2" s="26" t="s">
        <v>254</v>
      </c>
      <c r="EJ2" s="26" t="s">
        <v>254</v>
      </c>
      <c r="EK2" s="26" t="s">
        <v>254</v>
      </c>
      <c r="EL2" s="26" t="s">
        <v>254</v>
      </c>
      <c r="EM2" s="26" t="s">
        <v>254</v>
      </c>
      <c r="EN2" s="26" t="s">
        <v>254</v>
      </c>
      <c r="EO2" s="26" t="s">
        <v>254</v>
      </c>
      <c r="EP2" s="26" t="s">
        <v>254</v>
      </c>
      <c r="EQ2" s="26" t="s">
        <v>254</v>
      </c>
      <c r="ER2" s="26" t="s">
        <v>254</v>
      </c>
      <c r="ES2" s="26" t="s">
        <v>254</v>
      </c>
      <c r="ET2" s="26" t="s">
        <v>254</v>
      </c>
      <c r="EU2" s="26" t="s">
        <v>254</v>
      </c>
      <c r="EV2" s="26" t="s">
        <v>254</v>
      </c>
      <c r="EW2" s="26" t="s">
        <v>254</v>
      </c>
      <c r="EX2" s="26" t="s">
        <v>254</v>
      </c>
      <c r="EY2" s="26" t="s">
        <v>254</v>
      </c>
      <c r="EZ2" s="26" t="s">
        <v>254</v>
      </c>
      <c r="FA2" s="26" t="s">
        <v>254</v>
      </c>
      <c r="FB2" s="26" t="s">
        <v>254</v>
      </c>
      <c r="FC2" s="26" t="s">
        <v>254</v>
      </c>
      <c r="FD2" s="26" t="s">
        <v>254</v>
      </c>
      <c r="FE2" s="26" t="s">
        <v>254</v>
      </c>
      <c r="FF2" s="26" t="s">
        <v>254</v>
      </c>
      <c r="FG2" s="26" t="s">
        <v>254</v>
      </c>
      <c r="FH2" s="26" t="s">
        <v>254</v>
      </c>
      <c r="FI2" s="26" t="s">
        <v>254</v>
      </c>
      <c r="FJ2" s="26" t="s">
        <v>254</v>
      </c>
      <c r="FK2" s="26" t="s">
        <v>254</v>
      </c>
      <c r="FL2" s="26" t="s">
        <v>254</v>
      </c>
      <c r="FM2" s="26" t="s">
        <v>254</v>
      </c>
      <c r="FN2" s="26" t="s">
        <v>254</v>
      </c>
      <c r="FO2" s="26" t="s">
        <v>254</v>
      </c>
    </row>
    <row r="3" spans="1:171" s="29" customFormat="1" ht="25.5" customHeight="1">
      <c r="A3" s="7"/>
      <c r="B3" s="7"/>
      <c r="C3" s="8"/>
      <c r="D3" s="30" t="s">
        <v>282</v>
      </c>
      <c r="E3" s="31" t="s">
        <v>283</v>
      </c>
      <c r="F3" s="31" t="s">
        <v>284</v>
      </c>
      <c r="G3" s="31" t="s">
        <v>285</v>
      </c>
      <c r="H3" s="31" t="s">
        <v>286</v>
      </c>
      <c r="I3" s="31" t="s">
        <v>287</v>
      </c>
      <c r="J3" s="32" t="s">
        <v>288</v>
      </c>
      <c r="K3" s="31" t="s">
        <v>289</v>
      </c>
      <c r="L3" s="32" t="s">
        <v>290</v>
      </c>
      <c r="M3" s="32" t="s">
        <v>291</v>
      </c>
      <c r="N3" s="31" t="s">
        <v>292</v>
      </c>
      <c r="O3" s="31" t="s">
        <v>293</v>
      </c>
      <c r="P3" s="31" t="s">
        <v>294</v>
      </c>
      <c r="Q3" s="31" t="s">
        <v>295</v>
      </c>
      <c r="R3" s="7" t="s">
        <v>296</v>
      </c>
      <c r="S3" s="8" t="s">
        <v>297</v>
      </c>
      <c r="T3" s="31" t="s">
        <v>298</v>
      </c>
      <c r="U3" s="32" t="s">
        <v>299</v>
      </c>
      <c r="V3" s="32" t="s">
        <v>300</v>
      </c>
      <c r="W3" s="32" t="s">
        <v>301</v>
      </c>
      <c r="X3" s="32" t="s">
        <v>302</v>
      </c>
      <c r="Y3" s="33" t="s">
        <v>303</v>
      </c>
      <c r="Z3" s="33" t="s">
        <v>303</v>
      </c>
      <c r="AA3" s="33" t="s">
        <v>303</v>
      </c>
      <c r="AB3" s="33" t="s">
        <v>303</v>
      </c>
      <c r="AC3" s="33" t="s">
        <v>303</v>
      </c>
      <c r="AD3" s="33" t="s">
        <v>303</v>
      </c>
      <c r="AE3" s="33" t="s">
        <v>303</v>
      </c>
      <c r="AF3" s="33" t="s">
        <v>303</v>
      </c>
      <c r="AG3" s="33" t="s">
        <v>303</v>
      </c>
      <c r="AH3" s="33" t="s">
        <v>303</v>
      </c>
      <c r="AI3" s="33" t="s">
        <v>303</v>
      </c>
      <c r="AJ3" s="33" t="s">
        <v>303</v>
      </c>
      <c r="AK3" s="33" t="s">
        <v>303</v>
      </c>
      <c r="AL3" s="33" t="s">
        <v>303</v>
      </c>
      <c r="AM3" s="33" t="s">
        <v>303</v>
      </c>
      <c r="AN3" s="33" t="s">
        <v>303</v>
      </c>
      <c r="AO3" s="33" t="s">
        <v>303</v>
      </c>
      <c r="AP3" s="33" t="s">
        <v>303</v>
      </c>
      <c r="AQ3" s="33" t="s">
        <v>303</v>
      </c>
      <c r="AR3" s="33" t="s">
        <v>303</v>
      </c>
      <c r="AS3" s="33" t="s">
        <v>303</v>
      </c>
      <c r="AT3" s="33" t="s">
        <v>304</v>
      </c>
      <c r="AU3" s="33" t="s">
        <v>304</v>
      </c>
      <c r="AV3" s="33" t="s">
        <v>304</v>
      </c>
      <c r="AW3" s="33" t="s">
        <v>304</v>
      </c>
      <c r="AX3" s="33" t="s">
        <v>304</v>
      </c>
      <c r="AY3" s="33" t="s">
        <v>304</v>
      </c>
      <c r="AZ3" s="33" t="s">
        <v>304</v>
      </c>
      <c r="BA3" s="33" t="s">
        <v>304</v>
      </c>
      <c r="BB3" s="33" t="s">
        <v>304</v>
      </c>
      <c r="BC3" s="33" t="s">
        <v>304</v>
      </c>
      <c r="BD3" s="33" t="s">
        <v>304</v>
      </c>
      <c r="BE3" s="33" t="s">
        <v>304</v>
      </c>
      <c r="BF3" s="33" t="s">
        <v>304</v>
      </c>
      <c r="BG3" s="33" t="s">
        <v>304</v>
      </c>
      <c r="BH3" s="33" t="s">
        <v>304</v>
      </c>
      <c r="BI3" s="33" t="s">
        <v>304</v>
      </c>
      <c r="BJ3" s="33" t="s">
        <v>304</v>
      </c>
      <c r="BK3" s="33" t="s">
        <v>304</v>
      </c>
      <c r="BL3" s="33" t="s">
        <v>304</v>
      </c>
      <c r="BM3" s="33" t="s">
        <v>304</v>
      </c>
      <c r="BN3" s="33" t="s">
        <v>304</v>
      </c>
      <c r="BO3" s="33" t="s">
        <v>305</v>
      </c>
      <c r="BP3" s="33" t="s">
        <v>305</v>
      </c>
      <c r="BQ3" s="33" t="s">
        <v>305</v>
      </c>
      <c r="BR3" s="33" t="s">
        <v>305</v>
      </c>
      <c r="BS3" s="33" t="s">
        <v>305</v>
      </c>
      <c r="BT3" s="33" t="s">
        <v>305</v>
      </c>
      <c r="BU3" s="33" t="s">
        <v>305</v>
      </c>
      <c r="BV3" s="33" t="s">
        <v>305</v>
      </c>
      <c r="BW3" s="33" t="s">
        <v>305</v>
      </c>
      <c r="BX3" s="33" t="s">
        <v>305</v>
      </c>
      <c r="BY3" s="33" t="s">
        <v>305</v>
      </c>
      <c r="BZ3" s="33" t="s">
        <v>305</v>
      </c>
      <c r="CA3" s="33" t="s">
        <v>305</v>
      </c>
      <c r="CB3" s="33" t="s">
        <v>305</v>
      </c>
      <c r="CC3" s="33" t="s">
        <v>305</v>
      </c>
      <c r="CD3" s="33" t="s">
        <v>305</v>
      </c>
      <c r="CE3" s="33" t="s">
        <v>305</v>
      </c>
      <c r="CF3" s="33" t="s">
        <v>305</v>
      </c>
      <c r="CG3" s="33" t="s">
        <v>305</v>
      </c>
      <c r="CH3" s="33" t="s">
        <v>305</v>
      </c>
      <c r="CI3" s="33" t="s">
        <v>305</v>
      </c>
      <c r="CJ3" s="33" t="s">
        <v>306</v>
      </c>
      <c r="CK3" s="33" t="s">
        <v>306</v>
      </c>
      <c r="CL3" s="33" t="s">
        <v>306</v>
      </c>
      <c r="CM3" s="33" t="s">
        <v>306</v>
      </c>
      <c r="CN3" s="33" t="s">
        <v>306</v>
      </c>
      <c r="CO3" s="33" t="s">
        <v>306</v>
      </c>
      <c r="CP3" s="33" t="s">
        <v>306</v>
      </c>
      <c r="CQ3" s="33" t="s">
        <v>306</v>
      </c>
      <c r="CR3" s="33" t="s">
        <v>306</v>
      </c>
      <c r="CS3" s="33" t="s">
        <v>306</v>
      </c>
      <c r="CT3" s="33" t="s">
        <v>306</v>
      </c>
      <c r="CU3" s="33" t="s">
        <v>306</v>
      </c>
      <c r="CV3" s="33" t="s">
        <v>306</v>
      </c>
      <c r="CW3" s="33" t="s">
        <v>306</v>
      </c>
      <c r="CX3" s="33" t="s">
        <v>306</v>
      </c>
      <c r="CY3" s="33" t="s">
        <v>306</v>
      </c>
      <c r="CZ3" s="33" t="s">
        <v>306</v>
      </c>
      <c r="DA3" s="33" t="s">
        <v>306</v>
      </c>
      <c r="DB3" s="33" t="s">
        <v>306</v>
      </c>
      <c r="DC3" s="33" t="s">
        <v>306</v>
      </c>
      <c r="DD3" s="33" t="s">
        <v>306</v>
      </c>
      <c r="DE3" s="33" t="s">
        <v>307</v>
      </c>
      <c r="DF3" s="33" t="s">
        <v>307</v>
      </c>
      <c r="DG3" s="33" t="s">
        <v>307</v>
      </c>
      <c r="DH3" s="33" t="s">
        <v>307</v>
      </c>
      <c r="DI3" s="33" t="s">
        <v>307</v>
      </c>
      <c r="DJ3" s="33" t="s">
        <v>307</v>
      </c>
      <c r="DK3" s="33" t="s">
        <v>307</v>
      </c>
      <c r="DL3" s="33" t="s">
        <v>307</v>
      </c>
      <c r="DM3" s="33" t="s">
        <v>307</v>
      </c>
      <c r="DN3" s="33" t="s">
        <v>307</v>
      </c>
      <c r="DO3" s="33" t="s">
        <v>307</v>
      </c>
      <c r="DP3" s="33" t="s">
        <v>307</v>
      </c>
      <c r="DQ3" s="33" t="s">
        <v>307</v>
      </c>
      <c r="DR3" s="33" t="s">
        <v>307</v>
      </c>
      <c r="DS3" s="33" t="s">
        <v>307</v>
      </c>
      <c r="DT3" s="33" t="s">
        <v>307</v>
      </c>
      <c r="DU3" s="33" t="s">
        <v>307</v>
      </c>
      <c r="DV3" s="33" t="s">
        <v>307</v>
      </c>
      <c r="DW3" s="33" t="s">
        <v>307</v>
      </c>
      <c r="DX3" s="33" t="s">
        <v>307</v>
      </c>
      <c r="DY3" s="33" t="s">
        <v>307</v>
      </c>
      <c r="DZ3" s="33" t="s">
        <v>308</v>
      </c>
      <c r="EA3" s="33" t="s">
        <v>308</v>
      </c>
      <c r="EB3" s="33" t="s">
        <v>308</v>
      </c>
      <c r="EC3" s="33" t="s">
        <v>308</v>
      </c>
      <c r="ED3" s="33" t="s">
        <v>308</v>
      </c>
      <c r="EE3" s="33" t="s">
        <v>308</v>
      </c>
      <c r="EF3" s="33" t="s">
        <v>308</v>
      </c>
      <c r="EG3" s="33" t="s">
        <v>308</v>
      </c>
      <c r="EH3" s="33" t="s">
        <v>308</v>
      </c>
      <c r="EI3" s="33" t="s">
        <v>308</v>
      </c>
      <c r="EJ3" s="33" t="s">
        <v>308</v>
      </c>
      <c r="EK3" s="33" t="s">
        <v>308</v>
      </c>
      <c r="EL3" s="33" t="s">
        <v>308</v>
      </c>
      <c r="EM3" s="33" t="s">
        <v>308</v>
      </c>
      <c r="EN3" s="33" t="s">
        <v>308</v>
      </c>
      <c r="EO3" s="33" t="s">
        <v>308</v>
      </c>
      <c r="EP3" s="33" t="s">
        <v>308</v>
      </c>
      <c r="EQ3" s="33" t="s">
        <v>308</v>
      </c>
      <c r="ER3" s="33" t="s">
        <v>308</v>
      </c>
      <c r="ES3" s="33" t="s">
        <v>308</v>
      </c>
      <c r="ET3" s="33" t="s">
        <v>308</v>
      </c>
      <c r="EU3" s="33" t="s">
        <v>309</v>
      </c>
      <c r="EV3" s="33" t="s">
        <v>309</v>
      </c>
      <c r="EW3" s="33" t="s">
        <v>309</v>
      </c>
      <c r="EX3" s="33" t="s">
        <v>309</v>
      </c>
      <c r="EY3" s="33" t="s">
        <v>309</v>
      </c>
      <c r="EZ3" s="33" t="s">
        <v>309</v>
      </c>
      <c r="FA3" s="33" t="s">
        <v>309</v>
      </c>
      <c r="FB3" s="33" t="s">
        <v>309</v>
      </c>
      <c r="FC3" s="33" t="s">
        <v>309</v>
      </c>
      <c r="FD3" s="33" t="s">
        <v>309</v>
      </c>
      <c r="FE3" s="33" t="s">
        <v>309</v>
      </c>
      <c r="FF3" s="33" t="s">
        <v>309</v>
      </c>
      <c r="FG3" s="33" t="s">
        <v>309</v>
      </c>
      <c r="FH3" s="33" t="s">
        <v>309</v>
      </c>
      <c r="FI3" s="33" t="s">
        <v>309</v>
      </c>
      <c r="FJ3" s="33" t="s">
        <v>309</v>
      </c>
      <c r="FK3" s="33" t="s">
        <v>309</v>
      </c>
      <c r="FL3" s="33" t="s">
        <v>309</v>
      </c>
      <c r="FM3" s="33" t="s">
        <v>309</v>
      </c>
      <c r="FN3" s="33" t="s">
        <v>309</v>
      </c>
      <c r="FO3" s="33" t="s">
        <v>309</v>
      </c>
    </row>
    <row r="4" spans="1:171" s="29" customFormat="1" ht="25.5" customHeight="1">
      <c r="A4" s="7"/>
      <c r="B4" s="7"/>
      <c r="C4" s="8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8"/>
      <c r="S4" s="8"/>
      <c r="T4" s="31"/>
      <c r="U4" s="32"/>
      <c r="V4" s="32"/>
      <c r="W4" s="32"/>
      <c r="X4" s="32"/>
      <c r="Y4" s="30" t="s">
        <v>282</v>
      </c>
      <c r="Z4" s="31" t="s">
        <v>283</v>
      </c>
      <c r="AA4" s="31" t="s">
        <v>284</v>
      </c>
      <c r="AB4" s="31" t="s">
        <v>285</v>
      </c>
      <c r="AC4" s="31" t="s">
        <v>286</v>
      </c>
      <c r="AD4" s="31" t="s">
        <v>287</v>
      </c>
      <c r="AE4" s="32" t="s">
        <v>288</v>
      </c>
      <c r="AF4" s="31" t="s">
        <v>289</v>
      </c>
      <c r="AG4" s="32" t="s">
        <v>290</v>
      </c>
      <c r="AH4" s="31" t="s">
        <v>310</v>
      </c>
      <c r="AI4" s="31" t="s">
        <v>292</v>
      </c>
      <c r="AJ4" s="31" t="s">
        <v>293</v>
      </c>
      <c r="AK4" s="31" t="s">
        <v>294</v>
      </c>
      <c r="AL4" s="31" t="s">
        <v>295</v>
      </c>
      <c r="AM4" s="32" t="s">
        <v>296</v>
      </c>
      <c r="AN4" s="31" t="s">
        <v>297</v>
      </c>
      <c r="AO4" s="31" t="s">
        <v>298</v>
      </c>
      <c r="AP4" s="32" t="s">
        <v>299</v>
      </c>
      <c r="AQ4" s="32" t="s">
        <v>300</v>
      </c>
      <c r="AR4" s="32" t="s">
        <v>301</v>
      </c>
      <c r="AS4" s="32" t="s">
        <v>302</v>
      </c>
      <c r="AT4" s="30" t="s">
        <v>282</v>
      </c>
      <c r="AU4" s="31" t="s">
        <v>283</v>
      </c>
      <c r="AV4" s="31" t="s">
        <v>284</v>
      </c>
      <c r="AW4" s="31" t="s">
        <v>285</v>
      </c>
      <c r="AX4" s="31" t="s">
        <v>286</v>
      </c>
      <c r="AY4" s="31" t="s">
        <v>287</v>
      </c>
      <c r="AZ4" s="32" t="s">
        <v>288</v>
      </c>
      <c r="BA4" s="31" t="s">
        <v>289</v>
      </c>
      <c r="BB4" s="32" t="s">
        <v>290</v>
      </c>
      <c r="BC4" s="31" t="s">
        <v>310</v>
      </c>
      <c r="BD4" s="31" t="s">
        <v>292</v>
      </c>
      <c r="BE4" s="31" t="s">
        <v>293</v>
      </c>
      <c r="BF4" s="31" t="s">
        <v>294</v>
      </c>
      <c r="BG4" s="31" t="s">
        <v>295</v>
      </c>
      <c r="BH4" s="32" t="s">
        <v>296</v>
      </c>
      <c r="BI4" s="31" t="s">
        <v>297</v>
      </c>
      <c r="BJ4" s="31" t="s">
        <v>298</v>
      </c>
      <c r="BK4" s="32" t="s">
        <v>299</v>
      </c>
      <c r="BL4" s="32" t="s">
        <v>300</v>
      </c>
      <c r="BM4" s="32" t="s">
        <v>301</v>
      </c>
      <c r="BN4" s="32" t="s">
        <v>302</v>
      </c>
      <c r="BO4" s="30" t="s">
        <v>282</v>
      </c>
      <c r="BP4" s="31" t="s">
        <v>283</v>
      </c>
      <c r="BQ4" s="31" t="s">
        <v>284</v>
      </c>
      <c r="BR4" s="31" t="s">
        <v>285</v>
      </c>
      <c r="BS4" s="31" t="s">
        <v>286</v>
      </c>
      <c r="BT4" s="31" t="s">
        <v>287</v>
      </c>
      <c r="BU4" s="32" t="s">
        <v>288</v>
      </c>
      <c r="BV4" s="31" t="s">
        <v>289</v>
      </c>
      <c r="BW4" s="32" t="s">
        <v>290</v>
      </c>
      <c r="BX4" s="31" t="s">
        <v>310</v>
      </c>
      <c r="BY4" s="31" t="s">
        <v>292</v>
      </c>
      <c r="BZ4" s="31" t="s">
        <v>293</v>
      </c>
      <c r="CA4" s="31" t="s">
        <v>294</v>
      </c>
      <c r="CB4" s="31" t="s">
        <v>295</v>
      </c>
      <c r="CC4" s="32" t="s">
        <v>296</v>
      </c>
      <c r="CD4" s="31" t="s">
        <v>297</v>
      </c>
      <c r="CE4" s="31" t="s">
        <v>298</v>
      </c>
      <c r="CF4" s="32" t="s">
        <v>299</v>
      </c>
      <c r="CG4" s="32" t="s">
        <v>300</v>
      </c>
      <c r="CH4" s="32" t="s">
        <v>301</v>
      </c>
      <c r="CI4" s="32" t="s">
        <v>302</v>
      </c>
      <c r="CJ4" s="30" t="s">
        <v>282</v>
      </c>
      <c r="CK4" s="31" t="s">
        <v>283</v>
      </c>
      <c r="CL4" s="31" t="s">
        <v>284</v>
      </c>
      <c r="CM4" s="31" t="s">
        <v>285</v>
      </c>
      <c r="CN4" s="31" t="s">
        <v>286</v>
      </c>
      <c r="CO4" s="31" t="s">
        <v>287</v>
      </c>
      <c r="CP4" s="32" t="s">
        <v>288</v>
      </c>
      <c r="CQ4" s="31" t="s">
        <v>289</v>
      </c>
      <c r="CR4" s="32" t="s">
        <v>290</v>
      </c>
      <c r="CS4" s="31" t="s">
        <v>310</v>
      </c>
      <c r="CT4" s="31" t="s">
        <v>292</v>
      </c>
      <c r="CU4" s="31" t="s">
        <v>293</v>
      </c>
      <c r="CV4" s="31" t="s">
        <v>294</v>
      </c>
      <c r="CW4" s="31" t="s">
        <v>295</v>
      </c>
      <c r="CX4" s="32" t="s">
        <v>296</v>
      </c>
      <c r="CY4" s="31" t="s">
        <v>297</v>
      </c>
      <c r="CZ4" s="31" t="s">
        <v>298</v>
      </c>
      <c r="DA4" s="32" t="s">
        <v>299</v>
      </c>
      <c r="DB4" s="32" t="s">
        <v>300</v>
      </c>
      <c r="DC4" s="32" t="s">
        <v>301</v>
      </c>
      <c r="DD4" s="32" t="s">
        <v>302</v>
      </c>
      <c r="DE4" s="30" t="s">
        <v>282</v>
      </c>
      <c r="DF4" s="31" t="s">
        <v>283</v>
      </c>
      <c r="DG4" s="31" t="s">
        <v>284</v>
      </c>
      <c r="DH4" s="31" t="s">
        <v>285</v>
      </c>
      <c r="DI4" s="31" t="s">
        <v>286</v>
      </c>
      <c r="DJ4" s="31" t="s">
        <v>287</v>
      </c>
      <c r="DK4" s="32" t="s">
        <v>288</v>
      </c>
      <c r="DL4" s="31" t="s">
        <v>289</v>
      </c>
      <c r="DM4" s="32" t="s">
        <v>290</v>
      </c>
      <c r="DN4" s="31" t="s">
        <v>310</v>
      </c>
      <c r="DO4" s="31" t="s">
        <v>292</v>
      </c>
      <c r="DP4" s="31" t="s">
        <v>293</v>
      </c>
      <c r="DQ4" s="31" t="s">
        <v>294</v>
      </c>
      <c r="DR4" s="31" t="s">
        <v>295</v>
      </c>
      <c r="DS4" s="32" t="s">
        <v>296</v>
      </c>
      <c r="DT4" s="31" t="s">
        <v>297</v>
      </c>
      <c r="DU4" s="31" t="s">
        <v>298</v>
      </c>
      <c r="DV4" s="32" t="s">
        <v>299</v>
      </c>
      <c r="DW4" s="32" t="s">
        <v>300</v>
      </c>
      <c r="DX4" s="32" t="s">
        <v>301</v>
      </c>
      <c r="DY4" s="32" t="s">
        <v>302</v>
      </c>
      <c r="DZ4" s="30" t="s">
        <v>282</v>
      </c>
      <c r="EA4" s="31" t="s">
        <v>283</v>
      </c>
      <c r="EB4" s="31" t="s">
        <v>284</v>
      </c>
      <c r="EC4" s="31" t="s">
        <v>285</v>
      </c>
      <c r="ED4" s="31" t="s">
        <v>286</v>
      </c>
      <c r="EE4" s="31" t="s">
        <v>287</v>
      </c>
      <c r="EF4" s="32" t="s">
        <v>288</v>
      </c>
      <c r="EG4" s="31" t="s">
        <v>289</v>
      </c>
      <c r="EH4" s="32" t="s">
        <v>290</v>
      </c>
      <c r="EI4" s="31" t="s">
        <v>310</v>
      </c>
      <c r="EJ4" s="31" t="s">
        <v>292</v>
      </c>
      <c r="EK4" s="31" t="s">
        <v>293</v>
      </c>
      <c r="EL4" s="31" t="s">
        <v>294</v>
      </c>
      <c r="EM4" s="31" t="s">
        <v>295</v>
      </c>
      <c r="EN4" s="32" t="s">
        <v>296</v>
      </c>
      <c r="EO4" s="31" t="s">
        <v>297</v>
      </c>
      <c r="EP4" s="31" t="s">
        <v>298</v>
      </c>
      <c r="EQ4" s="32" t="s">
        <v>299</v>
      </c>
      <c r="ER4" s="32" t="s">
        <v>300</v>
      </c>
      <c r="ES4" s="32" t="s">
        <v>301</v>
      </c>
      <c r="ET4" s="32" t="s">
        <v>302</v>
      </c>
      <c r="EU4" s="30" t="s">
        <v>282</v>
      </c>
      <c r="EV4" s="31" t="s">
        <v>283</v>
      </c>
      <c r="EW4" s="31" t="s">
        <v>284</v>
      </c>
      <c r="EX4" s="31" t="s">
        <v>285</v>
      </c>
      <c r="EY4" s="31" t="s">
        <v>286</v>
      </c>
      <c r="EZ4" s="31" t="s">
        <v>287</v>
      </c>
      <c r="FA4" s="32" t="s">
        <v>288</v>
      </c>
      <c r="FB4" s="31" t="s">
        <v>289</v>
      </c>
      <c r="FC4" s="32" t="s">
        <v>290</v>
      </c>
      <c r="FD4" s="31" t="s">
        <v>310</v>
      </c>
      <c r="FE4" s="31" t="s">
        <v>292</v>
      </c>
      <c r="FF4" s="31" t="s">
        <v>293</v>
      </c>
      <c r="FG4" s="31" t="s">
        <v>294</v>
      </c>
      <c r="FH4" s="31" t="s">
        <v>295</v>
      </c>
      <c r="FI4" s="32" t="s">
        <v>296</v>
      </c>
      <c r="FJ4" s="31" t="s">
        <v>297</v>
      </c>
      <c r="FK4" s="31" t="s">
        <v>298</v>
      </c>
      <c r="FL4" s="32" t="s">
        <v>299</v>
      </c>
      <c r="FM4" s="32" t="s">
        <v>300</v>
      </c>
      <c r="FN4" s="32" t="s">
        <v>301</v>
      </c>
      <c r="FO4" s="32" t="s">
        <v>302</v>
      </c>
    </row>
    <row r="5" spans="1:171" s="35" customFormat="1" ht="13.5" customHeight="1">
      <c r="A5" s="7"/>
      <c r="B5" s="7"/>
      <c r="C5" s="8"/>
      <c r="D5" s="30" t="s">
        <v>311</v>
      </c>
      <c r="E5" s="30" t="s">
        <v>54</v>
      </c>
      <c r="F5" s="30" t="s">
        <v>311</v>
      </c>
      <c r="G5" s="30" t="s">
        <v>311</v>
      </c>
      <c r="H5" s="30" t="s">
        <v>54</v>
      </c>
      <c r="I5" s="30" t="s">
        <v>54</v>
      </c>
      <c r="J5" s="30" t="s">
        <v>311</v>
      </c>
      <c r="K5" s="30" t="s">
        <v>311</v>
      </c>
      <c r="L5" s="34"/>
      <c r="M5" s="30" t="s">
        <v>54</v>
      </c>
      <c r="N5" s="30" t="s">
        <v>54</v>
      </c>
      <c r="O5" s="30" t="s">
        <v>311</v>
      </c>
      <c r="P5" s="30" t="s">
        <v>311</v>
      </c>
      <c r="Q5" s="30" t="s">
        <v>54</v>
      </c>
      <c r="R5" s="30" t="s">
        <v>311</v>
      </c>
      <c r="S5" s="30" t="s">
        <v>54</v>
      </c>
      <c r="T5" s="30" t="s">
        <v>54</v>
      </c>
      <c r="U5" s="30" t="s">
        <v>54</v>
      </c>
      <c r="V5" s="30" t="s">
        <v>54</v>
      </c>
      <c r="W5" s="30" t="s">
        <v>54</v>
      </c>
      <c r="X5" s="30" t="s">
        <v>54</v>
      </c>
      <c r="Y5" s="30" t="s">
        <v>54</v>
      </c>
      <c r="Z5" s="30" t="s">
        <v>54</v>
      </c>
      <c r="AA5" s="30" t="s">
        <v>54</v>
      </c>
      <c r="AB5" s="30" t="s">
        <v>54</v>
      </c>
      <c r="AC5" s="30" t="s">
        <v>54</v>
      </c>
      <c r="AD5" s="30" t="s">
        <v>54</v>
      </c>
      <c r="AE5" s="30" t="s">
        <v>54</v>
      </c>
      <c r="AF5" s="30" t="s">
        <v>54</v>
      </c>
      <c r="AG5" s="30" t="s">
        <v>54</v>
      </c>
      <c r="AH5" s="30" t="s">
        <v>311</v>
      </c>
      <c r="AI5" s="30" t="s">
        <v>54</v>
      </c>
      <c r="AJ5" s="30" t="s">
        <v>311</v>
      </c>
      <c r="AK5" s="30" t="s">
        <v>54</v>
      </c>
      <c r="AL5" s="30" t="s">
        <v>54</v>
      </c>
      <c r="AM5" s="30" t="s">
        <v>54</v>
      </c>
      <c r="AN5" s="30" t="s">
        <v>311</v>
      </c>
      <c r="AO5" s="30" t="s">
        <v>54</v>
      </c>
      <c r="AP5" s="30" t="s">
        <v>54</v>
      </c>
      <c r="AQ5" s="30" t="s">
        <v>54</v>
      </c>
      <c r="AR5" s="30" t="s">
        <v>311</v>
      </c>
      <c r="AS5" s="30" t="s">
        <v>54</v>
      </c>
      <c r="AT5" s="30" t="s">
        <v>54</v>
      </c>
      <c r="AU5" s="30" t="s">
        <v>54</v>
      </c>
      <c r="AV5" s="30" t="s">
        <v>54</v>
      </c>
      <c r="AW5" s="30" t="s">
        <v>54</v>
      </c>
      <c r="AX5" s="30" t="s">
        <v>54</v>
      </c>
      <c r="AY5" s="30" t="s">
        <v>54</v>
      </c>
      <c r="AZ5" s="30" t="s">
        <v>54</v>
      </c>
      <c r="BA5" s="30" t="s">
        <v>54</v>
      </c>
      <c r="BB5" s="30" t="s">
        <v>54</v>
      </c>
      <c r="BC5" s="30" t="s">
        <v>54</v>
      </c>
      <c r="BD5" s="30" t="s">
        <v>54</v>
      </c>
      <c r="BE5" s="30" t="s">
        <v>54</v>
      </c>
      <c r="BF5" s="30" t="s">
        <v>54</v>
      </c>
      <c r="BG5" s="30" t="s">
        <v>54</v>
      </c>
      <c r="BH5" s="30" t="s">
        <v>54</v>
      </c>
      <c r="BI5" s="30" t="s">
        <v>54</v>
      </c>
      <c r="BJ5" s="30" t="s">
        <v>54</v>
      </c>
      <c r="BK5" s="30" t="s">
        <v>54</v>
      </c>
      <c r="BL5" s="30" t="s">
        <v>54</v>
      </c>
      <c r="BM5" s="30" t="s">
        <v>54</v>
      </c>
      <c r="BN5" s="30" t="s">
        <v>54</v>
      </c>
      <c r="BO5" s="30" t="s">
        <v>54</v>
      </c>
      <c r="BP5" s="30" t="s">
        <v>54</v>
      </c>
      <c r="BQ5" s="30" t="s">
        <v>54</v>
      </c>
      <c r="BR5" s="30" t="s">
        <v>54</v>
      </c>
      <c r="BS5" s="30" t="s">
        <v>54</v>
      </c>
      <c r="BT5" s="30" t="s">
        <v>54</v>
      </c>
      <c r="BU5" s="30" t="s">
        <v>54</v>
      </c>
      <c r="BV5" s="30" t="s">
        <v>54</v>
      </c>
      <c r="BW5" s="30" t="s">
        <v>54</v>
      </c>
      <c r="BX5" s="30" t="s">
        <v>54</v>
      </c>
      <c r="BY5" s="30" t="s">
        <v>54</v>
      </c>
      <c r="BZ5" s="30" t="s">
        <v>54</v>
      </c>
      <c r="CA5" s="30" t="s">
        <v>54</v>
      </c>
      <c r="CB5" s="30" t="s">
        <v>54</v>
      </c>
      <c r="CC5" s="30" t="s">
        <v>54</v>
      </c>
      <c r="CD5" s="30" t="s">
        <v>54</v>
      </c>
      <c r="CE5" s="30" t="s">
        <v>54</v>
      </c>
      <c r="CF5" s="30" t="s">
        <v>54</v>
      </c>
      <c r="CG5" s="30" t="s">
        <v>54</v>
      </c>
      <c r="CH5" s="30" t="s">
        <v>54</v>
      </c>
      <c r="CI5" s="30" t="s">
        <v>54</v>
      </c>
      <c r="CJ5" s="30" t="s">
        <v>54</v>
      </c>
      <c r="CK5" s="30" t="s">
        <v>54</v>
      </c>
      <c r="CL5" s="30" t="s">
        <v>54</v>
      </c>
      <c r="CM5" s="30" t="s">
        <v>54</v>
      </c>
      <c r="CN5" s="30" t="s">
        <v>54</v>
      </c>
      <c r="CO5" s="30" t="s">
        <v>54</v>
      </c>
      <c r="CP5" s="30" t="s">
        <v>54</v>
      </c>
      <c r="CQ5" s="30" t="s">
        <v>54</v>
      </c>
      <c r="CR5" s="30" t="s">
        <v>54</v>
      </c>
      <c r="CS5" s="30" t="s">
        <v>54</v>
      </c>
      <c r="CT5" s="30" t="s">
        <v>54</v>
      </c>
      <c r="CU5" s="30" t="s">
        <v>54</v>
      </c>
      <c r="CV5" s="30" t="s">
        <v>54</v>
      </c>
      <c r="CW5" s="30" t="s">
        <v>54</v>
      </c>
      <c r="CX5" s="30" t="s">
        <v>54</v>
      </c>
      <c r="CY5" s="30" t="s">
        <v>54</v>
      </c>
      <c r="CZ5" s="30" t="s">
        <v>54</v>
      </c>
      <c r="DA5" s="30" t="s">
        <v>54</v>
      </c>
      <c r="DB5" s="30" t="s">
        <v>311</v>
      </c>
      <c r="DC5" s="30" t="s">
        <v>54</v>
      </c>
      <c r="DD5" s="30" t="s">
        <v>54</v>
      </c>
      <c r="DE5" s="30" t="s">
        <v>54</v>
      </c>
      <c r="DF5" s="30" t="s">
        <v>54</v>
      </c>
      <c r="DG5" s="30" t="s">
        <v>54</v>
      </c>
      <c r="DH5" s="30" t="s">
        <v>54</v>
      </c>
      <c r="DI5" s="30" t="s">
        <v>54</v>
      </c>
      <c r="DJ5" s="30" t="s">
        <v>54</v>
      </c>
      <c r="DK5" s="30" t="s">
        <v>54</v>
      </c>
      <c r="DL5" s="30" t="s">
        <v>54</v>
      </c>
      <c r="DM5" s="30" t="s">
        <v>54</v>
      </c>
      <c r="DN5" s="30" t="s">
        <v>54</v>
      </c>
      <c r="DO5" s="30" t="s">
        <v>54</v>
      </c>
      <c r="DP5" s="30" t="s">
        <v>54</v>
      </c>
      <c r="DQ5" s="30" t="s">
        <v>54</v>
      </c>
      <c r="DR5" s="30" t="s">
        <v>54</v>
      </c>
      <c r="DS5" s="30" t="s">
        <v>54</v>
      </c>
      <c r="DT5" s="30" t="s">
        <v>54</v>
      </c>
      <c r="DU5" s="30" t="s">
        <v>54</v>
      </c>
      <c r="DV5" s="30" t="s">
        <v>54</v>
      </c>
      <c r="DW5" s="30" t="s">
        <v>54</v>
      </c>
      <c r="DX5" s="30" t="s">
        <v>54</v>
      </c>
      <c r="DY5" s="30" t="s">
        <v>54</v>
      </c>
      <c r="DZ5" s="30" t="s">
        <v>54</v>
      </c>
      <c r="EA5" s="30" t="s">
        <v>54</v>
      </c>
      <c r="EB5" s="30" t="s">
        <v>54</v>
      </c>
      <c r="EC5" s="30" t="s">
        <v>54</v>
      </c>
      <c r="ED5" s="30" t="s">
        <v>54</v>
      </c>
      <c r="EE5" s="30" t="s">
        <v>54</v>
      </c>
      <c r="EF5" s="30" t="s">
        <v>54</v>
      </c>
      <c r="EG5" s="30" t="s">
        <v>54</v>
      </c>
      <c r="EH5" s="30" t="s">
        <v>54</v>
      </c>
      <c r="EI5" s="30" t="s">
        <v>54</v>
      </c>
      <c r="EJ5" s="30" t="s">
        <v>54</v>
      </c>
      <c r="EK5" s="30" t="s">
        <v>54</v>
      </c>
      <c r="EL5" s="30" t="s">
        <v>54</v>
      </c>
      <c r="EM5" s="30" t="s">
        <v>54</v>
      </c>
      <c r="EN5" s="30" t="s">
        <v>54</v>
      </c>
      <c r="EO5" s="30" t="s">
        <v>54</v>
      </c>
      <c r="EP5" s="30" t="s">
        <v>54</v>
      </c>
      <c r="EQ5" s="30" t="s">
        <v>54</v>
      </c>
      <c r="ER5" s="30" t="s">
        <v>54</v>
      </c>
      <c r="ES5" s="30" t="s">
        <v>54</v>
      </c>
      <c r="ET5" s="30" t="s">
        <v>54</v>
      </c>
      <c r="EU5" s="30" t="s">
        <v>54</v>
      </c>
      <c r="EV5" s="30" t="s">
        <v>54</v>
      </c>
      <c r="EW5" s="30" t="s">
        <v>54</v>
      </c>
      <c r="EX5" s="30" t="s">
        <v>54</v>
      </c>
      <c r="EY5" s="30" t="s">
        <v>54</v>
      </c>
      <c r="EZ5" s="30" t="s">
        <v>54</v>
      </c>
      <c r="FA5" s="30" t="s">
        <v>54</v>
      </c>
      <c r="FB5" s="30" t="s">
        <v>54</v>
      </c>
      <c r="FC5" s="30" t="s">
        <v>54</v>
      </c>
      <c r="FD5" s="30" t="s">
        <v>54</v>
      </c>
      <c r="FE5" s="30" t="s">
        <v>54</v>
      </c>
      <c r="FF5" s="30" t="s">
        <v>54</v>
      </c>
      <c r="FG5" s="30" t="s">
        <v>54</v>
      </c>
      <c r="FH5" s="30" t="s">
        <v>54</v>
      </c>
      <c r="FI5" s="30" t="s">
        <v>54</v>
      </c>
      <c r="FJ5" s="30" t="s">
        <v>54</v>
      </c>
      <c r="FK5" s="30" t="s">
        <v>54</v>
      </c>
      <c r="FL5" s="30" t="s">
        <v>54</v>
      </c>
      <c r="FM5" s="30" t="s">
        <v>54</v>
      </c>
      <c r="FN5" s="30" t="s">
        <v>54</v>
      </c>
      <c r="FO5" s="30" t="s">
        <v>54</v>
      </c>
    </row>
    <row r="6" spans="1:171" ht="13.5" customHeight="1">
      <c r="A6" s="17" t="s">
        <v>57</v>
      </c>
      <c r="B6" s="18" t="s">
        <v>58</v>
      </c>
      <c r="C6" s="17" t="s">
        <v>59</v>
      </c>
      <c r="D6" s="19">
        <v>277715</v>
      </c>
      <c r="E6" s="19">
        <v>45687</v>
      </c>
      <c r="F6" s="19">
        <v>436</v>
      </c>
      <c r="G6" s="19">
        <v>7222</v>
      </c>
      <c r="H6" s="19">
        <v>33239</v>
      </c>
      <c r="I6" s="19">
        <v>30259</v>
      </c>
      <c r="J6" s="19">
        <v>21452</v>
      </c>
      <c r="K6" s="19">
        <v>517</v>
      </c>
      <c r="L6" s="19">
        <v>54262</v>
      </c>
      <c r="M6" s="19">
        <v>1326</v>
      </c>
      <c r="N6" s="19">
        <v>439</v>
      </c>
      <c r="O6" s="19">
        <v>8607</v>
      </c>
      <c r="P6" s="19">
        <v>0</v>
      </c>
      <c r="Q6" s="19">
        <v>6500</v>
      </c>
      <c r="R6" s="19">
        <v>19854</v>
      </c>
      <c r="S6" s="19">
        <v>538</v>
      </c>
      <c r="T6" s="19">
        <v>18278</v>
      </c>
      <c r="U6" s="19">
        <v>0</v>
      </c>
      <c r="V6" s="19">
        <v>0</v>
      </c>
      <c r="W6" s="19">
        <v>90</v>
      </c>
      <c r="X6" s="19">
        <v>29009</v>
      </c>
      <c r="Y6" s="19">
        <v>26872</v>
      </c>
      <c r="Z6" s="19">
        <v>53</v>
      </c>
      <c r="AA6" s="19">
        <v>0</v>
      </c>
      <c r="AB6" s="19">
        <v>0</v>
      </c>
      <c r="AC6" s="19">
        <v>1587</v>
      </c>
      <c r="AD6" s="19">
        <v>0</v>
      </c>
      <c r="AE6" s="19">
        <v>0</v>
      </c>
      <c r="AF6" s="19">
        <v>0</v>
      </c>
      <c r="AG6" s="19">
        <v>28</v>
      </c>
      <c r="AH6" s="19">
        <v>0</v>
      </c>
      <c r="AI6" s="19">
        <v>1</v>
      </c>
      <c r="AJ6" s="20" t="s">
        <v>276</v>
      </c>
      <c r="AK6" s="20" t="s">
        <v>276</v>
      </c>
      <c r="AL6" s="19">
        <v>6500</v>
      </c>
      <c r="AM6" s="20" t="s">
        <v>276</v>
      </c>
      <c r="AN6" s="20" t="s">
        <v>276</v>
      </c>
      <c r="AO6" s="19">
        <v>18278</v>
      </c>
      <c r="AP6" s="20" t="s">
        <v>276</v>
      </c>
      <c r="AQ6" s="19">
        <v>0</v>
      </c>
      <c r="AR6" s="20" t="s">
        <v>276</v>
      </c>
      <c r="AS6" s="19">
        <v>425</v>
      </c>
      <c r="AT6" s="19">
        <v>15450</v>
      </c>
      <c r="AU6" s="19">
        <v>39</v>
      </c>
      <c r="AV6" s="19">
        <v>0</v>
      </c>
      <c r="AW6" s="19">
        <v>0</v>
      </c>
      <c r="AX6" s="19">
        <v>13082</v>
      </c>
      <c r="AY6" s="19">
        <v>304</v>
      </c>
      <c r="AZ6" s="19">
        <v>3</v>
      </c>
      <c r="BA6" s="19">
        <v>0</v>
      </c>
      <c r="BB6" s="19">
        <v>234</v>
      </c>
      <c r="BC6" s="19">
        <v>109</v>
      </c>
      <c r="BD6" s="19">
        <v>0</v>
      </c>
      <c r="BE6" s="19" t="s">
        <v>276</v>
      </c>
      <c r="BF6" s="19" t="s">
        <v>276</v>
      </c>
      <c r="BG6" s="20" t="s">
        <v>276</v>
      </c>
      <c r="BH6" s="20" t="s">
        <v>276</v>
      </c>
      <c r="BI6" s="20" t="s">
        <v>276</v>
      </c>
      <c r="BJ6" s="20" t="s">
        <v>276</v>
      </c>
      <c r="BK6" s="20" t="s">
        <v>276</v>
      </c>
      <c r="BL6" s="20" t="s">
        <v>276</v>
      </c>
      <c r="BM6" s="20" t="s">
        <v>276</v>
      </c>
      <c r="BN6" s="19">
        <v>1679</v>
      </c>
      <c r="BO6" s="19">
        <v>14552</v>
      </c>
      <c r="BP6" s="19" t="s">
        <v>276</v>
      </c>
      <c r="BQ6" s="19" t="s">
        <v>276</v>
      </c>
      <c r="BR6" s="19" t="s">
        <v>276</v>
      </c>
      <c r="BS6" s="19" t="s">
        <v>276</v>
      </c>
      <c r="BT6" s="19" t="s">
        <v>276</v>
      </c>
      <c r="BU6" s="19" t="s">
        <v>276</v>
      </c>
      <c r="BV6" s="19" t="s">
        <v>276</v>
      </c>
      <c r="BW6" s="19" t="s">
        <v>276</v>
      </c>
      <c r="BX6" s="19" t="s">
        <v>276</v>
      </c>
      <c r="BY6" s="19" t="s">
        <v>276</v>
      </c>
      <c r="BZ6" s="19">
        <v>6614</v>
      </c>
      <c r="CA6" s="19" t="s">
        <v>276</v>
      </c>
      <c r="CB6" s="20" t="s">
        <v>276</v>
      </c>
      <c r="CC6" s="20" t="s">
        <v>276</v>
      </c>
      <c r="CD6" s="20" t="s">
        <v>276</v>
      </c>
      <c r="CE6" s="20" t="s">
        <v>276</v>
      </c>
      <c r="CF6" s="20" t="s">
        <v>276</v>
      </c>
      <c r="CG6" s="20" t="s">
        <v>276</v>
      </c>
      <c r="CH6" s="20" t="s">
        <v>276</v>
      </c>
      <c r="CI6" s="19">
        <v>7938</v>
      </c>
      <c r="CJ6" s="19">
        <v>0</v>
      </c>
      <c r="CK6" s="19" t="s">
        <v>276</v>
      </c>
      <c r="CL6" s="19" t="s">
        <v>276</v>
      </c>
      <c r="CM6" s="19" t="s">
        <v>276</v>
      </c>
      <c r="CN6" s="19" t="s">
        <v>276</v>
      </c>
      <c r="CO6" s="19" t="s">
        <v>276</v>
      </c>
      <c r="CP6" s="19" t="s">
        <v>276</v>
      </c>
      <c r="CQ6" s="19" t="s">
        <v>276</v>
      </c>
      <c r="CR6" s="19" t="s">
        <v>276</v>
      </c>
      <c r="CS6" s="19" t="s">
        <v>276</v>
      </c>
      <c r="CT6" s="19" t="s">
        <v>276</v>
      </c>
      <c r="CU6" s="19" t="s">
        <v>276</v>
      </c>
      <c r="CV6" s="19">
        <v>0</v>
      </c>
      <c r="CW6" s="20" t="s">
        <v>276</v>
      </c>
      <c r="CX6" s="20" t="s">
        <v>276</v>
      </c>
      <c r="CY6" s="20" t="s">
        <v>276</v>
      </c>
      <c r="CZ6" s="20" t="s">
        <v>276</v>
      </c>
      <c r="DA6" s="20" t="s">
        <v>276</v>
      </c>
      <c r="DB6" s="20" t="s">
        <v>276</v>
      </c>
      <c r="DC6" s="20" t="s">
        <v>276</v>
      </c>
      <c r="DD6" s="19">
        <v>0</v>
      </c>
      <c r="DE6" s="19">
        <v>5719</v>
      </c>
      <c r="DF6" s="19" t="s">
        <v>276</v>
      </c>
      <c r="DG6" s="19" t="s">
        <v>276</v>
      </c>
      <c r="DH6" s="19" t="s">
        <v>276</v>
      </c>
      <c r="DI6" s="19" t="s">
        <v>276</v>
      </c>
      <c r="DJ6" s="19" t="s">
        <v>276</v>
      </c>
      <c r="DK6" s="19" t="s">
        <v>276</v>
      </c>
      <c r="DL6" s="19" t="s">
        <v>276</v>
      </c>
      <c r="DM6" s="19" t="s">
        <v>276</v>
      </c>
      <c r="DN6" s="19" t="s">
        <v>276</v>
      </c>
      <c r="DO6" s="19" t="s">
        <v>276</v>
      </c>
      <c r="DP6" s="19">
        <v>350</v>
      </c>
      <c r="DQ6" s="19" t="s">
        <v>276</v>
      </c>
      <c r="DR6" s="20" t="s">
        <v>276</v>
      </c>
      <c r="DS6" s="20" t="s">
        <v>276</v>
      </c>
      <c r="DT6" s="19">
        <v>459</v>
      </c>
      <c r="DU6" s="20" t="s">
        <v>276</v>
      </c>
      <c r="DV6" s="20" t="s">
        <v>276</v>
      </c>
      <c r="DW6" s="20" t="s">
        <v>276</v>
      </c>
      <c r="DX6" s="20" t="s">
        <v>276</v>
      </c>
      <c r="DY6" s="19">
        <v>4910</v>
      </c>
      <c r="DZ6" s="19">
        <v>21946</v>
      </c>
      <c r="EA6" s="19">
        <v>1776</v>
      </c>
      <c r="EB6" s="19" t="s">
        <v>276</v>
      </c>
      <c r="EC6" s="19" t="s">
        <v>276</v>
      </c>
      <c r="ED6" s="19">
        <v>0</v>
      </c>
      <c r="EE6" s="19" t="s">
        <v>276</v>
      </c>
      <c r="EF6" s="19" t="s">
        <v>276</v>
      </c>
      <c r="EG6" s="19" t="s">
        <v>276</v>
      </c>
      <c r="EH6" s="19">
        <v>0</v>
      </c>
      <c r="EI6" s="19">
        <v>218</v>
      </c>
      <c r="EJ6" s="19" t="s">
        <v>276</v>
      </c>
      <c r="EK6" s="20" t="s">
        <v>276</v>
      </c>
      <c r="EL6" s="20" t="s">
        <v>276</v>
      </c>
      <c r="EM6" s="20" t="s">
        <v>276</v>
      </c>
      <c r="EN6" s="19">
        <v>19854</v>
      </c>
      <c r="EO6" s="19">
        <v>79</v>
      </c>
      <c r="EP6" s="20" t="s">
        <v>276</v>
      </c>
      <c r="EQ6" s="20" t="s">
        <v>276</v>
      </c>
      <c r="ER6" s="20" t="s">
        <v>276</v>
      </c>
      <c r="ES6" s="19">
        <v>19</v>
      </c>
      <c r="ET6" s="19">
        <v>0</v>
      </c>
      <c r="EU6" s="19">
        <v>193176</v>
      </c>
      <c r="EV6" s="19">
        <v>43819</v>
      </c>
      <c r="EW6" s="19">
        <v>436</v>
      </c>
      <c r="EX6" s="19">
        <v>7222</v>
      </c>
      <c r="EY6" s="19">
        <v>18570</v>
      </c>
      <c r="EZ6" s="19">
        <v>29955</v>
      </c>
      <c r="FA6" s="19">
        <v>21449</v>
      </c>
      <c r="FB6" s="19">
        <v>517</v>
      </c>
      <c r="FC6" s="19">
        <v>54000</v>
      </c>
      <c r="FD6" s="19">
        <v>999</v>
      </c>
      <c r="FE6" s="19">
        <v>438</v>
      </c>
      <c r="FF6" s="19">
        <v>1643</v>
      </c>
      <c r="FG6" s="19">
        <v>0</v>
      </c>
      <c r="FH6" s="20" t="s">
        <v>276</v>
      </c>
      <c r="FI6" s="20" t="s">
        <v>276</v>
      </c>
      <c r="FJ6" s="20" t="s">
        <v>276</v>
      </c>
      <c r="FK6" s="19">
        <v>0</v>
      </c>
      <c r="FL6" s="19">
        <v>0</v>
      </c>
      <c r="FM6" s="19">
        <v>0</v>
      </c>
      <c r="FN6" s="19">
        <v>71</v>
      </c>
      <c r="FO6" s="19">
        <v>14057</v>
      </c>
    </row>
    <row r="7" spans="1:171" ht="13.5" customHeight="1">
      <c r="A7" s="17" t="s">
        <v>60</v>
      </c>
      <c r="B7" s="18" t="s">
        <v>61</v>
      </c>
      <c r="C7" s="17" t="s">
        <v>59</v>
      </c>
      <c r="D7" s="19">
        <v>46414</v>
      </c>
      <c r="E7" s="19">
        <v>7749</v>
      </c>
      <c r="F7" s="19">
        <v>48</v>
      </c>
      <c r="G7" s="19">
        <v>503</v>
      </c>
      <c r="H7" s="19">
        <v>8801</v>
      </c>
      <c r="I7" s="19">
        <v>7028</v>
      </c>
      <c r="J7" s="19">
        <v>2955</v>
      </c>
      <c r="K7" s="19">
        <v>2</v>
      </c>
      <c r="L7" s="19">
        <v>2527</v>
      </c>
      <c r="M7" s="19">
        <v>259</v>
      </c>
      <c r="N7" s="19">
        <v>2</v>
      </c>
      <c r="O7" s="19">
        <v>686</v>
      </c>
      <c r="P7" s="19">
        <v>0</v>
      </c>
      <c r="Q7" s="19">
        <v>7696</v>
      </c>
      <c r="R7" s="19">
        <v>0</v>
      </c>
      <c r="S7" s="19">
        <v>0</v>
      </c>
      <c r="T7" s="19">
        <v>5751</v>
      </c>
      <c r="U7" s="19">
        <v>0</v>
      </c>
      <c r="V7" s="19">
        <v>1474</v>
      </c>
      <c r="W7" s="19">
        <v>36</v>
      </c>
      <c r="X7" s="19">
        <v>897</v>
      </c>
      <c r="Y7" s="19">
        <v>15843</v>
      </c>
      <c r="Z7" s="19">
        <v>0</v>
      </c>
      <c r="AA7" s="19">
        <v>0</v>
      </c>
      <c r="AB7" s="19">
        <v>0</v>
      </c>
      <c r="AC7" s="19">
        <v>239</v>
      </c>
      <c r="AD7" s="19">
        <v>84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20" t="s">
        <v>276</v>
      </c>
      <c r="AK7" s="20" t="s">
        <v>276</v>
      </c>
      <c r="AL7" s="19">
        <v>7696</v>
      </c>
      <c r="AM7" s="20" t="s">
        <v>276</v>
      </c>
      <c r="AN7" s="20" t="s">
        <v>276</v>
      </c>
      <c r="AO7" s="19">
        <v>5751</v>
      </c>
      <c r="AP7" s="20" t="s">
        <v>276</v>
      </c>
      <c r="AQ7" s="19">
        <v>1474</v>
      </c>
      <c r="AR7" s="20" t="s">
        <v>276</v>
      </c>
      <c r="AS7" s="19">
        <v>599</v>
      </c>
      <c r="AT7" s="19">
        <v>3532</v>
      </c>
      <c r="AU7" s="19">
        <v>0</v>
      </c>
      <c r="AV7" s="19">
        <v>0</v>
      </c>
      <c r="AW7" s="19">
        <v>0</v>
      </c>
      <c r="AX7" s="19">
        <v>3492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 t="s">
        <v>276</v>
      </c>
      <c r="BF7" s="19" t="s">
        <v>276</v>
      </c>
      <c r="BG7" s="20" t="s">
        <v>276</v>
      </c>
      <c r="BH7" s="20" t="s">
        <v>276</v>
      </c>
      <c r="BI7" s="20" t="s">
        <v>276</v>
      </c>
      <c r="BJ7" s="20" t="s">
        <v>276</v>
      </c>
      <c r="BK7" s="20" t="s">
        <v>276</v>
      </c>
      <c r="BL7" s="20" t="s">
        <v>276</v>
      </c>
      <c r="BM7" s="20" t="s">
        <v>276</v>
      </c>
      <c r="BN7" s="19">
        <v>40</v>
      </c>
      <c r="BO7" s="19">
        <v>686</v>
      </c>
      <c r="BP7" s="19" t="s">
        <v>276</v>
      </c>
      <c r="BQ7" s="19" t="s">
        <v>276</v>
      </c>
      <c r="BR7" s="19" t="s">
        <v>276</v>
      </c>
      <c r="BS7" s="19" t="s">
        <v>276</v>
      </c>
      <c r="BT7" s="19" t="s">
        <v>276</v>
      </c>
      <c r="BU7" s="19" t="s">
        <v>276</v>
      </c>
      <c r="BV7" s="19" t="s">
        <v>276</v>
      </c>
      <c r="BW7" s="19" t="s">
        <v>276</v>
      </c>
      <c r="BX7" s="19" t="s">
        <v>276</v>
      </c>
      <c r="BY7" s="19" t="s">
        <v>276</v>
      </c>
      <c r="BZ7" s="19">
        <v>686</v>
      </c>
      <c r="CA7" s="19" t="s">
        <v>276</v>
      </c>
      <c r="CB7" s="20" t="s">
        <v>276</v>
      </c>
      <c r="CC7" s="20" t="s">
        <v>276</v>
      </c>
      <c r="CD7" s="20" t="s">
        <v>276</v>
      </c>
      <c r="CE7" s="20" t="s">
        <v>276</v>
      </c>
      <c r="CF7" s="20" t="s">
        <v>276</v>
      </c>
      <c r="CG7" s="20" t="s">
        <v>276</v>
      </c>
      <c r="CH7" s="20" t="s">
        <v>276</v>
      </c>
      <c r="CI7" s="19">
        <v>0</v>
      </c>
      <c r="CJ7" s="19">
        <v>0</v>
      </c>
      <c r="CK7" s="19" t="s">
        <v>276</v>
      </c>
      <c r="CL7" s="19" t="s">
        <v>276</v>
      </c>
      <c r="CM7" s="19" t="s">
        <v>276</v>
      </c>
      <c r="CN7" s="19" t="s">
        <v>276</v>
      </c>
      <c r="CO7" s="19" t="s">
        <v>276</v>
      </c>
      <c r="CP7" s="19" t="s">
        <v>276</v>
      </c>
      <c r="CQ7" s="19" t="s">
        <v>276</v>
      </c>
      <c r="CR7" s="19" t="s">
        <v>276</v>
      </c>
      <c r="CS7" s="19" t="s">
        <v>276</v>
      </c>
      <c r="CT7" s="19" t="s">
        <v>276</v>
      </c>
      <c r="CU7" s="19" t="s">
        <v>276</v>
      </c>
      <c r="CV7" s="19">
        <v>0</v>
      </c>
      <c r="CW7" s="20" t="s">
        <v>276</v>
      </c>
      <c r="CX7" s="20" t="s">
        <v>276</v>
      </c>
      <c r="CY7" s="20" t="s">
        <v>276</v>
      </c>
      <c r="CZ7" s="20" t="s">
        <v>276</v>
      </c>
      <c r="DA7" s="20" t="s">
        <v>276</v>
      </c>
      <c r="DB7" s="20" t="s">
        <v>276</v>
      </c>
      <c r="DC7" s="20" t="s">
        <v>276</v>
      </c>
      <c r="DD7" s="19">
        <v>0</v>
      </c>
      <c r="DE7" s="19">
        <v>0</v>
      </c>
      <c r="DF7" s="19" t="s">
        <v>276</v>
      </c>
      <c r="DG7" s="19" t="s">
        <v>276</v>
      </c>
      <c r="DH7" s="19" t="s">
        <v>276</v>
      </c>
      <c r="DI7" s="19" t="s">
        <v>276</v>
      </c>
      <c r="DJ7" s="19" t="s">
        <v>276</v>
      </c>
      <c r="DK7" s="19" t="s">
        <v>276</v>
      </c>
      <c r="DL7" s="19" t="s">
        <v>276</v>
      </c>
      <c r="DM7" s="19" t="s">
        <v>276</v>
      </c>
      <c r="DN7" s="19" t="s">
        <v>276</v>
      </c>
      <c r="DO7" s="19" t="s">
        <v>276</v>
      </c>
      <c r="DP7" s="19">
        <v>0</v>
      </c>
      <c r="DQ7" s="19" t="s">
        <v>276</v>
      </c>
      <c r="DR7" s="20" t="s">
        <v>276</v>
      </c>
      <c r="DS7" s="20" t="s">
        <v>276</v>
      </c>
      <c r="DT7" s="19">
        <v>0</v>
      </c>
      <c r="DU7" s="20" t="s">
        <v>276</v>
      </c>
      <c r="DV7" s="20" t="s">
        <v>276</v>
      </c>
      <c r="DW7" s="20" t="s">
        <v>276</v>
      </c>
      <c r="DX7" s="20" t="s">
        <v>276</v>
      </c>
      <c r="DY7" s="19">
        <v>0</v>
      </c>
      <c r="DZ7" s="19">
        <v>36</v>
      </c>
      <c r="EA7" s="19">
        <v>0</v>
      </c>
      <c r="EB7" s="19" t="s">
        <v>276</v>
      </c>
      <c r="EC7" s="19" t="s">
        <v>276</v>
      </c>
      <c r="ED7" s="19">
        <v>0</v>
      </c>
      <c r="EE7" s="19" t="s">
        <v>276</v>
      </c>
      <c r="EF7" s="19" t="s">
        <v>276</v>
      </c>
      <c r="EG7" s="19" t="s">
        <v>276</v>
      </c>
      <c r="EH7" s="19">
        <v>0</v>
      </c>
      <c r="EI7" s="19">
        <v>0</v>
      </c>
      <c r="EJ7" s="19" t="s">
        <v>276</v>
      </c>
      <c r="EK7" s="20" t="s">
        <v>276</v>
      </c>
      <c r="EL7" s="20" t="s">
        <v>276</v>
      </c>
      <c r="EM7" s="20" t="s">
        <v>276</v>
      </c>
      <c r="EN7" s="19">
        <v>0</v>
      </c>
      <c r="EO7" s="19">
        <v>0</v>
      </c>
      <c r="EP7" s="20" t="s">
        <v>276</v>
      </c>
      <c r="EQ7" s="20" t="s">
        <v>276</v>
      </c>
      <c r="ER7" s="20" t="s">
        <v>276</v>
      </c>
      <c r="ES7" s="19">
        <v>36</v>
      </c>
      <c r="ET7" s="19">
        <v>0</v>
      </c>
      <c r="EU7" s="19">
        <v>26317</v>
      </c>
      <c r="EV7" s="19">
        <v>7749</v>
      </c>
      <c r="EW7" s="19">
        <v>48</v>
      </c>
      <c r="EX7" s="19">
        <v>503</v>
      </c>
      <c r="EY7" s="19">
        <v>5070</v>
      </c>
      <c r="EZ7" s="19">
        <v>6944</v>
      </c>
      <c r="FA7" s="19">
        <v>2955</v>
      </c>
      <c r="FB7" s="19">
        <v>2</v>
      </c>
      <c r="FC7" s="19">
        <v>2527</v>
      </c>
      <c r="FD7" s="19">
        <v>259</v>
      </c>
      <c r="FE7" s="19">
        <v>2</v>
      </c>
      <c r="FF7" s="19">
        <v>0</v>
      </c>
      <c r="FG7" s="19">
        <v>0</v>
      </c>
      <c r="FH7" s="20" t="s">
        <v>276</v>
      </c>
      <c r="FI7" s="20" t="s">
        <v>276</v>
      </c>
      <c r="FJ7" s="20" t="s">
        <v>276</v>
      </c>
      <c r="FK7" s="19">
        <v>0</v>
      </c>
      <c r="FL7" s="19">
        <v>0</v>
      </c>
      <c r="FM7" s="19">
        <v>0</v>
      </c>
      <c r="FN7" s="19">
        <v>0</v>
      </c>
      <c r="FO7" s="19">
        <v>258</v>
      </c>
    </row>
    <row r="8" spans="1:171" ht="13.5" customHeight="1">
      <c r="A8" s="17" t="s">
        <v>62</v>
      </c>
      <c r="B8" s="18" t="s">
        <v>63</v>
      </c>
      <c r="C8" s="17" t="s">
        <v>59</v>
      </c>
      <c r="D8" s="19">
        <v>40179</v>
      </c>
      <c r="E8" s="19">
        <v>4575</v>
      </c>
      <c r="F8" s="19">
        <v>42</v>
      </c>
      <c r="G8" s="19">
        <v>579</v>
      </c>
      <c r="H8" s="19">
        <v>9038</v>
      </c>
      <c r="I8" s="19">
        <v>5905</v>
      </c>
      <c r="J8" s="19">
        <v>2298</v>
      </c>
      <c r="K8" s="19">
        <v>22</v>
      </c>
      <c r="L8" s="19">
        <v>4071</v>
      </c>
      <c r="M8" s="19">
        <v>5</v>
      </c>
      <c r="N8" s="19">
        <v>9</v>
      </c>
      <c r="O8" s="19">
        <v>480</v>
      </c>
      <c r="P8" s="19">
        <v>0</v>
      </c>
      <c r="Q8" s="19">
        <v>6496</v>
      </c>
      <c r="R8" s="19">
        <v>0</v>
      </c>
      <c r="S8" s="19">
        <v>11</v>
      </c>
      <c r="T8" s="19">
        <v>5992</v>
      </c>
      <c r="U8" s="19">
        <v>209</v>
      </c>
      <c r="V8" s="19">
        <v>0</v>
      </c>
      <c r="W8" s="19">
        <v>14</v>
      </c>
      <c r="X8" s="19">
        <v>433</v>
      </c>
      <c r="Y8" s="19">
        <v>14109</v>
      </c>
      <c r="Z8" s="19">
        <v>255</v>
      </c>
      <c r="AA8" s="19">
        <v>0</v>
      </c>
      <c r="AB8" s="19">
        <v>0</v>
      </c>
      <c r="AC8" s="19">
        <v>1366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20" t="s">
        <v>276</v>
      </c>
      <c r="AK8" s="20" t="s">
        <v>276</v>
      </c>
      <c r="AL8" s="19">
        <v>6496</v>
      </c>
      <c r="AM8" s="20" t="s">
        <v>276</v>
      </c>
      <c r="AN8" s="20" t="s">
        <v>276</v>
      </c>
      <c r="AO8" s="19">
        <v>5992</v>
      </c>
      <c r="AP8" s="20" t="s">
        <v>276</v>
      </c>
      <c r="AQ8" s="19">
        <v>0</v>
      </c>
      <c r="AR8" s="20" t="s">
        <v>276</v>
      </c>
      <c r="AS8" s="19">
        <v>0</v>
      </c>
      <c r="AT8" s="19">
        <v>3450</v>
      </c>
      <c r="AU8" s="19">
        <v>0</v>
      </c>
      <c r="AV8" s="19">
        <v>0</v>
      </c>
      <c r="AW8" s="19">
        <v>0</v>
      </c>
      <c r="AX8" s="19">
        <v>3450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 t="s">
        <v>276</v>
      </c>
      <c r="BF8" s="19" t="s">
        <v>276</v>
      </c>
      <c r="BG8" s="20" t="s">
        <v>276</v>
      </c>
      <c r="BH8" s="20" t="s">
        <v>276</v>
      </c>
      <c r="BI8" s="20" t="s">
        <v>276</v>
      </c>
      <c r="BJ8" s="20" t="s">
        <v>276</v>
      </c>
      <c r="BK8" s="20" t="s">
        <v>276</v>
      </c>
      <c r="BL8" s="20" t="s">
        <v>276</v>
      </c>
      <c r="BM8" s="20" t="s">
        <v>276</v>
      </c>
      <c r="BN8" s="19">
        <v>0</v>
      </c>
      <c r="BO8" s="19">
        <v>590</v>
      </c>
      <c r="BP8" s="19" t="s">
        <v>276</v>
      </c>
      <c r="BQ8" s="19" t="s">
        <v>276</v>
      </c>
      <c r="BR8" s="19" t="s">
        <v>276</v>
      </c>
      <c r="BS8" s="19" t="s">
        <v>276</v>
      </c>
      <c r="BT8" s="19" t="s">
        <v>276</v>
      </c>
      <c r="BU8" s="19" t="s">
        <v>276</v>
      </c>
      <c r="BV8" s="19" t="s">
        <v>276</v>
      </c>
      <c r="BW8" s="19" t="s">
        <v>276</v>
      </c>
      <c r="BX8" s="19" t="s">
        <v>276</v>
      </c>
      <c r="BY8" s="19" t="s">
        <v>276</v>
      </c>
      <c r="BZ8" s="19">
        <v>320</v>
      </c>
      <c r="CA8" s="19" t="s">
        <v>276</v>
      </c>
      <c r="CB8" s="20" t="s">
        <v>276</v>
      </c>
      <c r="CC8" s="20" t="s">
        <v>276</v>
      </c>
      <c r="CD8" s="20" t="s">
        <v>276</v>
      </c>
      <c r="CE8" s="20" t="s">
        <v>276</v>
      </c>
      <c r="CF8" s="20" t="s">
        <v>276</v>
      </c>
      <c r="CG8" s="20" t="s">
        <v>276</v>
      </c>
      <c r="CH8" s="20" t="s">
        <v>276</v>
      </c>
      <c r="CI8" s="19">
        <v>270</v>
      </c>
      <c r="CJ8" s="19">
        <v>0</v>
      </c>
      <c r="CK8" s="19" t="s">
        <v>276</v>
      </c>
      <c r="CL8" s="19" t="s">
        <v>276</v>
      </c>
      <c r="CM8" s="19" t="s">
        <v>276</v>
      </c>
      <c r="CN8" s="19" t="s">
        <v>276</v>
      </c>
      <c r="CO8" s="19" t="s">
        <v>276</v>
      </c>
      <c r="CP8" s="19" t="s">
        <v>276</v>
      </c>
      <c r="CQ8" s="19" t="s">
        <v>276</v>
      </c>
      <c r="CR8" s="19" t="s">
        <v>276</v>
      </c>
      <c r="CS8" s="19" t="s">
        <v>276</v>
      </c>
      <c r="CT8" s="19" t="s">
        <v>276</v>
      </c>
      <c r="CU8" s="19" t="s">
        <v>276</v>
      </c>
      <c r="CV8" s="19">
        <v>0</v>
      </c>
      <c r="CW8" s="20" t="s">
        <v>276</v>
      </c>
      <c r="CX8" s="20" t="s">
        <v>276</v>
      </c>
      <c r="CY8" s="20" t="s">
        <v>276</v>
      </c>
      <c r="CZ8" s="20" t="s">
        <v>276</v>
      </c>
      <c r="DA8" s="20" t="s">
        <v>276</v>
      </c>
      <c r="DB8" s="20" t="s">
        <v>276</v>
      </c>
      <c r="DC8" s="20" t="s">
        <v>276</v>
      </c>
      <c r="DD8" s="19">
        <v>0</v>
      </c>
      <c r="DE8" s="19">
        <v>171</v>
      </c>
      <c r="DF8" s="19" t="s">
        <v>276</v>
      </c>
      <c r="DG8" s="19" t="s">
        <v>276</v>
      </c>
      <c r="DH8" s="19" t="s">
        <v>276</v>
      </c>
      <c r="DI8" s="19" t="s">
        <v>276</v>
      </c>
      <c r="DJ8" s="19" t="s">
        <v>276</v>
      </c>
      <c r="DK8" s="19" t="s">
        <v>276</v>
      </c>
      <c r="DL8" s="19" t="s">
        <v>276</v>
      </c>
      <c r="DM8" s="19" t="s">
        <v>276</v>
      </c>
      <c r="DN8" s="19" t="s">
        <v>276</v>
      </c>
      <c r="DO8" s="19" t="s">
        <v>276</v>
      </c>
      <c r="DP8" s="19">
        <v>160</v>
      </c>
      <c r="DQ8" s="19" t="s">
        <v>276</v>
      </c>
      <c r="DR8" s="20" t="s">
        <v>276</v>
      </c>
      <c r="DS8" s="20" t="s">
        <v>276</v>
      </c>
      <c r="DT8" s="19">
        <v>11</v>
      </c>
      <c r="DU8" s="20" t="s">
        <v>276</v>
      </c>
      <c r="DV8" s="20" t="s">
        <v>276</v>
      </c>
      <c r="DW8" s="20" t="s">
        <v>276</v>
      </c>
      <c r="DX8" s="20" t="s">
        <v>276</v>
      </c>
      <c r="DY8" s="19">
        <v>0</v>
      </c>
      <c r="DZ8" s="19">
        <v>14</v>
      </c>
      <c r="EA8" s="19">
        <v>0</v>
      </c>
      <c r="EB8" s="19" t="s">
        <v>276</v>
      </c>
      <c r="EC8" s="19" t="s">
        <v>276</v>
      </c>
      <c r="ED8" s="19">
        <v>0</v>
      </c>
      <c r="EE8" s="19" t="s">
        <v>276</v>
      </c>
      <c r="EF8" s="19" t="s">
        <v>276</v>
      </c>
      <c r="EG8" s="19" t="s">
        <v>276</v>
      </c>
      <c r="EH8" s="19">
        <v>0</v>
      </c>
      <c r="EI8" s="19">
        <v>0</v>
      </c>
      <c r="EJ8" s="19" t="s">
        <v>276</v>
      </c>
      <c r="EK8" s="20" t="s">
        <v>276</v>
      </c>
      <c r="EL8" s="20" t="s">
        <v>276</v>
      </c>
      <c r="EM8" s="20" t="s">
        <v>276</v>
      </c>
      <c r="EN8" s="19">
        <v>0</v>
      </c>
      <c r="EO8" s="19">
        <v>0</v>
      </c>
      <c r="EP8" s="20" t="s">
        <v>276</v>
      </c>
      <c r="EQ8" s="20" t="s">
        <v>276</v>
      </c>
      <c r="ER8" s="20" t="s">
        <v>276</v>
      </c>
      <c r="ES8" s="19">
        <v>14</v>
      </c>
      <c r="ET8" s="19">
        <v>0</v>
      </c>
      <c r="EU8" s="19">
        <v>21845</v>
      </c>
      <c r="EV8" s="19">
        <v>4320</v>
      </c>
      <c r="EW8" s="19">
        <v>42</v>
      </c>
      <c r="EX8" s="19">
        <v>579</v>
      </c>
      <c r="EY8" s="19">
        <v>4222</v>
      </c>
      <c r="EZ8" s="19">
        <v>5905</v>
      </c>
      <c r="FA8" s="19">
        <v>2298</v>
      </c>
      <c r="FB8" s="19">
        <v>22</v>
      </c>
      <c r="FC8" s="19">
        <v>4071</v>
      </c>
      <c r="FD8" s="19">
        <v>5</v>
      </c>
      <c r="FE8" s="19">
        <v>9</v>
      </c>
      <c r="FF8" s="19">
        <v>0</v>
      </c>
      <c r="FG8" s="19">
        <v>0</v>
      </c>
      <c r="FH8" s="20" t="s">
        <v>276</v>
      </c>
      <c r="FI8" s="20" t="s">
        <v>276</v>
      </c>
      <c r="FJ8" s="20" t="s">
        <v>276</v>
      </c>
      <c r="FK8" s="19">
        <v>0</v>
      </c>
      <c r="FL8" s="19">
        <v>209</v>
      </c>
      <c r="FM8" s="19">
        <v>0</v>
      </c>
      <c r="FN8" s="19">
        <v>0</v>
      </c>
      <c r="FO8" s="19">
        <v>163</v>
      </c>
    </row>
    <row r="9" spans="1:171" ht="13.5" customHeight="1">
      <c r="A9" s="17" t="s">
        <v>64</v>
      </c>
      <c r="B9" s="18" t="s">
        <v>65</v>
      </c>
      <c r="C9" s="17" t="s">
        <v>59</v>
      </c>
      <c r="D9" s="19">
        <v>93250</v>
      </c>
      <c r="E9" s="19">
        <v>24739</v>
      </c>
      <c r="F9" s="19">
        <v>41</v>
      </c>
      <c r="G9" s="19">
        <v>868</v>
      </c>
      <c r="H9" s="19">
        <v>14550</v>
      </c>
      <c r="I9" s="19">
        <v>14844</v>
      </c>
      <c r="J9" s="19">
        <v>7784</v>
      </c>
      <c r="K9" s="19">
        <v>19</v>
      </c>
      <c r="L9" s="19">
        <v>17253</v>
      </c>
      <c r="M9" s="19">
        <v>1247</v>
      </c>
      <c r="N9" s="19">
        <v>630</v>
      </c>
      <c r="O9" s="19">
        <v>1129</v>
      </c>
      <c r="P9" s="19">
        <v>0</v>
      </c>
      <c r="Q9" s="19">
        <v>3960</v>
      </c>
      <c r="R9" s="19">
        <v>140</v>
      </c>
      <c r="S9" s="19">
        <v>0</v>
      </c>
      <c r="T9" s="19">
        <v>2315</v>
      </c>
      <c r="U9" s="19">
        <v>0</v>
      </c>
      <c r="V9" s="19">
        <v>0</v>
      </c>
      <c r="W9" s="19">
        <v>2</v>
      </c>
      <c r="X9" s="19">
        <v>3729</v>
      </c>
      <c r="Y9" s="19">
        <v>7985</v>
      </c>
      <c r="Z9" s="19">
        <v>65</v>
      </c>
      <c r="AA9" s="19">
        <v>0</v>
      </c>
      <c r="AB9" s="19">
        <v>0</v>
      </c>
      <c r="AC9" s="19">
        <v>498</v>
      </c>
      <c r="AD9" s="19">
        <v>0</v>
      </c>
      <c r="AE9" s="19">
        <v>0</v>
      </c>
      <c r="AF9" s="19">
        <v>0</v>
      </c>
      <c r="AG9" s="19">
        <v>0</v>
      </c>
      <c r="AH9" s="19">
        <v>500</v>
      </c>
      <c r="AI9" s="19">
        <v>0</v>
      </c>
      <c r="AJ9" s="20" t="s">
        <v>276</v>
      </c>
      <c r="AK9" s="20" t="s">
        <v>276</v>
      </c>
      <c r="AL9" s="19">
        <v>3960</v>
      </c>
      <c r="AM9" s="20" t="s">
        <v>276</v>
      </c>
      <c r="AN9" s="20" t="s">
        <v>276</v>
      </c>
      <c r="AO9" s="19">
        <v>2315</v>
      </c>
      <c r="AP9" s="20" t="s">
        <v>276</v>
      </c>
      <c r="AQ9" s="19">
        <v>0</v>
      </c>
      <c r="AR9" s="20" t="s">
        <v>276</v>
      </c>
      <c r="AS9" s="19">
        <v>647</v>
      </c>
      <c r="AT9" s="19">
        <v>13227</v>
      </c>
      <c r="AU9" s="19">
        <v>151</v>
      </c>
      <c r="AV9" s="19">
        <v>0</v>
      </c>
      <c r="AW9" s="19">
        <v>0</v>
      </c>
      <c r="AX9" s="19">
        <v>6797</v>
      </c>
      <c r="AY9" s="19">
        <v>3243</v>
      </c>
      <c r="AZ9" s="19">
        <v>762</v>
      </c>
      <c r="BA9" s="19">
        <v>0</v>
      </c>
      <c r="BB9" s="19">
        <v>2002</v>
      </c>
      <c r="BC9" s="19">
        <v>43</v>
      </c>
      <c r="BD9" s="19">
        <v>0</v>
      </c>
      <c r="BE9" s="19" t="s">
        <v>276</v>
      </c>
      <c r="BF9" s="19" t="s">
        <v>276</v>
      </c>
      <c r="BG9" s="20" t="s">
        <v>276</v>
      </c>
      <c r="BH9" s="20" t="s">
        <v>276</v>
      </c>
      <c r="BI9" s="20" t="s">
        <v>276</v>
      </c>
      <c r="BJ9" s="20" t="s">
        <v>276</v>
      </c>
      <c r="BK9" s="20" t="s">
        <v>276</v>
      </c>
      <c r="BL9" s="20" t="s">
        <v>276</v>
      </c>
      <c r="BM9" s="20" t="s">
        <v>276</v>
      </c>
      <c r="BN9" s="19">
        <v>229</v>
      </c>
      <c r="BO9" s="19">
        <v>1572</v>
      </c>
      <c r="BP9" s="19" t="s">
        <v>276</v>
      </c>
      <c r="BQ9" s="19" t="s">
        <v>276</v>
      </c>
      <c r="BR9" s="19" t="s">
        <v>276</v>
      </c>
      <c r="BS9" s="19" t="s">
        <v>276</v>
      </c>
      <c r="BT9" s="19" t="s">
        <v>276</v>
      </c>
      <c r="BU9" s="19" t="s">
        <v>276</v>
      </c>
      <c r="BV9" s="19" t="s">
        <v>276</v>
      </c>
      <c r="BW9" s="19" t="s">
        <v>276</v>
      </c>
      <c r="BX9" s="19" t="s">
        <v>276</v>
      </c>
      <c r="BY9" s="19" t="s">
        <v>276</v>
      </c>
      <c r="BZ9" s="19">
        <v>1129</v>
      </c>
      <c r="CA9" s="19" t="s">
        <v>276</v>
      </c>
      <c r="CB9" s="20" t="s">
        <v>276</v>
      </c>
      <c r="CC9" s="20" t="s">
        <v>276</v>
      </c>
      <c r="CD9" s="20" t="s">
        <v>276</v>
      </c>
      <c r="CE9" s="20" t="s">
        <v>276</v>
      </c>
      <c r="CF9" s="20" t="s">
        <v>276</v>
      </c>
      <c r="CG9" s="20" t="s">
        <v>276</v>
      </c>
      <c r="CH9" s="20" t="s">
        <v>276</v>
      </c>
      <c r="CI9" s="19">
        <v>443</v>
      </c>
      <c r="CJ9" s="19">
        <v>0</v>
      </c>
      <c r="CK9" s="19" t="s">
        <v>276</v>
      </c>
      <c r="CL9" s="19" t="s">
        <v>276</v>
      </c>
      <c r="CM9" s="19" t="s">
        <v>276</v>
      </c>
      <c r="CN9" s="19" t="s">
        <v>276</v>
      </c>
      <c r="CO9" s="19" t="s">
        <v>276</v>
      </c>
      <c r="CP9" s="19" t="s">
        <v>276</v>
      </c>
      <c r="CQ9" s="19" t="s">
        <v>276</v>
      </c>
      <c r="CR9" s="19" t="s">
        <v>276</v>
      </c>
      <c r="CS9" s="19" t="s">
        <v>276</v>
      </c>
      <c r="CT9" s="19" t="s">
        <v>276</v>
      </c>
      <c r="CU9" s="19" t="s">
        <v>276</v>
      </c>
      <c r="CV9" s="19">
        <v>0</v>
      </c>
      <c r="CW9" s="20" t="s">
        <v>276</v>
      </c>
      <c r="CX9" s="20" t="s">
        <v>276</v>
      </c>
      <c r="CY9" s="20" t="s">
        <v>276</v>
      </c>
      <c r="CZ9" s="20" t="s">
        <v>276</v>
      </c>
      <c r="DA9" s="20" t="s">
        <v>276</v>
      </c>
      <c r="DB9" s="20" t="s">
        <v>276</v>
      </c>
      <c r="DC9" s="20" t="s">
        <v>276</v>
      </c>
      <c r="DD9" s="19">
        <v>0</v>
      </c>
      <c r="DE9" s="19">
        <v>0</v>
      </c>
      <c r="DF9" s="19" t="s">
        <v>276</v>
      </c>
      <c r="DG9" s="19" t="s">
        <v>276</v>
      </c>
      <c r="DH9" s="19" t="s">
        <v>276</v>
      </c>
      <c r="DI9" s="19" t="s">
        <v>276</v>
      </c>
      <c r="DJ9" s="19" t="s">
        <v>276</v>
      </c>
      <c r="DK9" s="19" t="s">
        <v>276</v>
      </c>
      <c r="DL9" s="19" t="s">
        <v>276</v>
      </c>
      <c r="DM9" s="19" t="s">
        <v>276</v>
      </c>
      <c r="DN9" s="19" t="s">
        <v>276</v>
      </c>
      <c r="DO9" s="19" t="s">
        <v>276</v>
      </c>
      <c r="DP9" s="19">
        <v>0</v>
      </c>
      <c r="DQ9" s="19" t="s">
        <v>276</v>
      </c>
      <c r="DR9" s="20" t="s">
        <v>276</v>
      </c>
      <c r="DS9" s="20" t="s">
        <v>276</v>
      </c>
      <c r="DT9" s="19">
        <v>0</v>
      </c>
      <c r="DU9" s="20" t="s">
        <v>276</v>
      </c>
      <c r="DV9" s="20" t="s">
        <v>276</v>
      </c>
      <c r="DW9" s="20" t="s">
        <v>276</v>
      </c>
      <c r="DX9" s="20" t="s">
        <v>276</v>
      </c>
      <c r="DY9" s="19">
        <v>0</v>
      </c>
      <c r="DZ9" s="19">
        <v>140</v>
      </c>
      <c r="EA9" s="19">
        <v>0</v>
      </c>
      <c r="EB9" s="19" t="s">
        <v>276</v>
      </c>
      <c r="EC9" s="19" t="s">
        <v>276</v>
      </c>
      <c r="ED9" s="19">
        <v>0</v>
      </c>
      <c r="EE9" s="19" t="s">
        <v>276</v>
      </c>
      <c r="EF9" s="19" t="s">
        <v>276</v>
      </c>
      <c r="EG9" s="19" t="s">
        <v>276</v>
      </c>
      <c r="EH9" s="19">
        <v>0</v>
      </c>
      <c r="EI9" s="19">
        <v>0</v>
      </c>
      <c r="EJ9" s="19" t="s">
        <v>276</v>
      </c>
      <c r="EK9" s="20" t="s">
        <v>276</v>
      </c>
      <c r="EL9" s="20" t="s">
        <v>276</v>
      </c>
      <c r="EM9" s="20" t="s">
        <v>276</v>
      </c>
      <c r="EN9" s="19">
        <v>140</v>
      </c>
      <c r="EO9" s="19">
        <v>0</v>
      </c>
      <c r="EP9" s="20" t="s">
        <v>276</v>
      </c>
      <c r="EQ9" s="20" t="s">
        <v>276</v>
      </c>
      <c r="ER9" s="20" t="s">
        <v>276</v>
      </c>
      <c r="ES9" s="19">
        <v>0</v>
      </c>
      <c r="ET9" s="19">
        <v>0</v>
      </c>
      <c r="EU9" s="19">
        <v>70326</v>
      </c>
      <c r="EV9" s="19">
        <v>24523</v>
      </c>
      <c r="EW9" s="19">
        <v>41</v>
      </c>
      <c r="EX9" s="19">
        <v>868</v>
      </c>
      <c r="EY9" s="19">
        <v>7255</v>
      </c>
      <c r="EZ9" s="19">
        <v>11601</v>
      </c>
      <c r="FA9" s="19">
        <v>7022</v>
      </c>
      <c r="FB9" s="19">
        <v>19</v>
      </c>
      <c r="FC9" s="19">
        <v>15251</v>
      </c>
      <c r="FD9" s="19">
        <v>704</v>
      </c>
      <c r="FE9" s="19">
        <v>630</v>
      </c>
      <c r="FF9" s="19">
        <v>0</v>
      </c>
      <c r="FG9" s="19">
        <v>0</v>
      </c>
      <c r="FH9" s="20" t="s">
        <v>276</v>
      </c>
      <c r="FI9" s="20" t="s">
        <v>276</v>
      </c>
      <c r="FJ9" s="20" t="s">
        <v>276</v>
      </c>
      <c r="FK9" s="19">
        <v>0</v>
      </c>
      <c r="FL9" s="19">
        <v>0</v>
      </c>
      <c r="FM9" s="19">
        <v>0</v>
      </c>
      <c r="FN9" s="19">
        <v>2</v>
      </c>
      <c r="FO9" s="19">
        <v>2410</v>
      </c>
    </row>
    <row r="10" spans="1:171" ht="13.5" customHeight="1">
      <c r="A10" s="17" t="s">
        <v>66</v>
      </c>
      <c r="B10" s="18" t="s">
        <v>67</v>
      </c>
      <c r="C10" s="17" t="s">
        <v>59</v>
      </c>
      <c r="D10" s="19">
        <v>33764</v>
      </c>
      <c r="E10" s="19">
        <v>5589</v>
      </c>
      <c r="F10" s="19">
        <v>0</v>
      </c>
      <c r="G10" s="19">
        <v>5</v>
      </c>
      <c r="H10" s="19">
        <v>5759</v>
      </c>
      <c r="I10" s="19">
        <v>6240</v>
      </c>
      <c r="J10" s="19">
        <v>2393</v>
      </c>
      <c r="K10" s="19">
        <v>1</v>
      </c>
      <c r="L10" s="19">
        <v>333</v>
      </c>
      <c r="M10" s="19">
        <v>85</v>
      </c>
      <c r="N10" s="19">
        <v>78</v>
      </c>
      <c r="O10" s="19">
        <v>264</v>
      </c>
      <c r="P10" s="19">
        <v>0</v>
      </c>
      <c r="Q10" s="19">
        <v>10490</v>
      </c>
      <c r="R10" s="19">
        <v>0</v>
      </c>
      <c r="S10" s="19">
        <v>0</v>
      </c>
      <c r="T10" s="19">
        <v>1396</v>
      </c>
      <c r="U10" s="19">
        <v>0</v>
      </c>
      <c r="V10" s="19">
        <v>0</v>
      </c>
      <c r="W10" s="19">
        <v>0</v>
      </c>
      <c r="X10" s="19">
        <v>1131</v>
      </c>
      <c r="Y10" s="19">
        <v>10979</v>
      </c>
      <c r="Z10" s="19">
        <v>0</v>
      </c>
      <c r="AA10" s="19">
        <v>0</v>
      </c>
      <c r="AB10" s="19">
        <v>0</v>
      </c>
      <c r="AC10" s="19">
        <v>489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20" t="s">
        <v>276</v>
      </c>
      <c r="AK10" s="20" t="s">
        <v>276</v>
      </c>
      <c r="AL10" s="19">
        <v>10490</v>
      </c>
      <c r="AM10" s="20" t="s">
        <v>276</v>
      </c>
      <c r="AN10" s="20" t="s">
        <v>276</v>
      </c>
      <c r="AO10" s="19">
        <v>0</v>
      </c>
      <c r="AP10" s="20" t="s">
        <v>276</v>
      </c>
      <c r="AQ10" s="19">
        <v>0</v>
      </c>
      <c r="AR10" s="20" t="s">
        <v>276</v>
      </c>
      <c r="AS10" s="19">
        <v>0</v>
      </c>
      <c r="AT10" s="19">
        <v>2328</v>
      </c>
      <c r="AU10" s="19">
        <v>0</v>
      </c>
      <c r="AV10" s="19">
        <v>0</v>
      </c>
      <c r="AW10" s="19">
        <v>0</v>
      </c>
      <c r="AX10" s="19">
        <v>1962</v>
      </c>
      <c r="AY10" s="19">
        <v>244</v>
      </c>
      <c r="AZ10" s="19">
        <v>23</v>
      </c>
      <c r="BA10" s="19">
        <v>0</v>
      </c>
      <c r="BB10" s="19">
        <v>36</v>
      </c>
      <c r="BC10" s="19">
        <v>0</v>
      </c>
      <c r="BD10" s="19">
        <v>0</v>
      </c>
      <c r="BE10" s="19" t="s">
        <v>276</v>
      </c>
      <c r="BF10" s="19" t="s">
        <v>276</v>
      </c>
      <c r="BG10" s="20" t="s">
        <v>276</v>
      </c>
      <c r="BH10" s="20" t="s">
        <v>276</v>
      </c>
      <c r="BI10" s="20" t="s">
        <v>276</v>
      </c>
      <c r="BJ10" s="20" t="s">
        <v>276</v>
      </c>
      <c r="BK10" s="20" t="s">
        <v>276</v>
      </c>
      <c r="BL10" s="20" t="s">
        <v>276</v>
      </c>
      <c r="BM10" s="20" t="s">
        <v>276</v>
      </c>
      <c r="BN10" s="19">
        <v>63</v>
      </c>
      <c r="BO10" s="19">
        <v>726</v>
      </c>
      <c r="BP10" s="19" t="s">
        <v>276</v>
      </c>
      <c r="BQ10" s="19" t="s">
        <v>276</v>
      </c>
      <c r="BR10" s="19" t="s">
        <v>276</v>
      </c>
      <c r="BS10" s="19" t="s">
        <v>276</v>
      </c>
      <c r="BT10" s="19" t="s">
        <v>276</v>
      </c>
      <c r="BU10" s="19" t="s">
        <v>276</v>
      </c>
      <c r="BV10" s="19" t="s">
        <v>276</v>
      </c>
      <c r="BW10" s="19" t="s">
        <v>276</v>
      </c>
      <c r="BX10" s="19" t="s">
        <v>276</v>
      </c>
      <c r="BY10" s="19" t="s">
        <v>276</v>
      </c>
      <c r="BZ10" s="19">
        <v>264</v>
      </c>
      <c r="CA10" s="19" t="s">
        <v>276</v>
      </c>
      <c r="CB10" s="20" t="s">
        <v>276</v>
      </c>
      <c r="CC10" s="20" t="s">
        <v>276</v>
      </c>
      <c r="CD10" s="20" t="s">
        <v>276</v>
      </c>
      <c r="CE10" s="20" t="s">
        <v>276</v>
      </c>
      <c r="CF10" s="20" t="s">
        <v>276</v>
      </c>
      <c r="CG10" s="20" t="s">
        <v>276</v>
      </c>
      <c r="CH10" s="20" t="s">
        <v>276</v>
      </c>
      <c r="CI10" s="19">
        <v>462</v>
      </c>
      <c r="CJ10" s="19">
        <v>0</v>
      </c>
      <c r="CK10" s="19" t="s">
        <v>276</v>
      </c>
      <c r="CL10" s="19" t="s">
        <v>276</v>
      </c>
      <c r="CM10" s="19" t="s">
        <v>276</v>
      </c>
      <c r="CN10" s="19" t="s">
        <v>276</v>
      </c>
      <c r="CO10" s="19" t="s">
        <v>276</v>
      </c>
      <c r="CP10" s="19" t="s">
        <v>276</v>
      </c>
      <c r="CQ10" s="19" t="s">
        <v>276</v>
      </c>
      <c r="CR10" s="19" t="s">
        <v>276</v>
      </c>
      <c r="CS10" s="19" t="s">
        <v>276</v>
      </c>
      <c r="CT10" s="19" t="s">
        <v>276</v>
      </c>
      <c r="CU10" s="19" t="s">
        <v>276</v>
      </c>
      <c r="CV10" s="19">
        <v>0</v>
      </c>
      <c r="CW10" s="20" t="s">
        <v>276</v>
      </c>
      <c r="CX10" s="20" t="s">
        <v>276</v>
      </c>
      <c r="CY10" s="20" t="s">
        <v>276</v>
      </c>
      <c r="CZ10" s="20" t="s">
        <v>276</v>
      </c>
      <c r="DA10" s="20" t="s">
        <v>276</v>
      </c>
      <c r="DB10" s="20" t="s">
        <v>276</v>
      </c>
      <c r="DC10" s="20" t="s">
        <v>276</v>
      </c>
      <c r="DD10" s="19">
        <v>0</v>
      </c>
      <c r="DE10" s="19">
        <v>0</v>
      </c>
      <c r="DF10" s="19" t="s">
        <v>276</v>
      </c>
      <c r="DG10" s="19" t="s">
        <v>276</v>
      </c>
      <c r="DH10" s="19" t="s">
        <v>276</v>
      </c>
      <c r="DI10" s="19" t="s">
        <v>276</v>
      </c>
      <c r="DJ10" s="19" t="s">
        <v>276</v>
      </c>
      <c r="DK10" s="19" t="s">
        <v>276</v>
      </c>
      <c r="DL10" s="19" t="s">
        <v>276</v>
      </c>
      <c r="DM10" s="19" t="s">
        <v>276</v>
      </c>
      <c r="DN10" s="19" t="s">
        <v>276</v>
      </c>
      <c r="DO10" s="19" t="s">
        <v>276</v>
      </c>
      <c r="DP10" s="19">
        <v>0</v>
      </c>
      <c r="DQ10" s="19" t="s">
        <v>276</v>
      </c>
      <c r="DR10" s="20" t="s">
        <v>276</v>
      </c>
      <c r="DS10" s="20" t="s">
        <v>276</v>
      </c>
      <c r="DT10" s="19">
        <v>0</v>
      </c>
      <c r="DU10" s="20" t="s">
        <v>276</v>
      </c>
      <c r="DV10" s="20" t="s">
        <v>276</v>
      </c>
      <c r="DW10" s="20" t="s">
        <v>276</v>
      </c>
      <c r="DX10" s="20" t="s">
        <v>276</v>
      </c>
      <c r="DY10" s="19">
        <v>0</v>
      </c>
      <c r="DZ10" s="19">
        <v>0</v>
      </c>
      <c r="EA10" s="19">
        <v>0</v>
      </c>
      <c r="EB10" s="19" t="s">
        <v>276</v>
      </c>
      <c r="EC10" s="19" t="s">
        <v>276</v>
      </c>
      <c r="ED10" s="19">
        <v>0</v>
      </c>
      <c r="EE10" s="19" t="s">
        <v>276</v>
      </c>
      <c r="EF10" s="19" t="s">
        <v>276</v>
      </c>
      <c r="EG10" s="19" t="s">
        <v>276</v>
      </c>
      <c r="EH10" s="19">
        <v>0</v>
      </c>
      <c r="EI10" s="19">
        <v>0</v>
      </c>
      <c r="EJ10" s="19" t="s">
        <v>276</v>
      </c>
      <c r="EK10" s="20" t="s">
        <v>276</v>
      </c>
      <c r="EL10" s="20" t="s">
        <v>276</v>
      </c>
      <c r="EM10" s="20" t="s">
        <v>276</v>
      </c>
      <c r="EN10" s="19">
        <v>0</v>
      </c>
      <c r="EO10" s="19">
        <v>0</v>
      </c>
      <c r="EP10" s="20" t="s">
        <v>276</v>
      </c>
      <c r="EQ10" s="20" t="s">
        <v>276</v>
      </c>
      <c r="ER10" s="20" t="s">
        <v>276</v>
      </c>
      <c r="ES10" s="19">
        <v>0</v>
      </c>
      <c r="ET10" s="19">
        <v>0</v>
      </c>
      <c r="EU10" s="19">
        <v>19731</v>
      </c>
      <c r="EV10" s="19">
        <v>5589</v>
      </c>
      <c r="EW10" s="19">
        <v>0</v>
      </c>
      <c r="EX10" s="19">
        <v>5</v>
      </c>
      <c r="EY10" s="19">
        <v>3308</v>
      </c>
      <c r="EZ10" s="19">
        <v>5996</v>
      </c>
      <c r="FA10" s="19">
        <v>2370</v>
      </c>
      <c r="FB10" s="19">
        <v>1</v>
      </c>
      <c r="FC10" s="19">
        <v>297</v>
      </c>
      <c r="FD10" s="19">
        <v>85</v>
      </c>
      <c r="FE10" s="19">
        <v>78</v>
      </c>
      <c r="FF10" s="19">
        <v>0</v>
      </c>
      <c r="FG10" s="19">
        <v>0</v>
      </c>
      <c r="FH10" s="20" t="s">
        <v>276</v>
      </c>
      <c r="FI10" s="20" t="s">
        <v>276</v>
      </c>
      <c r="FJ10" s="20" t="s">
        <v>276</v>
      </c>
      <c r="FK10" s="19">
        <v>1396</v>
      </c>
      <c r="FL10" s="19">
        <v>0</v>
      </c>
      <c r="FM10" s="19">
        <v>0</v>
      </c>
      <c r="FN10" s="19">
        <v>0</v>
      </c>
      <c r="FO10" s="19">
        <v>606</v>
      </c>
    </row>
    <row r="11" spans="1:171" ht="13.5" customHeight="1">
      <c r="A11" s="17" t="s">
        <v>68</v>
      </c>
      <c r="B11" s="18" t="s">
        <v>69</v>
      </c>
      <c r="C11" s="17" t="s">
        <v>59</v>
      </c>
      <c r="D11" s="19">
        <v>22002</v>
      </c>
      <c r="E11" s="19">
        <v>1075</v>
      </c>
      <c r="F11" s="19">
        <v>19</v>
      </c>
      <c r="G11" s="19">
        <v>21</v>
      </c>
      <c r="H11" s="19">
        <v>6713</v>
      </c>
      <c r="I11" s="19">
        <v>4061</v>
      </c>
      <c r="J11" s="19">
        <v>2345</v>
      </c>
      <c r="K11" s="19">
        <v>27</v>
      </c>
      <c r="L11" s="19">
        <v>1789</v>
      </c>
      <c r="M11" s="19">
        <v>0</v>
      </c>
      <c r="N11" s="19">
        <v>225</v>
      </c>
      <c r="O11" s="19">
        <v>833</v>
      </c>
      <c r="P11" s="19">
        <v>0</v>
      </c>
      <c r="Q11" s="19">
        <v>4745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5</v>
      </c>
      <c r="X11" s="19">
        <v>144</v>
      </c>
      <c r="Y11" s="19">
        <v>5265</v>
      </c>
      <c r="Z11" s="19">
        <v>0</v>
      </c>
      <c r="AA11" s="19">
        <v>0</v>
      </c>
      <c r="AB11" s="19">
        <v>0</v>
      </c>
      <c r="AC11" s="19">
        <v>520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20" t="s">
        <v>276</v>
      </c>
      <c r="AK11" s="20" t="s">
        <v>276</v>
      </c>
      <c r="AL11" s="19">
        <v>4745</v>
      </c>
      <c r="AM11" s="20" t="s">
        <v>276</v>
      </c>
      <c r="AN11" s="20" t="s">
        <v>276</v>
      </c>
      <c r="AO11" s="19">
        <v>0</v>
      </c>
      <c r="AP11" s="20" t="s">
        <v>276</v>
      </c>
      <c r="AQ11" s="19">
        <v>0</v>
      </c>
      <c r="AR11" s="20" t="s">
        <v>276</v>
      </c>
      <c r="AS11" s="19">
        <v>0</v>
      </c>
      <c r="AT11" s="19">
        <v>3308</v>
      </c>
      <c r="AU11" s="19">
        <v>0</v>
      </c>
      <c r="AV11" s="19">
        <v>0</v>
      </c>
      <c r="AW11" s="19">
        <v>0</v>
      </c>
      <c r="AX11" s="19">
        <v>3269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 t="s">
        <v>276</v>
      </c>
      <c r="BF11" s="19" t="s">
        <v>276</v>
      </c>
      <c r="BG11" s="20" t="s">
        <v>276</v>
      </c>
      <c r="BH11" s="20" t="s">
        <v>276</v>
      </c>
      <c r="BI11" s="20" t="s">
        <v>276</v>
      </c>
      <c r="BJ11" s="20" t="s">
        <v>276</v>
      </c>
      <c r="BK11" s="20" t="s">
        <v>276</v>
      </c>
      <c r="BL11" s="20" t="s">
        <v>276</v>
      </c>
      <c r="BM11" s="20" t="s">
        <v>276</v>
      </c>
      <c r="BN11" s="19">
        <v>39</v>
      </c>
      <c r="BO11" s="19">
        <v>833</v>
      </c>
      <c r="BP11" s="19" t="s">
        <v>276</v>
      </c>
      <c r="BQ11" s="19" t="s">
        <v>276</v>
      </c>
      <c r="BR11" s="19" t="s">
        <v>276</v>
      </c>
      <c r="BS11" s="19" t="s">
        <v>276</v>
      </c>
      <c r="BT11" s="19" t="s">
        <v>276</v>
      </c>
      <c r="BU11" s="19" t="s">
        <v>276</v>
      </c>
      <c r="BV11" s="19" t="s">
        <v>276</v>
      </c>
      <c r="BW11" s="19" t="s">
        <v>276</v>
      </c>
      <c r="BX11" s="19" t="s">
        <v>276</v>
      </c>
      <c r="BY11" s="19" t="s">
        <v>276</v>
      </c>
      <c r="BZ11" s="19">
        <v>833</v>
      </c>
      <c r="CA11" s="19" t="s">
        <v>276</v>
      </c>
      <c r="CB11" s="20" t="s">
        <v>276</v>
      </c>
      <c r="CC11" s="20" t="s">
        <v>276</v>
      </c>
      <c r="CD11" s="20" t="s">
        <v>276</v>
      </c>
      <c r="CE11" s="20" t="s">
        <v>276</v>
      </c>
      <c r="CF11" s="20" t="s">
        <v>276</v>
      </c>
      <c r="CG11" s="20" t="s">
        <v>276</v>
      </c>
      <c r="CH11" s="20" t="s">
        <v>276</v>
      </c>
      <c r="CI11" s="19">
        <v>0</v>
      </c>
      <c r="CJ11" s="19">
        <v>0</v>
      </c>
      <c r="CK11" s="19" t="s">
        <v>276</v>
      </c>
      <c r="CL11" s="19" t="s">
        <v>276</v>
      </c>
      <c r="CM11" s="19" t="s">
        <v>276</v>
      </c>
      <c r="CN11" s="19" t="s">
        <v>276</v>
      </c>
      <c r="CO11" s="19" t="s">
        <v>276</v>
      </c>
      <c r="CP11" s="19" t="s">
        <v>276</v>
      </c>
      <c r="CQ11" s="19" t="s">
        <v>276</v>
      </c>
      <c r="CR11" s="19" t="s">
        <v>276</v>
      </c>
      <c r="CS11" s="19" t="s">
        <v>276</v>
      </c>
      <c r="CT11" s="19" t="s">
        <v>276</v>
      </c>
      <c r="CU11" s="19" t="s">
        <v>276</v>
      </c>
      <c r="CV11" s="19">
        <v>0</v>
      </c>
      <c r="CW11" s="20" t="s">
        <v>276</v>
      </c>
      <c r="CX11" s="20" t="s">
        <v>276</v>
      </c>
      <c r="CY11" s="20" t="s">
        <v>276</v>
      </c>
      <c r="CZ11" s="20" t="s">
        <v>276</v>
      </c>
      <c r="DA11" s="20" t="s">
        <v>276</v>
      </c>
      <c r="DB11" s="20" t="s">
        <v>276</v>
      </c>
      <c r="DC11" s="20" t="s">
        <v>276</v>
      </c>
      <c r="DD11" s="19">
        <v>0</v>
      </c>
      <c r="DE11" s="19">
        <v>0</v>
      </c>
      <c r="DF11" s="19" t="s">
        <v>276</v>
      </c>
      <c r="DG11" s="19" t="s">
        <v>276</v>
      </c>
      <c r="DH11" s="19" t="s">
        <v>276</v>
      </c>
      <c r="DI11" s="19" t="s">
        <v>276</v>
      </c>
      <c r="DJ11" s="19" t="s">
        <v>276</v>
      </c>
      <c r="DK11" s="19" t="s">
        <v>276</v>
      </c>
      <c r="DL11" s="19" t="s">
        <v>276</v>
      </c>
      <c r="DM11" s="19" t="s">
        <v>276</v>
      </c>
      <c r="DN11" s="19" t="s">
        <v>276</v>
      </c>
      <c r="DO11" s="19" t="s">
        <v>276</v>
      </c>
      <c r="DP11" s="19">
        <v>0</v>
      </c>
      <c r="DQ11" s="19" t="s">
        <v>276</v>
      </c>
      <c r="DR11" s="20" t="s">
        <v>276</v>
      </c>
      <c r="DS11" s="20" t="s">
        <v>276</v>
      </c>
      <c r="DT11" s="19">
        <v>0</v>
      </c>
      <c r="DU11" s="20" t="s">
        <v>276</v>
      </c>
      <c r="DV11" s="20" t="s">
        <v>276</v>
      </c>
      <c r="DW11" s="20" t="s">
        <v>276</v>
      </c>
      <c r="DX11" s="20" t="s">
        <v>276</v>
      </c>
      <c r="DY11" s="19">
        <v>0</v>
      </c>
      <c r="DZ11" s="19">
        <v>0</v>
      </c>
      <c r="EA11" s="19">
        <v>0</v>
      </c>
      <c r="EB11" s="19" t="s">
        <v>276</v>
      </c>
      <c r="EC11" s="19" t="s">
        <v>276</v>
      </c>
      <c r="ED11" s="19">
        <v>0</v>
      </c>
      <c r="EE11" s="19" t="s">
        <v>276</v>
      </c>
      <c r="EF11" s="19" t="s">
        <v>276</v>
      </c>
      <c r="EG11" s="19" t="s">
        <v>276</v>
      </c>
      <c r="EH11" s="19">
        <v>0</v>
      </c>
      <c r="EI11" s="19">
        <v>0</v>
      </c>
      <c r="EJ11" s="19" t="s">
        <v>276</v>
      </c>
      <c r="EK11" s="20" t="s">
        <v>276</v>
      </c>
      <c r="EL11" s="20" t="s">
        <v>276</v>
      </c>
      <c r="EM11" s="20" t="s">
        <v>276</v>
      </c>
      <c r="EN11" s="19">
        <v>0</v>
      </c>
      <c r="EO11" s="19">
        <v>0</v>
      </c>
      <c r="EP11" s="20" t="s">
        <v>276</v>
      </c>
      <c r="EQ11" s="20" t="s">
        <v>276</v>
      </c>
      <c r="ER11" s="20" t="s">
        <v>276</v>
      </c>
      <c r="ES11" s="19">
        <v>0</v>
      </c>
      <c r="ET11" s="19">
        <v>0</v>
      </c>
      <c r="EU11" s="19">
        <v>12596</v>
      </c>
      <c r="EV11" s="19">
        <v>1075</v>
      </c>
      <c r="EW11" s="19">
        <v>19</v>
      </c>
      <c r="EX11" s="19">
        <v>21</v>
      </c>
      <c r="EY11" s="19">
        <v>2924</v>
      </c>
      <c r="EZ11" s="19">
        <v>4061</v>
      </c>
      <c r="FA11" s="19">
        <v>2345</v>
      </c>
      <c r="FB11" s="19">
        <v>27</v>
      </c>
      <c r="FC11" s="19">
        <v>1789</v>
      </c>
      <c r="FD11" s="19">
        <v>0</v>
      </c>
      <c r="FE11" s="19">
        <v>225</v>
      </c>
      <c r="FF11" s="19">
        <v>0</v>
      </c>
      <c r="FG11" s="19">
        <v>0</v>
      </c>
      <c r="FH11" s="20" t="s">
        <v>276</v>
      </c>
      <c r="FI11" s="20" t="s">
        <v>276</v>
      </c>
      <c r="FJ11" s="20" t="s">
        <v>276</v>
      </c>
      <c r="FK11" s="19">
        <v>0</v>
      </c>
      <c r="FL11" s="19">
        <v>0</v>
      </c>
      <c r="FM11" s="19">
        <v>0</v>
      </c>
      <c r="FN11" s="19">
        <v>5</v>
      </c>
      <c r="FO11" s="19">
        <v>105</v>
      </c>
    </row>
    <row r="12" spans="1:171" ht="13.5" customHeight="1">
      <c r="A12" s="17" t="s">
        <v>70</v>
      </c>
      <c r="B12" s="18" t="s">
        <v>71</v>
      </c>
      <c r="C12" s="17" t="s">
        <v>59</v>
      </c>
      <c r="D12" s="19">
        <v>53249</v>
      </c>
      <c r="E12" s="19">
        <v>1002</v>
      </c>
      <c r="F12" s="19">
        <v>5</v>
      </c>
      <c r="G12" s="19">
        <v>71</v>
      </c>
      <c r="H12" s="19">
        <v>15185</v>
      </c>
      <c r="I12" s="19">
        <v>9408</v>
      </c>
      <c r="J12" s="19">
        <v>4439</v>
      </c>
      <c r="K12" s="19">
        <v>121</v>
      </c>
      <c r="L12" s="19">
        <v>8415</v>
      </c>
      <c r="M12" s="19">
        <v>158</v>
      </c>
      <c r="N12" s="19">
        <v>31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145</v>
      </c>
      <c r="U12" s="19">
        <v>0</v>
      </c>
      <c r="V12" s="19">
        <v>0</v>
      </c>
      <c r="W12" s="19">
        <v>7</v>
      </c>
      <c r="X12" s="19">
        <v>14262</v>
      </c>
      <c r="Y12" s="19">
        <v>13859</v>
      </c>
      <c r="Z12" s="19">
        <v>0</v>
      </c>
      <c r="AA12" s="19">
        <v>0</v>
      </c>
      <c r="AB12" s="19">
        <v>0</v>
      </c>
      <c r="AC12" s="19">
        <v>259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20" t="s">
        <v>276</v>
      </c>
      <c r="AK12" s="20" t="s">
        <v>276</v>
      </c>
      <c r="AL12" s="19">
        <v>0</v>
      </c>
      <c r="AM12" s="20" t="s">
        <v>276</v>
      </c>
      <c r="AN12" s="20" t="s">
        <v>276</v>
      </c>
      <c r="AO12" s="19">
        <v>145</v>
      </c>
      <c r="AP12" s="20" t="s">
        <v>276</v>
      </c>
      <c r="AQ12" s="19">
        <v>0</v>
      </c>
      <c r="AR12" s="20" t="s">
        <v>276</v>
      </c>
      <c r="AS12" s="19">
        <v>13455</v>
      </c>
      <c r="AT12" s="19">
        <v>15490</v>
      </c>
      <c r="AU12" s="19">
        <v>456</v>
      </c>
      <c r="AV12" s="19">
        <v>4</v>
      </c>
      <c r="AW12" s="19">
        <v>38</v>
      </c>
      <c r="AX12" s="19">
        <v>11309</v>
      </c>
      <c r="AY12" s="19">
        <v>1570</v>
      </c>
      <c r="AZ12" s="19">
        <v>859</v>
      </c>
      <c r="BA12" s="19">
        <v>1</v>
      </c>
      <c r="BB12" s="19">
        <v>607</v>
      </c>
      <c r="BC12" s="19">
        <v>4</v>
      </c>
      <c r="BD12" s="19">
        <v>4</v>
      </c>
      <c r="BE12" s="19" t="s">
        <v>276</v>
      </c>
      <c r="BF12" s="19" t="s">
        <v>276</v>
      </c>
      <c r="BG12" s="20" t="s">
        <v>276</v>
      </c>
      <c r="BH12" s="20" t="s">
        <v>276</v>
      </c>
      <c r="BI12" s="20" t="s">
        <v>276</v>
      </c>
      <c r="BJ12" s="20" t="s">
        <v>276</v>
      </c>
      <c r="BK12" s="20" t="s">
        <v>276</v>
      </c>
      <c r="BL12" s="20" t="s">
        <v>276</v>
      </c>
      <c r="BM12" s="20" t="s">
        <v>276</v>
      </c>
      <c r="BN12" s="19">
        <v>638</v>
      </c>
      <c r="BO12" s="19">
        <v>143</v>
      </c>
      <c r="BP12" s="19" t="s">
        <v>276</v>
      </c>
      <c r="BQ12" s="19" t="s">
        <v>276</v>
      </c>
      <c r="BR12" s="19" t="s">
        <v>276</v>
      </c>
      <c r="BS12" s="19" t="s">
        <v>276</v>
      </c>
      <c r="BT12" s="19" t="s">
        <v>276</v>
      </c>
      <c r="BU12" s="19" t="s">
        <v>276</v>
      </c>
      <c r="BV12" s="19" t="s">
        <v>276</v>
      </c>
      <c r="BW12" s="19" t="s">
        <v>276</v>
      </c>
      <c r="BX12" s="19" t="s">
        <v>276</v>
      </c>
      <c r="BY12" s="19" t="s">
        <v>276</v>
      </c>
      <c r="BZ12" s="19">
        <v>0</v>
      </c>
      <c r="CA12" s="19" t="s">
        <v>276</v>
      </c>
      <c r="CB12" s="20" t="s">
        <v>276</v>
      </c>
      <c r="CC12" s="20" t="s">
        <v>276</v>
      </c>
      <c r="CD12" s="20" t="s">
        <v>276</v>
      </c>
      <c r="CE12" s="20" t="s">
        <v>276</v>
      </c>
      <c r="CF12" s="20" t="s">
        <v>276</v>
      </c>
      <c r="CG12" s="20" t="s">
        <v>276</v>
      </c>
      <c r="CH12" s="20" t="s">
        <v>276</v>
      </c>
      <c r="CI12" s="19">
        <v>143</v>
      </c>
      <c r="CJ12" s="19">
        <v>0</v>
      </c>
      <c r="CK12" s="19" t="s">
        <v>276</v>
      </c>
      <c r="CL12" s="19" t="s">
        <v>276</v>
      </c>
      <c r="CM12" s="19" t="s">
        <v>276</v>
      </c>
      <c r="CN12" s="19" t="s">
        <v>276</v>
      </c>
      <c r="CO12" s="19" t="s">
        <v>276</v>
      </c>
      <c r="CP12" s="19" t="s">
        <v>276</v>
      </c>
      <c r="CQ12" s="19" t="s">
        <v>276</v>
      </c>
      <c r="CR12" s="19" t="s">
        <v>276</v>
      </c>
      <c r="CS12" s="19" t="s">
        <v>276</v>
      </c>
      <c r="CT12" s="19" t="s">
        <v>276</v>
      </c>
      <c r="CU12" s="19" t="s">
        <v>276</v>
      </c>
      <c r="CV12" s="19">
        <v>0</v>
      </c>
      <c r="CW12" s="20" t="s">
        <v>276</v>
      </c>
      <c r="CX12" s="20" t="s">
        <v>276</v>
      </c>
      <c r="CY12" s="20" t="s">
        <v>276</v>
      </c>
      <c r="CZ12" s="20" t="s">
        <v>276</v>
      </c>
      <c r="DA12" s="20" t="s">
        <v>276</v>
      </c>
      <c r="DB12" s="20" t="s">
        <v>276</v>
      </c>
      <c r="DC12" s="20" t="s">
        <v>276</v>
      </c>
      <c r="DD12" s="19">
        <v>0</v>
      </c>
      <c r="DE12" s="19">
        <v>0</v>
      </c>
      <c r="DF12" s="19" t="s">
        <v>276</v>
      </c>
      <c r="DG12" s="19" t="s">
        <v>276</v>
      </c>
      <c r="DH12" s="19" t="s">
        <v>276</v>
      </c>
      <c r="DI12" s="19" t="s">
        <v>276</v>
      </c>
      <c r="DJ12" s="19" t="s">
        <v>276</v>
      </c>
      <c r="DK12" s="19" t="s">
        <v>276</v>
      </c>
      <c r="DL12" s="19" t="s">
        <v>276</v>
      </c>
      <c r="DM12" s="19" t="s">
        <v>276</v>
      </c>
      <c r="DN12" s="19" t="s">
        <v>276</v>
      </c>
      <c r="DO12" s="19" t="s">
        <v>276</v>
      </c>
      <c r="DP12" s="19">
        <v>0</v>
      </c>
      <c r="DQ12" s="19" t="s">
        <v>276</v>
      </c>
      <c r="DR12" s="20" t="s">
        <v>276</v>
      </c>
      <c r="DS12" s="20" t="s">
        <v>276</v>
      </c>
      <c r="DT12" s="19">
        <v>0</v>
      </c>
      <c r="DU12" s="20" t="s">
        <v>276</v>
      </c>
      <c r="DV12" s="20" t="s">
        <v>276</v>
      </c>
      <c r="DW12" s="20" t="s">
        <v>276</v>
      </c>
      <c r="DX12" s="20" t="s">
        <v>276</v>
      </c>
      <c r="DY12" s="19">
        <v>0</v>
      </c>
      <c r="DZ12" s="19">
        <v>7</v>
      </c>
      <c r="EA12" s="19">
        <v>0</v>
      </c>
      <c r="EB12" s="19" t="s">
        <v>276</v>
      </c>
      <c r="EC12" s="19" t="s">
        <v>276</v>
      </c>
      <c r="ED12" s="19">
        <v>0</v>
      </c>
      <c r="EE12" s="19" t="s">
        <v>276</v>
      </c>
      <c r="EF12" s="19" t="s">
        <v>276</v>
      </c>
      <c r="EG12" s="19" t="s">
        <v>276</v>
      </c>
      <c r="EH12" s="19">
        <v>0</v>
      </c>
      <c r="EI12" s="19">
        <v>0</v>
      </c>
      <c r="EJ12" s="19" t="s">
        <v>276</v>
      </c>
      <c r="EK12" s="20" t="s">
        <v>276</v>
      </c>
      <c r="EL12" s="20" t="s">
        <v>276</v>
      </c>
      <c r="EM12" s="20" t="s">
        <v>276</v>
      </c>
      <c r="EN12" s="19">
        <v>0</v>
      </c>
      <c r="EO12" s="19">
        <v>0</v>
      </c>
      <c r="EP12" s="20" t="s">
        <v>276</v>
      </c>
      <c r="EQ12" s="20" t="s">
        <v>276</v>
      </c>
      <c r="ER12" s="20" t="s">
        <v>276</v>
      </c>
      <c r="ES12" s="19">
        <v>7</v>
      </c>
      <c r="ET12" s="19">
        <v>0</v>
      </c>
      <c r="EU12" s="19">
        <v>23750</v>
      </c>
      <c r="EV12" s="19">
        <v>546</v>
      </c>
      <c r="EW12" s="19">
        <v>1</v>
      </c>
      <c r="EX12" s="19">
        <v>33</v>
      </c>
      <c r="EY12" s="19">
        <v>3617</v>
      </c>
      <c r="EZ12" s="19">
        <v>7838</v>
      </c>
      <c r="FA12" s="19">
        <v>3580</v>
      </c>
      <c r="FB12" s="19">
        <v>120</v>
      </c>
      <c r="FC12" s="19">
        <v>7808</v>
      </c>
      <c r="FD12" s="19">
        <v>154</v>
      </c>
      <c r="FE12" s="19">
        <v>27</v>
      </c>
      <c r="FF12" s="19">
        <v>0</v>
      </c>
      <c r="FG12" s="19">
        <v>0</v>
      </c>
      <c r="FH12" s="20" t="s">
        <v>276</v>
      </c>
      <c r="FI12" s="20" t="s">
        <v>276</v>
      </c>
      <c r="FJ12" s="20" t="s">
        <v>276</v>
      </c>
      <c r="FK12" s="19">
        <v>0</v>
      </c>
      <c r="FL12" s="19">
        <v>0</v>
      </c>
      <c r="FM12" s="19">
        <v>0</v>
      </c>
      <c r="FN12" s="19">
        <v>0</v>
      </c>
      <c r="FO12" s="19">
        <v>26</v>
      </c>
    </row>
    <row r="13" spans="1:171" ht="13.5" customHeight="1">
      <c r="A13" s="17" t="s">
        <v>72</v>
      </c>
      <c r="B13" s="18" t="s">
        <v>73</v>
      </c>
      <c r="C13" s="17" t="s">
        <v>59</v>
      </c>
      <c r="D13" s="19">
        <v>123517</v>
      </c>
      <c r="E13" s="19">
        <v>9950</v>
      </c>
      <c r="F13" s="19">
        <v>37</v>
      </c>
      <c r="G13" s="19">
        <v>0</v>
      </c>
      <c r="H13" s="19">
        <v>20610</v>
      </c>
      <c r="I13" s="19">
        <v>10775</v>
      </c>
      <c r="J13" s="19">
        <v>5423</v>
      </c>
      <c r="K13" s="19">
        <v>64</v>
      </c>
      <c r="L13" s="19">
        <v>5312</v>
      </c>
      <c r="M13" s="19">
        <v>0</v>
      </c>
      <c r="N13" s="19">
        <v>837</v>
      </c>
      <c r="O13" s="19">
        <v>6114</v>
      </c>
      <c r="P13" s="19">
        <v>0</v>
      </c>
      <c r="Q13" s="19">
        <v>27259</v>
      </c>
      <c r="R13" s="19">
        <v>23596</v>
      </c>
      <c r="S13" s="19">
        <v>0</v>
      </c>
      <c r="T13" s="19">
        <v>3983</v>
      </c>
      <c r="U13" s="19">
        <v>0</v>
      </c>
      <c r="V13" s="19">
        <v>0</v>
      </c>
      <c r="W13" s="19">
        <v>45</v>
      </c>
      <c r="X13" s="19">
        <v>9512</v>
      </c>
      <c r="Y13" s="19">
        <v>39215</v>
      </c>
      <c r="Z13" s="19">
        <v>158</v>
      </c>
      <c r="AA13" s="19">
        <v>0</v>
      </c>
      <c r="AB13" s="19">
        <v>0</v>
      </c>
      <c r="AC13" s="19">
        <v>1343</v>
      </c>
      <c r="AD13" s="19">
        <v>0</v>
      </c>
      <c r="AE13" s="19">
        <v>4</v>
      </c>
      <c r="AF13" s="19">
        <v>0</v>
      </c>
      <c r="AG13" s="19">
        <v>0</v>
      </c>
      <c r="AH13" s="19">
        <v>0</v>
      </c>
      <c r="AI13" s="19">
        <v>0</v>
      </c>
      <c r="AJ13" s="20" t="s">
        <v>276</v>
      </c>
      <c r="AK13" s="20" t="s">
        <v>276</v>
      </c>
      <c r="AL13" s="19">
        <v>27259</v>
      </c>
      <c r="AM13" s="20" t="s">
        <v>276</v>
      </c>
      <c r="AN13" s="20" t="s">
        <v>276</v>
      </c>
      <c r="AO13" s="19">
        <v>3983</v>
      </c>
      <c r="AP13" s="20" t="s">
        <v>276</v>
      </c>
      <c r="AQ13" s="19">
        <v>0</v>
      </c>
      <c r="AR13" s="20" t="s">
        <v>276</v>
      </c>
      <c r="AS13" s="19">
        <v>6468</v>
      </c>
      <c r="AT13" s="19">
        <v>13675</v>
      </c>
      <c r="AU13" s="19">
        <v>328</v>
      </c>
      <c r="AV13" s="19">
        <v>0</v>
      </c>
      <c r="AW13" s="19">
        <v>0</v>
      </c>
      <c r="AX13" s="19">
        <v>10885</v>
      </c>
      <c r="AY13" s="19">
        <v>904</v>
      </c>
      <c r="AZ13" s="19">
        <v>698</v>
      </c>
      <c r="BA13" s="19">
        <v>0</v>
      </c>
      <c r="BB13" s="19">
        <v>0</v>
      </c>
      <c r="BC13" s="19">
        <v>0</v>
      </c>
      <c r="BD13" s="19">
        <v>0</v>
      </c>
      <c r="BE13" s="19" t="s">
        <v>276</v>
      </c>
      <c r="BF13" s="19" t="s">
        <v>276</v>
      </c>
      <c r="BG13" s="20" t="s">
        <v>276</v>
      </c>
      <c r="BH13" s="20" t="s">
        <v>276</v>
      </c>
      <c r="BI13" s="20" t="s">
        <v>276</v>
      </c>
      <c r="BJ13" s="20" t="s">
        <v>276</v>
      </c>
      <c r="BK13" s="20" t="s">
        <v>276</v>
      </c>
      <c r="BL13" s="20" t="s">
        <v>276</v>
      </c>
      <c r="BM13" s="20" t="s">
        <v>276</v>
      </c>
      <c r="BN13" s="19">
        <v>860</v>
      </c>
      <c r="BO13" s="19">
        <v>6114</v>
      </c>
      <c r="BP13" s="19" t="s">
        <v>276</v>
      </c>
      <c r="BQ13" s="19" t="s">
        <v>276</v>
      </c>
      <c r="BR13" s="19" t="s">
        <v>276</v>
      </c>
      <c r="BS13" s="19" t="s">
        <v>276</v>
      </c>
      <c r="BT13" s="19" t="s">
        <v>276</v>
      </c>
      <c r="BU13" s="19" t="s">
        <v>276</v>
      </c>
      <c r="BV13" s="19" t="s">
        <v>276</v>
      </c>
      <c r="BW13" s="19" t="s">
        <v>276</v>
      </c>
      <c r="BX13" s="19" t="s">
        <v>276</v>
      </c>
      <c r="BY13" s="19" t="s">
        <v>276</v>
      </c>
      <c r="BZ13" s="19">
        <v>6114</v>
      </c>
      <c r="CA13" s="19" t="s">
        <v>276</v>
      </c>
      <c r="CB13" s="20" t="s">
        <v>276</v>
      </c>
      <c r="CC13" s="20" t="s">
        <v>276</v>
      </c>
      <c r="CD13" s="20" t="s">
        <v>276</v>
      </c>
      <c r="CE13" s="20" t="s">
        <v>276</v>
      </c>
      <c r="CF13" s="20" t="s">
        <v>276</v>
      </c>
      <c r="CG13" s="20" t="s">
        <v>276</v>
      </c>
      <c r="CH13" s="20" t="s">
        <v>276</v>
      </c>
      <c r="CI13" s="19">
        <v>0</v>
      </c>
      <c r="CJ13" s="19">
        <v>0</v>
      </c>
      <c r="CK13" s="19" t="s">
        <v>276</v>
      </c>
      <c r="CL13" s="19" t="s">
        <v>276</v>
      </c>
      <c r="CM13" s="19" t="s">
        <v>276</v>
      </c>
      <c r="CN13" s="19" t="s">
        <v>276</v>
      </c>
      <c r="CO13" s="19" t="s">
        <v>276</v>
      </c>
      <c r="CP13" s="19" t="s">
        <v>276</v>
      </c>
      <c r="CQ13" s="19" t="s">
        <v>276</v>
      </c>
      <c r="CR13" s="19" t="s">
        <v>276</v>
      </c>
      <c r="CS13" s="19" t="s">
        <v>276</v>
      </c>
      <c r="CT13" s="19" t="s">
        <v>276</v>
      </c>
      <c r="CU13" s="19" t="s">
        <v>276</v>
      </c>
      <c r="CV13" s="19">
        <v>0</v>
      </c>
      <c r="CW13" s="20" t="s">
        <v>276</v>
      </c>
      <c r="CX13" s="20" t="s">
        <v>276</v>
      </c>
      <c r="CY13" s="20" t="s">
        <v>276</v>
      </c>
      <c r="CZ13" s="20" t="s">
        <v>276</v>
      </c>
      <c r="DA13" s="20" t="s">
        <v>276</v>
      </c>
      <c r="DB13" s="20" t="s">
        <v>276</v>
      </c>
      <c r="DC13" s="20" t="s">
        <v>276</v>
      </c>
      <c r="DD13" s="19">
        <v>0</v>
      </c>
      <c r="DE13" s="19">
        <v>0</v>
      </c>
      <c r="DF13" s="19" t="s">
        <v>276</v>
      </c>
      <c r="DG13" s="19" t="s">
        <v>276</v>
      </c>
      <c r="DH13" s="19" t="s">
        <v>276</v>
      </c>
      <c r="DI13" s="19" t="s">
        <v>276</v>
      </c>
      <c r="DJ13" s="19" t="s">
        <v>276</v>
      </c>
      <c r="DK13" s="19" t="s">
        <v>276</v>
      </c>
      <c r="DL13" s="19" t="s">
        <v>276</v>
      </c>
      <c r="DM13" s="19" t="s">
        <v>276</v>
      </c>
      <c r="DN13" s="19" t="s">
        <v>276</v>
      </c>
      <c r="DO13" s="19" t="s">
        <v>276</v>
      </c>
      <c r="DP13" s="19">
        <v>0</v>
      </c>
      <c r="DQ13" s="19" t="s">
        <v>276</v>
      </c>
      <c r="DR13" s="20" t="s">
        <v>276</v>
      </c>
      <c r="DS13" s="20" t="s">
        <v>276</v>
      </c>
      <c r="DT13" s="19">
        <v>0</v>
      </c>
      <c r="DU13" s="20" t="s">
        <v>276</v>
      </c>
      <c r="DV13" s="20" t="s">
        <v>276</v>
      </c>
      <c r="DW13" s="20" t="s">
        <v>276</v>
      </c>
      <c r="DX13" s="20" t="s">
        <v>276</v>
      </c>
      <c r="DY13" s="19">
        <v>0</v>
      </c>
      <c r="DZ13" s="19">
        <v>23616</v>
      </c>
      <c r="EA13" s="19">
        <v>0</v>
      </c>
      <c r="EB13" s="19" t="s">
        <v>276</v>
      </c>
      <c r="EC13" s="19" t="s">
        <v>276</v>
      </c>
      <c r="ED13" s="19">
        <v>0</v>
      </c>
      <c r="EE13" s="19" t="s">
        <v>276</v>
      </c>
      <c r="EF13" s="19" t="s">
        <v>276</v>
      </c>
      <c r="EG13" s="19" t="s">
        <v>276</v>
      </c>
      <c r="EH13" s="19">
        <v>0</v>
      </c>
      <c r="EI13" s="19">
        <v>0</v>
      </c>
      <c r="EJ13" s="19" t="s">
        <v>276</v>
      </c>
      <c r="EK13" s="20" t="s">
        <v>276</v>
      </c>
      <c r="EL13" s="20" t="s">
        <v>276</v>
      </c>
      <c r="EM13" s="20" t="s">
        <v>276</v>
      </c>
      <c r="EN13" s="19">
        <v>23596</v>
      </c>
      <c r="EO13" s="19">
        <v>0</v>
      </c>
      <c r="EP13" s="20" t="s">
        <v>276</v>
      </c>
      <c r="EQ13" s="20" t="s">
        <v>276</v>
      </c>
      <c r="ER13" s="20" t="s">
        <v>276</v>
      </c>
      <c r="ES13" s="19">
        <v>20</v>
      </c>
      <c r="ET13" s="19">
        <v>0</v>
      </c>
      <c r="EU13" s="19">
        <v>40897</v>
      </c>
      <c r="EV13" s="19">
        <v>9464</v>
      </c>
      <c r="EW13" s="19">
        <v>37</v>
      </c>
      <c r="EX13" s="19">
        <v>0</v>
      </c>
      <c r="EY13" s="19">
        <v>8382</v>
      </c>
      <c r="EZ13" s="19">
        <v>9871</v>
      </c>
      <c r="FA13" s="19">
        <v>4721</v>
      </c>
      <c r="FB13" s="19">
        <v>64</v>
      </c>
      <c r="FC13" s="19">
        <v>5312</v>
      </c>
      <c r="FD13" s="19">
        <v>0</v>
      </c>
      <c r="FE13" s="19">
        <v>837</v>
      </c>
      <c r="FF13" s="19">
        <v>0</v>
      </c>
      <c r="FG13" s="19">
        <v>0</v>
      </c>
      <c r="FH13" s="20" t="s">
        <v>276</v>
      </c>
      <c r="FI13" s="20" t="s">
        <v>276</v>
      </c>
      <c r="FJ13" s="20" t="s">
        <v>276</v>
      </c>
      <c r="FK13" s="19">
        <v>0</v>
      </c>
      <c r="FL13" s="19">
        <v>0</v>
      </c>
      <c r="FM13" s="19">
        <v>0</v>
      </c>
      <c r="FN13" s="19">
        <v>25</v>
      </c>
      <c r="FO13" s="19">
        <v>2184</v>
      </c>
    </row>
    <row r="14" spans="1:171" ht="13.5" customHeight="1">
      <c r="A14" s="17" t="s">
        <v>74</v>
      </c>
      <c r="B14" s="18" t="s">
        <v>75</v>
      </c>
      <c r="C14" s="17" t="s">
        <v>59</v>
      </c>
      <c r="D14" s="19">
        <v>60795</v>
      </c>
      <c r="E14" s="19">
        <v>9243</v>
      </c>
      <c r="F14" s="19">
        <v>103</v>
      </c>
      <c r="G14" s="19">
        <v>0</v>
      </c>
      <c r="H14" s="19">
        <v>13823</v>
      </c>
      <c r="I14" s="19">
        <v>7598</v>
      </c>
      <c r="J14" s="19">
        <v>4571</v>
      </c>
      <c r="K14" s="19">
        <v>30</v>
      </c>
      <c r="L14" s="19">
        <v>4964</v>
      </c>
      <c r="M14" s="19">
        <v>459</v>
      </c>
      <c r="N14" s="19">
        <v>1981</v>
      </c>
      <c r="O14" s="19">
        <v>4317</v>
      </c>
      <c r="P14" s="19">
        <v>0</v>
      </c>
      <c r="Q14" s="19">
        <v>10474</v>
      </c>
      <c r="R14" s="19">
        <v>0</v>
      </c>
      <c r="S14" s="19">
        <v>0</v>
      </c>
      <c r="T14" s="19">
        <v>580</v>
      </c>
      <c r="U14" s="19">
        <v>0</v>
      </c>
      <c r="V14" s="19">
        <v>0</v>
      </c>
      <c r="W14" s="19">
        <v>3</v>
      </c>
      <c r="X14" s="19">
        <v>2649</v>
      </c>
      <c r="Y14" s="19">
        <v>12681</v>
      </c>
      <c r="Z14" s="19">
        <v>143</v>
      </c>
      <c r="AA14" s="19">
        <v>0</v>
      </c>
      <c r="AB14" s="19">
        <v>0</v>
      </c>
      <c r="AC14" s="19">
        <v>935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152</v>
      </c>
      <c r="AJ14" s="20" t="s">
        <v>276</v>
      </c>
      <c r="AK14" s="20" t="s">
        <v>276</v>
      </c>
      <c r="AL14" s="19">
        <v>10474</v>
      </c>
      <c r="AM14" s="20" t="s">
        <v>276</v>
      </c>
      <c r="AN14" s="20" t="s">
        <v>276</v>
      </c>
      <c r="AO14" s="19">
        <v>580</v>
      </c>
      <c r="AP14" s="20" t="s">
        <v>276</v>
      </c>
      <c r="AQ14" s="19">
        <v>0</v>
      </c>
      <c r="AR14" s="20" t="s">
        <v>276</v>
      </c>
      <c r="AS14" s="19">
        <v>397</v>
      </c>
      <c r="AT14" s="19">
        <v>8981</v>
      </c>
      <c r="AU14" s="19">
        <v>0</v>
      </c>
      <c r="AV14" s="19">
        <v>0</v>
      </c>
      <c r="AW14" s="19">
        <v>0</v>
      </c>
      <c r="AX14" s="19">
        <v>6630</v>
      </c>
      <c r="AY14" s="19">
        <v>1735</v>
      </c>
      <c r="AZ14" s="19">
        <v>279</v>
      </c>
      <c r="BA14" s="19">
        <v>0</v>
      </c>
      <c r="BB14" s="19">
        <v>0</v>
      </c>
      <c r="BC14" s="19">
        <v>0</v>
      </c>
      <c r="BD14" s="19">
        <v>0</v>
      </c>
      <c r="BE14" s="19" t="s">
        <v>276</v>
      </c>
      <c r="BF14" s="19" t="s">
        <v>276</v>
      </c>
      <c r="BG14" s="20" t="s">
        <v>276</v>
      </c>
      <c r="BH14" s="20" t="s">
        <v>276</v>
      </c>
      <c r="BI14" s="20" t="s">
        <v>276</v>
      </c>
      <c r="BJ14" s="20" t="s">
        <v>276</v>
      </c>
      <c r="BK14" s="20" t="s">
        <v>276</v>
      </c>
      <c r="BL14" s="20" t="s">
        <v>276</v>
      </c>
      <c r="BM14" s="20" t="s">
        <v>276</v>
      </c>
      <c r="BN14" s="19">
        <v>337</v>
      </c>
      <c r="BO14" s="19">
        <v>4379</v>
      </c>
      <c r="BP14" s="19" t="s">
        <v>276</v>
      </c>
      <c r="BQ14" s="19" t="s">
        <v>276</v>
      </c>
      <c r="BR14" s="19" t="s">
        <v>276</v>
      </c>
      <c r="BS14" s="19" t="s">
        <v>276</v>
      </c>
      <c r="BT14" s="19" t="s">
        <v>276</v>
      </c>
      <c r="BU14" s="19" t="s">
        <v>276</v>
      </c>
      <c r="BV14" s="19" t="s">
        <v>276</v>
      </c>
      <c r="BW14" s="19" t="s">
        <v>276</v>
      </c>
      <c r="BX14" s="19" t="s">
        <v>276</v>
      </c>
      <c r="BY14" s="19" t="s">
        <v>276</v>
      </c>
      <c r="BZ14" s="19">
        <v>4301</v>
      </c>
      <c r="CA14" s="19" t="s">
        <v>276</v>
      </c>
      <c r="CB14" s="20" t="s">
        <v>276</v>
      </c>
      <c r="CC14" s="20" t="s">
        <v>276</v>
      </c>
      <c r="CD14" s="20" t="s">
        <v>276</v>
      </c>
      <c r="CE14" s="20" t="s">
        <v>276</v>
      </c>
      <c r="CF14" s="20" t="s">
        <v>276</v>
      </c>
      <c r="CG14" s="20" t="s">
        <v>276</v>
      </c>
      <c r="CH14" s="20" t="s">
        <v>276</v>
      </c>
      <c r="CI14" s="19">
        <v>78</v>
      </c>
      <c r="CJ14" s="19">
        <v>0</v>
      </c>
      <c r="CK14" s="19" t="s">
        <v>276</v>
      </c>
      <c r="CL14" s="19" t="s">
        <v>276</v>
      </c>
      <c r="CM14" s="19" t="s">
        <v>276</v>
      </c>
      <c r="CN14" s="19" t="s">
        <v>276</v>
      </c>
      <c r="CO14" s="19" t="s">
        <v>276</v>
      </c>
      <c r="CP14" s="19" t="s">
        <v>276</v>
      </c>
      <c r="CQ14" s="19" t="s">
        <v>276</v>
      </c>
      <c r="CR14" s="19" t="s">
        <v>276</v>
      </c>
      <c r="CS14" s="19" t="s">
        <v>276</v>
      </c>
      <c r="CT14" s="19" t="s">
        <v>276</v>
      </c>
      <c r="CU14" s="19" t="s">
        <v>276</v>
      </c>
      <c r="CV14" s="19">
        <v>0</v>
      </c>
      <c r="CW14" s="20" t="s">
        <v>276</v>
      </c>
      <c r="CX14" s="20" t="s">
        <v>276</v>
      </c>
      <c r="CY14" s="20" t="s">
        <v>276</v>
      </c>
      <c r="CZ14" s="20" t="s">
        <v>276</v>
      </c>
      <c r="DA14" s="20" t="s">
        <v>276</v>
      </c>
      <c r="DB14" s="20" t="s">
        <v>276</v>
      </c>
      <c r="DC14" s="20" t="s">
        <v>276</v>
      </c>
      <c r="DD14" s="19">
        <v>0</v>
      </c>
      <c r="DE14" s="19">
        <v>0</v>
      </c>
      <c r="DF14" s="19" t="s">
        <v>276</v>
      </c>
      <c r="DG14" s="19" t="s">
        <v>276</v>
      </c>
      <c r="DH14" s="19" t="s">
        <v>276</v>
      </c>
      <c r="DI14" s="19" t="s">
        <v>276</v>
      </c>
      <c r="DJ14" s="19" t="s">
        <v>276</v>
      </c>
      <c r="DK14" s="19" t="s">
        <v>276</v>
      </c>
      <c r="DL14" s="19" t="s">
        <v>276</v>
      </c>
      <c r="DM14" s="19" t="s">
        <v>276</v>
      </c>
      <c r="DN14" s="19" t="s">
        <v>276</v>
      </c>
      <c r="DO14" s="19" t="s">
        <v>276</v>
      </c>
      <c r="DP14" s="19">
        <v>0</v>
      </c>
      <c r="DQ14" s="19" t="s">
        <v>276</v>
      </c>
      <c r="DR14" s="20" t="s">
        <v>276</v>
      </c>
      <c r="DS14" s="20" t="s">
        <v>276</v>
      </c>
      <c r="DT14" s="19">
        <v>0</v>
      </c>
      <c r="DU14" s="20" t="s">
        <v>276</v>
      </c>
      <c r="DV14" s="20" t="s">
        <v>276</v>
      </c>
      <c r="DW14" s="20" t="s">
        <v>276</v>
      </c>
      <c r="DX14" s="20" t="s">
        <v>276</v>
      </c>
      <c r="DY14" s="19">
        <v>0</v>
      </c>
      <c r="DZ14" s="19">
        <v>3</v>
      </c>
      <c r="EA14" s="19">
        <v>0</v>
      </c>
      <c r="EB14" s="19" t="s">
        <v>276</v>
      </c>
      <c r="EC14" s="19" t="s">
        <v>276</v>
      </c>
      <c r="ED14" s="19">
        <v>0</v>
      </c>
      <c r="EE14" s="19" t="s">
        <v>276</v>
      </c>
      <c r="EF14" s="19" t="s">
        <v>276</v>
      </c>
      <c r="EG14" s="19" t="s">
        <v>276</v>
      </c>
      <c r="EH14" s="19">
        <v>0</v>
      </c>
      <c r="EI14" s="19">
        <v>0</v>
      </c>
      <c r="EJ14" s="19" t="s">
        <v>276</v>
      </c>
      <c r="EK14" s="20" t="s">
        <v>276</v>
      </c>
      <c r="EL14" s="20" t="s">
        <v>276</v>
      </c>
      <c r="EM14" s="20" t="s">
        <v>276</v>
      </c>
      <c r="EN14" s="19">
        <v>0</v>
      </c>
      <c r="EO14" s="19">
        <v>0</v>
      </c>
      <c r="EP14" s="20" t="s">
        <v>276</v>
      </c>
      <c r="EQ14" s="20" t="s">
        <v>276</v>
      </c>
      <c r="ER14" s="20" t="s">
        <v>276</v>
      </c>
      <c r="ES14" s="19">
        <v>3</v>
      </c>
      <c r="ET14" s="19">
        <v>0</v>
      </c>
      <c r="EU14" s="19">
        <v>34751</v>
      </c>
      <c r="EV14" s="19">
        <v>9100</v>
      </c>
      <c r="EW14" s="19">
        <v>103</v>
      </c>
      <c r="EX14" s="19">
        <v>0</v>
      </c>
      <c r="EY14" s="19">
        <v>6258</v>
      </c>
      <c r="EZ14" s="19">
        <v>5863</v>
      </c>
      <c r="FA14" s="19">
        <v>4292</v>
      </c>
      <c r="FB14" s="19">
        <v>30</v>
      </c>
      <c r="FC14" s="19">
        <v>4964</v>
      </c>
      <c r="FD14" s="19">
        <v>459</v>
      </c>
      <c r="FE14" s="19">
        <v>1829</v>
      </c>
      <c r="FF14" s="19">
        <v>16</v>
      </c>
      <c r="FG14" s="19">
        <v>0</v>
      </c>
      <c r="FH14" s="20" t="s">
        <v>276</v>
      </c>
      <c r="FI14" s="20" t="s">
        <v>276</v>
      </c>
      <c r="FJ14" s="20" t="s">
        <v>276</v>
      </c>
      <c r="FK14" s="19">
        <v>0</v>
      </c>
      <c r="FL14" s="19">
        <v>0</v>
      </c>
      <c r="FM14" s="19">
        <v>0</v>
      </c>
      <c r="FN14" s="19">
        <v>0</v>
      </c>
      <c r="FO14" s="19">
        <v>1837</v>
      </c>
    </row>
    <row r="15" spans="1:171" ht="13.5" customHeight="1">
      <c r="A15" s="17" t="s">
        <v>76</v>
      </c>
      <c r="B15" s="18" t="s">
        <v>77</v>
      </c>
      <c r="C15" s="17" t="s">
        <v>59</v>
      </c>
      <c r="D15" s="19">
        <v>54016</v>
      </c>
      <c r="E15" s="19">
        <v>2431</v>
      </c>
      <c r="F15" s="19">
        <v>61</v>
      </c>
      <c r="G15" s="19">
        <v>6</v>
      </c>
      <c r="H15" s="19">
        <v>13142</v>
      </c>
      <c r="I15" s="19">
        <v>7958</v>
      </c>
      <c r="J15" s="19">
        <v>3431</v>
      </c>
      <c r="K15" s="19">
        <v>21</v>
      </c>
      <c r="L15" s="19">
        <v>3729</v>
      </c>
      <c r="M15" s="19">
        <v>472</v>
      </c>
      <c r="N15" s="19">
        <v>223</v>
      </c>
      <c r="O15" s="19">
        <v>432</v>
      </c>
      <c r="P15" s="19">
        <v>22</v>
      </c>
      <c r="Q15" s="19">
        <v>5781</v>
      </c>
      <c r="R15" s="19">
        <v>143</v>
      </c>
      <c r="S15" s="19">
        <v>0</v>
      </c>
      <c r="T15" s="19">
        <v>5911</v>
      </c>
      <c r="U15" s="19">
        <v>0</v>
      </c>
      <c r="V15" s="19">
        <v>0</v>
      </c>
      <c r="W15" s="19">
        <v>25</v>
      </c>
      <c r="X15" s="19">
        <v>10228</v>
      </c>
      <c r="Y15" s="19">
        <v>12982</v>
      </c>
      <c r="Z15" s="19">
        <v>439</v>
      </c>
      <c r="AA15" s="19">
        <v>1</v>
      </c>
      <c r="AB15" s="19">
        <v>0</v>
      </c>
      <c r="AC15" s="19">
        <v>190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20" t="s">
        <v>276</v>
      </c>
      <c r="AK15" s="20" t="s">
        <v>276</v>
      </c>
      <c r="AL15" s="19">
        <v>5781</v>
      </c>
      <c r="AM15" s="20" t="s">
        <v>276</v>
      </c>
      <c r="AN15" s="20" t="s">
        <v>276</v>
      </c>
      <c r="AO15" s="19">
        <v>5429</v>
      </c>
      <c r="AP15" s="20" t="s">
        <v>276</v>
      </c>
      <c r="AQ15" s="19">
        <v>0</v>
      </c>
      <c r="AR15" s="20" t="s">
        <v>276</v>
      </c>
      <c r="AS15" s="19">
        <v>1142</v>
      </c>
      <c r="AT15" s="19">
        <v>18902</v>
      </c>
      <c r="AU15" s="19">
        <v>285</v>
      </c>
      <c r="AV15" s="19">
        <v>50</v>
      </c>
      <c r="AW15" s="19">
        <v>0</v>
      </c>
      <c r="AX15" s="19">
        <v>11270</v>
      </c>
      <c r="AY15" s="19">
        <v>2431</v>
      </c>
      <c r="AZ15" s="19">
        <v>633</v>
      </c>
      <c r="BA15" s="19">
        <v>14</v>
      </c>
      <c r="BB15" s="19">
        <v>2493</v>
      </c>
      <c r="BC15" s="19">
        <v>30</v>
      </c>
      <c r="BD15" s="19">
        <v>155</v>
      </c>
      <c r="BE15" s="19" t="s">
        <v>276</v>
      </c>
      <c r="BF15" s="19" t="s">
        <v>276</v>
      </c>
      <c r="BG15" s="20" t="s">
        <v>276</v>
      </c>
      <c r="BH15" s="20" t="s">
        <v>276</v>
      </c>
      <c r="BI15" s="20" t="s">
        <v>276</v>
      </c>
      <c r="BJ15" s="20" t="s">
        <v>276</v>
      </c>
      <c r="BK15" s="20" t="s">
        <v>276</v>
      </c>
      <c r="BL15" s="20" t="s">
        <v>276</v>
      </c>
      <c r="BM15" s="20" t="s">
        <v>276</v>
      </c>
      <c r="BN15" s="19">
        <v>1541</v>
      </c>
      <c r="BO15" s="19">
        <v>432</v>
      </c>
      <c r="BP15" s="19" t="s">
        <v>276</v>
      </c>
      <c r="BQ15" s="19" t="s">
        <v>276</v>
      </c>
      <c r="BR15" s="19" t="s">
        <v>276</v>
      </c>
      <c r="BS15" s="19" t="s">
        <v>276</v>
      </c>
      <c r="BT15" s="19" t="s">
        <v>276</v>
      </c>
      <c r="BU15" s="19" t="s">
        <v>276</v>
      </c>
      <c r="BV15" s="19" t="s">
        <v>276</v>
      </c>
      <c r="BW15" s="19" t="s">
        <v>276</v>
      </c>
      <c r="BX15" s="19" t="s">
        <v>276</v>
      </c>
      <c r="BY15" s="19" t="s">
        <v>276</v>
      </c>
      <c r="BZ15" s="19">
        <v>432</v>
      </c>
      <c r="CA15" s="19" t="s">
        <v>276</v>
      </c>
      <c r="CB15" s="20" t="s">
        <v>276</v>
      </c>
      <c r="CC15" s="20" t="s">
        <v>276</v>
      </c>
      <c r="CD15" s="20" t="s">
        <v>276</v>
      </c>
      <c r="CE15" s="20" t="s">
        <v>276</v>
      </c>
      <c r="CF15" s="20" t="s">
        <v>276</v>
      </c>
      <c r="CG15" s="20" t="s">
        <v>276</v>
      </c>
      <c r="CH15" s="20" t="s">
        <v>276</v>
      </c>
      <c r="CI15" s="19">
        <v>0</v>
      </c>
      <c r="CJ15" s="19">
        <v>22</v>
      </c>
      <c r="CK15" s="19" t="s">
        <v>276</v>
      </c>
      <c r="CL15" s="19" t="s">
        <v>276</v>
      </c>
      <c r="CM15" s="19" t="s">
        <v>276</v>
      </c>
      <c r="CN15" s="19" t="s">
        <v>276</v>
      </c>
      <c r="CO15" s="19" t="s">
        <v>276</v>
      </c>
      <c r="CP15" s="19" t="s">
        <v>276</v>
      </c>
      <c r="CQ15" s="19" t="s">
        <v>276</v>
      </c>
      <c r="CR15" s="19" t="s">
        <v>276</v>
      </c>
      <c r="CS15" s="19" t="s">
        <v>276</v>
      </c>
      <c r="CT15" s="19" t="s">
        <v>276</v>
      </c>
      <c r="CU15" s="19" t="s">
        <v>276</v>
      </c>
      <c r="CV15" s="19">
        <v>22</v>
      </c>
      <c r="CW15" s="20" t="s">
        <v>276</v>
      </c>
      <c r="CX15" s="20" t="s">
        <v>276</v>
      </c>
      <c r="CY15" s="20" t="s">
        <v>276</v>
      </c>
      <c r="CZ15" s="20" t="s">
        <v>276</v>
      </c>
      <c r="DA15" s="20" t="s">
        <v>276</v>
      </c>
      <c r="DB15" s="20" t="s">
        <v>276</v>
      </c>
      <c r="DC15" s="20" t="s">
        <v>276</v>
      </c>
      <c r="DD15" s="19">
        <v>0</v>
      </c>
      <c r="DE15" s="19">
        <v>0</v>
      </c>
      <c r="DF15" s="19" t="s">
        <v>276</v>
      </c>
      <c r="DG15" s="19" t="s">
        <v>276</v>
      </c>
      <c r="DH15" s="19" t="s">
        <v>276</v>
      </c>
      <c r="DI15" s="19" t="s">
        <v>276</v>
      </c>
      <c r="DJ15" s="19" t="s">
        <v>276</v>
      </c>
      <c r="DK15" s="19" t="s">
        <v>276</v>
      </c>
      <c r="DL15" s="19" t="s">
        <v>276</v>
      </c>
      <c r="DM15" s="19" t="s">
        <v>276</v>
      </c>
      <c r="DN15" s="19" t="s">
        <v>276</v>
      </c>
      <c r="DO15" s="19" t="s">
        <v>276</v>
      </c>
      <c r="DP15" s="19">
        <v>0</v>
      </c>
      <c r="DQ15" s="19" t="s">
        <v>276</v>
      </c>
      <c r="DR15" s="20" t="s">
        <v>276</v>
      </c>
      <c r="DS15" s="20" t="s">
        <v>276</v>
      </c>
      <c r="DT15" s="19">
        <v>0</v>
      </c>
      <c r="DU15" s="20" t="s">
        <v>276</v>
      </c>
      <c r="DV15" s="20" t="s">
        <v>276</v>
      </c>
      <c r="DW15" s="20" t="s">
        <v>276</v>
      </c>
      <c r="DX15" s="20" t="s">
        <v>276</v>
      </c>
      <c r="DY15" s="19">
        <v>0</v>
      </c>
      <c r="DZ15" s="19">
        <v>143</v>
      </c>
      <c r="EA15" s="19">
        <v>0</v>
      </c>
      <c r="EB15" s="19" t="s">
        <v>276</v>
      </c>
      <c r="EC15" s="19" t="s">
        <v>276</v>
      </c>
      <c r="ED15" s="19">
        <v>0</v>
      </c>
      <c r="EE15" s="19" t="s">
        <v>276</v>
      </c>
      <c r="EF15" s="19" t="s">
        <v>276</v>
      </c>
      <c r="EG15" s="19" t="s">
        <v>276</v>
      </c>
      <c r="EH15" s="19">
        <v>0</v>
      </c>
      <c r="EI15" s="19">
        <v>0</v>
      </c>
      <c r="EJ15" s="19" t="s">
        <v>276</v>
      </c>
      <c r="EK15" s="20" t="s">
        <v>276</v>
      </c>
      <c r="EL15" s="20" t="s">
        <v>276</v>
      </c>
      <c r="EM15" s="20" t="s">
        <v>276</v>
      </c>
      <c r="EN15" s="19">
        <v>143</v>
      </c>
      <c r="EO15" s="19">
        <v>0</v>
      </c>
      <c r="EP15" s="20" t="s">
        <v>276</v>
      </c>
      <c r="EQ15" s="20" t="s">
        <v>276</v>
      </c>
      <c r="ER15" s="20" t="s">
        <v>276</v>
      </c>
      <c r="ES15" s="19">
        <v>0</v>
      </c>
      <c r="ET15" s="19">
        <v>0</v>
      </c>
      <c r="EU15" s="19">
        <v>21535</v>
      </c>
      <c r="EV15" s="19">
        <v>1707</v>
      </c>
      <c r="EW15" s="19">
        <v>10</v>
      </c>
      <c r="EX15" s="19">
        <v>6</v>
      </c>
      <c r="EY15" s="19">
        <v>1682</v>
      </c>
      <c r="EZ15" s="19">
        <v>5527</v>
      </c>
      <c r="FA15" s="19">
        <v>2798</v>
      </c>
      <c r="FB15" s="19">
        <v>7</v>
      </c>
      <c r="FC15" s="19">
        <v>1236</v>
      </c>
      <c r="FD15" s="19">
        <v>442</v>
      </c>
      <c r="FE15" s="19">
        <v>68</v>
      </c>
      <c r="FF15" s="19">
        <v>0</v>
      </c>
      <c r="FG15" s="19">
        <v>0</v>
      </c>
      <c r="FH15" s="20" t="s">
        <v>276</v>
      </c>
      <c r="FI15" s="20" t="s">
        <v>276</v>
      </c>
      <c r="FJ15" s="20" t="s">
        <v>276</v>
      </c>
      <c r="FK15" s="19">
        <v>482</v>
      </c>
      <c r="FL15" s="19">
        <v>0</v>
      </c>
      <c r="FM15" s="19">
        <v>0</v>
      </c>
      <c r="FN15" s="19">
        <v>25</v>
      </c>
      <c r="FO15" s="19">
        <v>7545</v>
      </c>
    </row>
    <row r="16" spans="1:171" ht="13.5" customHeight="1">
      <c r="A16" s="17" t="s">
        <v>78</v>
      </c>
      <c r="B16" s="18" t="s">
        <v>79</v>
      </c>
      <c r="C16" s="17" t="s">
        <v>59</v>
      </c>
      <c r="D16" s="19">
        <v>323683</v>
      </c>
      <c r="E16" s="19">
        <v>8148</v>
      </c>
      <c r="F16" s="19">
        <v>24</v>
      </c>
      <c r="G16" s="19">
        <v>2058</v>
      </c>
      <c r="H16" s="19">
        <v>50007</v>
      </c>
      <c r="I16" s="19">
        <v>32395</v>
      </c>
      <c r="J16" s="19">
        <v>15937</v>
      </c>
      <c r="K16" s="19">
        <v>0</v>
      </c>
      <c r="L16" s="19">
        <v>30311</v>
      </c>
      <c r="M16" s="19">
        <v>7887</v>
      </c>
      <c r="N16" s="19">
        <v>2570</v>
      </c>
      <c r="O16" s="19">
        <v>296</v>
      </c>
      <c r="P16" s="19">
        <v>0</v>
      </c>
      <c r="Q16" s="19">
        <v>34823</v>
      </c>
      <c r="R16" s="19">
        <v>88</v>
      </c>
      <c r="S16" s="19">
        <v>224</v>
      </c>
      <c r="T16" s="19">
        <v>61765</v>
      </c>
      <c r="U16" s="19">
        <v>14786</v>
      </c>
      <c r="V16" s="19">
        <v>0</v>
      </c>
      <c r="W16" s="19">
        <v>2</v>
      </c>
      <c r="X16" s="19">
        <v>62362</v>
      </c>
      <c r="Y16" s="19">
        <v>149494</v>
      </c>
      <c r="Z16" s="19">
        <v>402</v>
      </c>
      <c r="AA16" s="19">
        <v>0</v>
      </c>
      <c r="AB16" s="19">
        <v>0</v>
      </c>
      <c r="AC16" s="19">
        <v>5849</v>
      </c>
      <c r="AD16" s="19">
        <v>0</v>
      </c>
      <c r="AE16" s="19">
        <v>0</v>
      </c>
      <c r="AF16" s="19">
        <v>0</v>
      </c>
      <c r="AG16" s="19">
        <v>0</v>
      </c>
      <c r="AH16" s="19">
        <v>42</v>
      </c>
      <c r="AI16" s="19">
        <v>23</v>
      </c>
      <c r="AJ16" s="20" t="s">
        <v>276</v>
      </c>
      <c r="AK16" s="20" t="s">
        <v>276</v>
      </c>
      <c r="AL16" s="19">
        <v>34823</v>
      </c>
      <c r="AM16" s="20" t="s">
        <v>276</v>
      </c>
      <c r="AN16" s="20" t="s">
        <v>276</v>
      </c>
      <c r="AO16" s="19">
        <v>61765</v>
      </c>
      <c r="AP16" s="20" t="s">
        <v>276</v>
      </c>
      <c r="AQ16" s="19">
        <v>0</v>
      </c>
      <c r="AR16" s="20" t="s">
        <v>276</v>
      </c>
      <c r="AS16" s="19">
        <v>46590</v>
      </c>
      <c r="AT16" s="19">
        <v>25119</v>
      </c>
      <c r="AU16" s="19">
        <v>474</v>
      </c>
      <c r="AV16" s="19">
        <v>1</v>
      </c>
      <c r="AW16" s="19">
        <v>0</v>
      </c>
      <c r="AX16" s="19">
        <v>20653</v>
      </c>
      <c r="AY16" s="19">
        <v>1031</v>
      </c>
      <c r="AZ16" s="19">
        <v>27</v>
      </c>
      <c r="BA16" s="19">
        <v>0</v>
      </c>
      <c r="BB16" s="19">
        <v>98</v>
      </c>
      <c r="BC16" s="19">
        <v>1623</v>
      </c>
      <c r="BD16" s="19">
        <v>138</v>
      </c>
      <c r="BE16" s="19" t="s">
        <v>276</v>
      </c>
      <c r="BF16" s="19" t="s">
        <v>276</v>
      </c>
      <c r="BG16" s="20" t="s">
        <v>276</v>
      </c>
      <c r="BH16" s="20" t="s">
        <v>276</v>
      </c>
      <c r="BI16" s="20" t="s">
        <v>276</v>
      </c>
      <c r="BJ16" s="20" t="s">
        <v>276</v>
      </c>
      <c r="BK16" s="20" t="s">
        <v>276</v>
      </c>
      <c r="BL16" s="20" t="s">
        <v>276</v>
      </c>
      <c r="BM16" s="20" t="s">
        <v>276</v>
      </c>
      <c r="BN16" s="19">
        <v>1074</v>
      </c>
      <c r="BO16" s="19">
        <v>547</v>
      </c>
      <c r="BP16" s="19" t="s">
        <v>276</v>
      </c>
      <c r="BQ16" s="19" t="s">
        <v>276</v>
      </c>
      <c r="BR16" s="19" t="s">
        <v>276</v>
      </c>
      <c r="BS16" s="19" t="s">
        <v>276</v>
      </c>
      <c r="BT16" s="19" t="s">
        <v>276</v>
      </c>
      <c r="BU16" s="19" t="s">
        <v>276</v>
      </c>
      <c r="BV16" s="19" t="s">
        <v>276</v>
      </c>
      <c r="BW16" s="19" t="s">
        <v>276</v>
      </c>
      <c r="BX16" s="19" t="s">
        <v>276</v>
      </c>
      <c r="BY16" s="19" t="s">
        <v>276</v>
      </c>
      <c r="BZ16" s="19">
        <v>296</v>
      </c>
      <c r="CA16" s="19" t="s">
        <v>276</v>
      </c>
      <c r="CB16" s="20" t="s">
        <v>276</v>
      </c>
      <c r="CC16" s="20" t="s">
        <v>276</v>
      </c>
      <c r="CD16" s="20" t="s">
        <v>276</v>
      </c>
      <c r="CE16" s="20" t="s">
        <v>276</v>
      </c>
      <c r="CF16" s="20" t="s">
        <v>276</v>
      </c>
      <c r="CG16" s="20" t="s">
        <v>276</v>
      </c>
      <c r="CH16" s="20" t="s">
        <v>276</v>
      </c>
      <c r="CI16" s="19">
        <v>251</v>
      </c>
      <c r="CJ16" s="19">
        <v>0</v>
      </c>
      <c r="CK16" s="19" t="s">
        <v>276</v>
      </c>
      <c r="CL16" s="19" t="s">
        <v>276</v>
      </c>
      <c r="CM16" s="19" t="s">
        <v>276</v>
      </c>
      <c r="CN16" s="19" t="s">
        <v>276</v>
      </c>
      <c r="CO16" s="19" t="s">
        <v>276</v>
      </c>
      <c r="CP16" s="19" t="s">
        <v>276</v>
      </c>
      <c r="CQ16" s="19" t="s">
        <v>276</v>
      </c>
      <c r="CR16" s="19" t="s">
        <v>276</v>
      </c>
      <c r="CS16" s="19" t="s">
        <v>276</v>
      </c>
      <c r="CT16" s="19" t="s">
        <v>276</v>
      </c>
      <c r="CU16" s="19" t="s">
        <v>276</v>
      </c>
      <c r="CV16" s="19">
        <v>0</v>
      </c>
      <c r="CW16" s="20" t="s">
        <v>276</v>
      </c>
      <c r="CX16" s="20" t="s">
        <v>276</v>
      </c>
      <c r="CY16" s="20" t="s">
        <v>276</v>
      </c>
      <c r="CZ16" s="20" t="s">
        <v>276</v>
      </c>
      <c r="DA16" s="20" t="s">
        <v>276</v>
      </c>
      <c r="DB16" s="20" t="s">
        <v>276</v>
      </c>
      <c r="DC16" s="20" t="s">
        <v>276</v>
      </c>
      <c r="DD16" s="19">
        <v>0</v>
      </c>
      <c r="DE16" s="19">
        <v>1049</v>
      </c>
      <c r="DF16" s="19" t="s">
        <v>276</v>
      </c>
      <c r="DG16" s="19" t="s">
        <v>276</v>
      </c>
      <c r="DH16" s="19" t="s">
        <v>276</v>
      </c>
      <c r="DI16" s="19" t="s">
        <v>276</v>
      </c>
      <c r="DJ16" s="19" t="s">
        <v>276</v>
      </c>
      <c r="DK16" s="19" t="s">
        <v>276</v>
      </c>
      <c r="DL16" s="19" t="s">
        <v>276</v>
      </c>
      <c r="DM16" s="19" t="s">
        <v>276</v>
      </c>
      <c r="DN16" s="19" t="s">
        <v>276</v>
      </c>
      <c r="DO16" s="19" t="s">
        <v>276</v>
      </c>
      <c r="DP16" s="19">
        <v>0</v>
      </c>
      <c r="DQ16" s="19" t="s">
        <v>276</v>
      </c>
      <c r="DR16" s="20" t="s">
        <v>276</v>
      </c>
      <c r="DS16" s="20" t="s">
        <v>276</v>
      </c>
      <c r="DT16" s="19">
        <v>0</v>
      </c>
      <c r="DU16" s="20" t="s">
        <v>276</v>
      </c>
      <c r="DV16" s="20" t="s">
        <v>276</v>
      </c>
      <c r="DW16" s="20" t="s">
        <v>276</v>
      </c>
      <c r="DX16" s="20" t="s">
        <v>276</v>
      </c>
      <c r="DY16" s="19">
        <v>1049</v>
      </c>
      <c r="DZ16" s="19">
        <v>312</v>
      </c>
      <c r="EA16" s="19">
        <v>0</v>
      </c>
      <c r="EB16" s="19" t="s">
        <v>276</v>
      </c>
      <c r="EC16" s="19" t="s">
        <v>276</v>
      </c>
      <c r="ED16" s="19">
        <v>0</v>
      </c>
      <c r="EE16" s="19" t="s">
        <v>276</v>
      </c>
      <c r="EF16" s="19" t="s">
        <v>276</v>
      </c>
      <c r="EG16" s="19" t="s">
        <v>276</v>
      </c>
      <c r="EH16" s="19">
        <v>0</v>
      </c>
      <c r="EI16" s="19">
        <v>0</v>
      </c>
      <c r="EJ16" s="19" t="s">
        <v>276</v>
      </c>
      <c r="EK16" s="20" t="s">
        <v>276</v>
      </c>
      <c r="EL16" s="20" t="s">
        <v>276</v>
      </c>
      <c r="EM16" s="20" t="s">
        <v>276</v>
      </c>
      <c r="EN16" s="19">
        <v>88</v>
      </c>
      <c r="EO16" s="19">
        <v>224</v>
      </c>
      <c r="EP16" s="20" t="s">
        <v>276</v>
      </c>
      <c r="EQ16" s="20" t="s">
        <v>276</v>
      </c>
      <c r="ER16" s="20" t="s">
        <v>276</v>
      </c>
      <c r="ES16" s="19">
        <v>0</v>
      </c>
      <c r="ET16" s="19">
        <v>0</v>
      </c>
      <c r="EU16" s="19">
        <v>147162</v>
      </c>
      <c r="EV16" s="19">
        <v>7272</v>
      </c>
      <c r="EW16" s="19">
        <v>23</v>
      </c>
      <c r="EX16" s="19">
        <v>2058</v>
      </c>
      <c r="EY16" s="19">
        <v>23505</v>
      </c>
      <c r="EZ16" s="19">
        <v>31364</v>
      </c>
      <c r="FA16" s="19">
        <v>15910</v>
      </c>
      <c r="FB16" s="19">
        <v>0</v>
      </c>
      <c r="FC16" s="19">
        <v>30213</v>
      </c>
      <c r="FD16" s="19">
        <v>6222</v>
      </c>
      <c r="FE16" s="19">
        <v>2409</v>
      </c>
      <c r="FF16" s="19">
        <v>0</v>
      </c>
      <c r="FG16" s="19">
        <v>0</v>
      </c>
      <c r="FH16" s="20" t="s">
        <v>276</v>
      </c>
      <c r="FI16" s="20" t="s">
        <v>276</v>
      </c>
      <c r="FJ16" s="20" t="s">
        <v>276</v>
      </c>
      <c r="FK16" s="19">
        <v>0</v>
      </c>
      <c r="FL16" s="19">
        <v>14786</v>
      </c>
      <c r="FM16" s="19">
        <v>0</v>
      </c>
      <c r="FN16" s="19">
        <v>2</v>
      </c>
      <c r="FO16" s="19">
        <v>13398</v>
      </c>
    </row>
    <row r="17" spans="1:171" ht="13.5" customHeight="1">
      <c r="A17" s="17" t="s">
        <v>80</v>
      </c>
      <c r="B17" s="18" t="s">
        <v>81</v>
      </c>
      <c r="C17" s="17" t="s">
        <v>59</v>
      </c>
      <c r="D17" s="19">
        <v>248455</v>
      </c>
      <c r="E17" s="19">
        <v>22437</v>
      </c>
      <c r="F17" s="19">
        <v>126</v>
      </c>
      <c r="G17" s="19">
        <v>1771</v>
      </c>
      <c r="H17" s="19">
        <v>46566</v>
      </c>
      <c r="I17" s="19">
        <v>30681</v>
      </c>
      <c r="J17" s="19">
        <v>14888</v>
      </c>
      <c r="K17" s="19">
        <v>2</v>
      </c>
      <c r="L17" s="19">
        <v>24444</v>
      </c>
      <c r="M17" s="19">
        <v>1293</v>
      </c>
      <c r="N17" s="19">
        <v>4428</v>
      </c>
      <c r="O17" s="19">
        <v>3815</v>
      </c>
      <c r="P17" s="19">
        <v>877</v>
      </c>
      <c r="Q17" s="19">
        <v>53867</v>
      </c>
      <c r="R17" s="19">
        <v>61</v>
      </c>
      <c r="S17" s="19">
        <v>248</v>
      </c>
      <c r="T17" s="19">
        <v>9465</v>
      </c>
      <c r="U17" s="19">
        <v>0</v>
      </c>
      <c r="V17" s="19">
        <v>1528</v>
      </c>
      <c r="W17" s="19">
        <v>10</v>
      </c>
      <c r="X17" s="19">
        <v>31948</v>
      </c>
      <c r="Y17" s="19">
        <v>83506</v>
      </c>
      <c r="Z17" s="19">
        <v>0</v>
      </c>
      <c r="AA17" s="19">
        <v>0</v>
      </c>
      <c r="AB17" s="19">
        <v>0</v>
      </c>
      <c r="AC17" s="19">
        <v>6516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11</v>
      </c>
      <c r="AJ17" s="20" t="s">
        <v>276</v>
      </c>
      <c r="AK17" s="20" t="s">
        <v>276</v>
      </c>
      <c r="AL17" s="19">
        <v>53867</v>
      </c>
      <c r="AM17" s="20" t="s">
        <v>276</v>
      </c>
      <c r="AN17" s="20" t="s">
        <v>276</v>
      </c>
      <c r="AO17" s="19">
        <v>9465</v>
      </c>
      <c r="AP17" s="20" t="s">
        <v>276</v>
      </c>
      <c r="AQ17" s="19">
        <v>1528</v>
      </c>
      <c r="AR17" s="20" t="s">
        <v>276</v>
      </c>
      <c r="AS17" s="19">
        <v>12119</v>
      </c>
      <c r="AT17" s="19">
        <v>41434</v>
      </c>
      <c r="AU17" s="19">
        <v>756</v>
      </c>
      <c r="AV17" s="19">
        <v>0</v>
      </c>
      <c r="AW17" s="19">
        <v>0</v>
      </c>
      <c r="AX17" s="19">
        <v>18903</v>
      </c>
      <c r="AY17" s="19">
        <v>4810</v>
      </c>
      <c r="AZ17" s="19">
        <v>1311</v>
      </c>
      <c r="BA17" s="19">
        <v>0</v>
      </c>
      <c r="BB17" s="19">
        <v>6465</v>
      </c>
      <c r="BC17" s="19">
        <v>752</v>
      </c>
      <c r="BD17" s="19">
        <v>38</v>
      </c>
      <c r="BE17" s="19" t="s">
        <v>276</v>
      </c>
      <c r="BF17" s="19" t="s">
        <v>276</v>
      </c>
      <c r="BG17" s="20" t="s">
        <v>276</v>
      </c>
      <c r="BH17" s="20" t="s">
        <v>276</v>
      </c>
      <c r="BI17" s="20" t="s">
        <v>276</v>
      </c>
      <c r="BJ17" s="20" t="s">
        <v>276</v>
      </c>
      <c r="BK17" s="20" t="s">
        <v>276</v>
      </c>
      <c r="BL17" s="20" t="s">
        <v>276</v>
      </c>
      <c r="BM17" s="20" t="s">
        <v>276</v>
      </c>
      <c r="BN17" s="19">
        <v>8399</v>
      </c>
      <c r="BO17" s="19">
        <v>3479</v>
      </c>
      <c r="BP17" s="19" t="s">
        <v>276</v>
      </c>
      <c r="BQ17" s="19" t="s">
        <v>276</v>
      </c>
      <c r="BR17" s="19" t="s">
        <v>276</v>
      </c>
      <c r="BS17" s="19" t="s">
        <v>276</v>
      </c>
      <c r="BT17" s="19" t="s">
        <v>276</v>
      </c>
      <c r="BU17" s="19" t="s">
        <v>276</v>
      </c>
      <c r="BV17" s="19" t="s">
        <v>276</v>
      </c>
      <c r="BW17" s="19" t="s">
        <v>276</v>
      </c>
      <c r="BX17" s="19" t="s">
        <v>276</v>
      </c>
      <c r="BY17" s="19" t="s">
        <v>276</v>
      </c>
      <c r="BZ17" s="19">
        <v>3479</v>
      </c>
      <c r="CA17" s="19" t="s">
        <v>276</v>
      </c>
      <c r="CB17" s="20" t="s">
        <v>276</v>
      </c>
      <c r="CC17" s="20" t="s">
        <v>276</v>
      </c>
      <c r="CD17" s="20" t="s">
        <v>276</v>
      </c>
      <c r="CE17" s="20" t="s">
        <v>276</v>
      </c>
      <c r="CF17" s="20" t="s">
        <v>276</v>
      </c>
      <c r="CG17" s="20" t="s">
        <v>276</v>
      </c>
      <c r="CH17" s="20" t="s">
        <v>276</v>
      </c>
      <c r="CI17" s="19">
        <v>0</v>
      </c>
      <c r="CJ17" s="19">
        <v>877</v>
      </c>
      <c r="CK17" s="19" t="s">
        <v>276</v>
      </c>
      <c r="CL17" s="19" t="s">
        <v>276</v>
      </c>
      <c r="CM17" s="19" t="s">
        <v>276</v>
      </c>
      <c r="CN17" s="19" t="s">
        <v>276</v>
      </c>
      <c r="CO17" s="19" t="s">
        <v>276</v>
      </c>
      <c r="CP17" s="19" t="s">
        <v>276</v>
      </c>
      <c r="CQ17" s="19" t="s">
        <v>276</v>
      </c>
      <c r="CR17" s="19" t="s">
        <v>276</v>
      </c>
      <c r="CS17" s="19" t="s">
        <v>276</v>
      </c>
      <c r="CT17" s="19" t="s">
        <v>276</v>
      </c>
      <c r="CU17" s="19" t="s">
        <v>276</v>
      </c>
      <c r="CV17" s="19">
        <v>877</v>
      </c>
      <c r="CW17" s="20" t="s">
        <v>276</v>
      </c>
      <c r="CX17" s="20" t="s">
        <v>276</v>
      </c>
      <c r="CY17" s="20" t="s">
        <v>276</v>
      </c>
      <c r="CZ17" s="20" t="s">
        <v>276</v>
      </c>
      <c r="DA17" s="20" t="s">
        <v>276</v>
      </c>
      <c r="DB17" s="20" t="s">
        <v>276</v>
      </c>
      <c r="DC17" s="20" t="s">
        <v>276</v>
      </c>
      <c r="DD17" s="19">
        <v>0</v>
      </c>
      <c r="DE17" s="19">
        <v>248</v>
      </c>
      <c r="DF17" s="19" t="s">
        <v>276</v>
      </c>
      <c r="DG17" s="19" t="s">
        <v>276</v>
      </c>
      <c r="DH17" s="19" t="s">
        <v>276</v>
      </c>
      <c r="DI17" s="19" t="s">
        <v>276</v>
      </c>
      <c r="DJ17" s="19" t="s">
        <v>276</v>
      </c>
      <c r="DK17" s="19" t="s">
        <v>276</v>
      </c>
      <c r="DL17" s="19" t="s">
        <v>276</v>
      </c>
      <c r="DM17" s="19" t="s">
        <v>276</v>
      </c>
      <c r="DN17" s="19" t="s">
        <v>276</v>
      </c>
      <c r="DO17" s="19" t="s">
        <v>276</v>
      </c>
      <c r="DP17" s="19">
        <v>0</v>
      </c>
      <c r="DQ17" s="19" t="s">
        <v>276</v>
      </c>
      <c r="DR17" s="20" t="s">
        <v>276</v>
      </c>
      <c r="DS17" s="20" t="s">
        <v>276</v>
      </c>
      <c r="DT17" s="19">
        <v>248</v>
      </c>
      <c r="DU17" s="20" t="s">
        <v>276</v>
      </c>
      <c r="DV17" s="20" t="s">
        <v>276</v>
      </c>
      <c r="DW17" s="20" t="s">
        <v>276</v>
      </c>
      <c r="DX17" s="20" t="s">
        <v>276</v>
      </c>
      <c r="DY17" s="19">
        <v>0</v>
      </c>
      <c r="DZ17" s="19">
        <v>229</v>
      </c>
      <c r="EA17" s="19">
        <v>0</v>
      </c>
      <c r="EB17" s="19" t="s">
        <v>276</v>
      </c>
      <c r="EC17" s="19" t="s">
        <v>276</v>
      </c>
      <c r="ED17" s="19">
        <v>0</v>
      </c>
      <c r="EE17" s="19" t="s">
        <v>276</v>
      </c>
      <c r="EF17" s="19" t="s">
        <v>276</v>
      </c>
      <c r="EG17" s="19" t="s">
        <v>276</v>
      </c>
      <c r="EH17" s="19">
        <v>0</v>
      </c>
      <c r="EI17" s="19">
        <v>168</v>
      </c>
      <c r="EJ17" s="19" t="s">
        <v>276</v>
      </c>
      <c r="EK17" s="20" t="s">
        <v>276</v>
      </c>
      <c r="EL17" s="20" t="s">
        <v>276</v>
      </c>
      <c r="EM17" s="20" t="s">
        <v>276</v>
      </c>
      <c r="EN17" s="19">
        <v>61</v>
      </c>
      <c r="EO17" s="19">
        <v>0</v>
      </c>
      <c r="EP17" s="20" t="s">
        <v>276</v>
      </c>
      <c r="EQ17" s="20" t="s">
        <v>276</v>
      </c>
      <c r="ER17" s="20" t="s">
        <v>276</v>
      </c>
      <c r="ES17" s="19">
        <v>0</v>
      </c>
      <c r="ET17" s="19">
        <v>0</v>
      </c>
      <c r="EU17" s="19">
        <v>118682</v>
      </c>
      <c r="EV17" s="19">
        <v>21681</v>
      </c>
      <c r="EW17" s="19">
        <v>126</v>
      </c>
      <c r="EX17" s="19">
        <v>1771</v>
      </c>
      <c r="EY17" s="19">
        <v>21147</v>
      </c>
      <c r="EZ17" s="19">
        <v>25871</v>
      </c>
      <c r="FA17" s="19">
        <v>13577</v>
      </c>
      <c r="FB17" s="19">
        <v>2</v>
      </c>
      <c r="FC17" s="19">
        <v>17979</v>
      </c>
      <c r="FD17" s="19">
        <v>373</v>
      </c>
      <c r="FE17" s="19">
        <v>4379</v>
      </c>
      <c r="FF17" s="19">
        <v>336</v>
      </c>
      <c r="FG17" s="19">
        <v>0</v>
      </c>
      <c r="FH17" s="20" t="s">
        <v>276</v>
      </c>
      <c r="FI17" s="20" t="s">
        <v>276</v>
      </c>
      <c r="FJ17" s="20" t="s">
        <v>276</v>
      </c>
      <c r="FK17" s="19">
        <v>0</v>
      </c>
      <c r="FL17" s="19">
        <v>0</v>
      </c>
      <c r="FM17" s="19">
        <v>0</v>
      </c>
      <c r="FN17" s="19">
        <v>10</v>
      </c>
      <c r="FO17" s="19">
        <v>11430</v>
      </c>
    </row>
    <row r="18" spans="1:171" ht="13.5" customHeight="1">
      <c r="A18" s="17" t="s">
        <v>82</v>
      </c>
      <c r="B18" s="18" t="s">
        <v>83</v>
      </c>
      <c r="C18" s="17" t="s">
        <v>59</v>
      </c>
      <c r="D18" s="19">
        <v>349164</v>
      </c>
      <c r="E18" s="19">
        <v>38853</v>
      </c>
      <c r="F18" s="19">
        <v>99</v>
      </c>
      <c r="G18" s="19">
        <v>25</v>
      </c>
      <c r="H18" s="19">
        <v>51516</v>
      </c>
      <c r="I18" s="19">
        <v>27827</v>
      </c>
      <c r="J18" s="19">
        <v>11952</v>
      </c>
      <c r="K18" s="19">
        <v>36</v>
      </c>
      <c r="L18" s="19">
        <v>40281</v>
      </c>
      <c r="M18" s="19">
        <v>1512</v>
      </c>
      <c r="N18" s="19">
        <v>7329</v>
      </c>
      <c r="O18" s="19">
        <v>1768</v>
      </c>
      <c r="P18" s="19">
        <v>0</v>
      </c>
      <c r="Q18" s="19">
        <v>7455</v>
      </c>
      <c r="R18" s="19">
        <v>0</v>
      </c>
      <c r="S18" s="19">
        <v>0</v>
      </c>
      <c r="T18" s="19">
        <v>144023</v>
      </c>
      <c r="U18" s="19">
        <v>0</v>
      </c>
      <c r="V18" s="19">
        <v>0</v>
      </c>
      <c r="W18" s="19">
        <v>0</v>
      </c>
      <c r="X18" s="19">
        <v>16488</v>
      </c>
      <c r="Y18" s="19">
        <v>157041</v>
      </c>
      <c r="Z18" s="19">
        <v>3</v>
      </c>
      <c r="AA18" s="19">
        <v>0</v>
      </c>
      <c r="AB18" s="19">
        <v>0</v>
      </c>
      <c r="AC18" s="19">
        <v>4828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20" t="s">
        <v>276</v>
      </c>
      <c r="AK18" s="20" t="s">
        <v>276</v>
      </c>
      <c r="AL18" s="19">
        <v>7455</v>
      </c>
      <c r="AM18" s="20" t="s">
        <v>276</v>
      </c>
      <c r="AN18" s="20" t="s">
        <v>276</v>
      </c>
      <c r="AO18" s="19">
        <v>144023</v>
      </c>
      <c r="AP18" s="20" t="s">
        <v>276</v>
      </c>
      <c r="AQ18" s="19">
        <v>0</v>
      </c>
      <c r="AR18" s="20" t="s">
        <v>276</v>
      </c>
      <c r="AS18" s="19">
        <v>732</v>
      </c>
      <c r="AT18" s="19">
        <v>52100</v>
      </c>
      <c r="AU18" s="19">
        <v>4469</v>
      </c>
      <c r="AV18" s="19">
        <v>17</v>
      </c>
      <c r="AW18" s="19">
        <v>0</v>
      </c>
      <c r="AX18" s="19">
        <v>23995</v>
      </c>
      <c r="AY18" s="19">
        <v>3403</v>
      </c>
      <c r="AZ18" s="19">
        <v>1667</v>
      </c>
      <c r="BA18" s="19">
        <v>10</v>
      </c>
      <c r="BB18" s="19">
        <v>9415</v>
      </c>
      <c r="BC18" s="19">
        <v>1153</v>
      </c>
      <c r="BD18" s="19">
        <v>763</v>
      </c>
      <c r="BE18" s="19" t="s">
        <v>276</v>
      </c>
      <c r="BF18" s="19" t="s">
        <v>276</v>
      </c>
      <c r="BG18" s="20" t="s">
        <v>276</v>
      </c>
      <c r="BH18" s="20" t="s">
        <v>276</v>
      </c>
      <c r="BI18" s="20" t="s">
        <v>276</v>
      </c>
      <c r="BJ18" s="20" t="s">
        <v>276</v>
      </c>
      <c r="BK18" s="20" t="s">
        <v>276</v>
      </c>
      <c r="BL18" s="20" t="s">
        <v>276</v>
      </c>
      <c r="BM18" s="20" t="s">
        <v>276</v>
      </c>
      <c r="BN18" s="19">
        <v>7208</v>
      </c>
      <c r="BO18" s="19">
        <v>3485</v>
      </c>
      <c r="BP18" s="19" t="s">
        <v>276</v>
      </c>
      <c r="BQ18" s="19" t="s">
        <v>276</v>
      </c>
      <c r="BR18" s="19" t="s">
        <v>276</v>
      </c>
      <c r="BS18" s="19" t="s">
        <v>276</v>
      </c>
      <c r="BT18" s="19" t="s">
        <v>276</v>
      </c>
      <c r="BU18" s="19" t="s">
        <v>276</v>
      </c>
      <c r="BV18" s="19" t="s">
        <v>276</v>
      </c>
      <c r="BW18" s="19" t="s">
        <v>276</v>
      </c>
      <c r="BX18" s="19" t="s">
        <v>276</v>
      </c>
      <c r="BY18" s="19" t="s">
        <v>276</v>
      </c>
      <c r="BZ18" s="19">
        <v>1743</v>
      </c>
      <c r="CA18" s="19" t="s">
        <v>276</v>
      </c>
      <c r="CB18" s="20" t="s">
        <v>276</v>
      </c>
      <c r="CC18" s="20" t="s">
        <v>276</v>
      </c>
      <c r="CD18" s="20" t="s">
        <v>276</v>
      </c>
      <c r="CE18" s="20" t="s">
        <v>276</v>
      </c>
      <c r="CF18" s="20" t="s">
        <v>276</v>
      </c>
      <c r="CG18" s="20" t="s">
        <v>276</v>
      </c>
      <c r="CH18" s="20" t="s">
        <v>276</v>
      </c>
      <c r="CI18" s="19">
        <v>1742</v>
      </c>
      <c r="CJ18" s="19">
        <v>0</v>
      </c>
      <c r="CK18" s="19" t="s">
        <v>276</v>
      </c>
      <c r="CL18" s="19" t="s">
        <v>276</v>
      </c>
      <c r="CM18" s="19" t="s">
        <v>276</v>
      </c>
      <c r="CN18" s="19" t="s">
        <v>276</v>
      </c>
      <c r="CO18" s="19" t="s">
        <v>276</v>
      </c>
      <c r="CP18" s="19" t="s">
        <v>276</v>
      </c>
      <c r="CQ18" s="19" t="s">
        <v>276</v>
      </c>
      <c r="CR18" s="19" t="s">
        <v>276</v>
      </c>
      <c r="CS18" s="19" t="s">
        <v>276</v>
      </c>
      <c r="CT18" s="19" t="s">
        <v>276</v>
      </c>
      <c r="CU18" s="19" t="s">
        <v>276</v>
      </c>
      <c r="CV18" s="19">
        <v>0</v>
      </c>
      <c r="CW18" s="20" t="s">
        <v>276</v>
      </c>
      <c r="CX18" s="20" t="s">
        <v>276</v>
      </c>
      <c r="CY18" s="20" t="s">
        <v>276</v>
      </c>
      <c r="CZ18" s="20" t="s">
        <v>276</v>
      </c>
      <c r="DA18" s="20" t="s">
        <v>276</v>
      </c>
      <c r="DB18" s="20" t="s">
        <v>276</v>
      </c>
      <c r="DC18" s="20" t="s">
        <v>276</v>
      </c>
      <c r="DD18" s="19">
        <v>0</v>
      </c>
      <c r="DE18" s="19">
        <v>245</v>
      </c>
      <c r="DF18" s="19" t="s">
        <v>276</v>
      </c>
      <c r="DG18" s="19" t="s">
        <v>276</v>
      </c>
      <c r="DH18" s="19" t="s">
        <v>276</v>
      </c>
      <c r="DI18" s="19" t="s">
        <v>276</v>
      </c>
      <c r="DJ18" s="19" t="s">
        <v>276</v>
      </c>
      <c r="DK18" s="19" t="s">
        <v>276</v>
      </c>
      <c r="DL18" s="19" t="s">
        <v>276</v>
      </c>
      <c r="DM18" s="19" t="s">
        <v>276</v>
      </c>
      <c r="DN18" s="19" t="s">
        <v>276</v>
      </c>
      <c r="DO18" s="19" t="s">
        <v>276</v>
      </c>
      <c r="DP18" s="19">
        <v>0</v>
      </c>
      <c r="DQ18" s="19" t="s">
        <v>276</v>
      </c>
      <c r="DR18" s="20" t="s">
        <v>276</v>
      </c>
      <c r="DS18" s="20" t="s">
        <v>276</v>
      </c>
      <c r="DT18" s="19">
        <v>0</v>
      </c>
      <c r="DU18" s="20" t="s">
        <v>276</v>
      </c>
      <c r="DV18" s="20" t="s">
        <v>276</v>
      </c>
      <c r="DW18" s="20" t="s">
        <v>276</v>
      </c>
      <c r="DX18" s="20" t="s">
        <v>276</v>
      </c>
      <c r="DY18" s="19">
        <v>245</v>
      </c>
      <c r="DZ18" s="19">
        <v>112</v>
      </c>
      <c r="EA18" s="19">
        <v>0</v>
      </c>
      <c r="EB18" s="19" t="s">
        <v>276</v>
      </c>
      <c r="EC18" s="19" t="s">
        <v>276</v>
      </c>
      <c r="ED18" s="19">
        <v>0</v>
      </c>
      <c r="EE18" s="19" t="s">
        <v>276</v>
      </c>
      <c r="EF18" s="19" t="s">
        <v>276</v>
      </c>
      <c r="EG18" s="19" t="s">
        <v>276</v>
      </c>
      <c r="EH18" s="19">
        <v>0</v>
      </c>
      <c r="EI18" s="19">
        <v>112</v>
      </c>
      <c r="EJ18" s="19" t="s">
        <v>276</v>
      </c>
      <c r="EK18" s="20" t="s">
        <v>276</v>
      </c>
      <c r="EL18" s="20" t="s">
        <v>276</v>
      </c>
      <c r="EM18" s="20" t="s">
        <v>276</v>
      </c>
      <c r="EN18" s="19">
        <v>0</v>
      </c>
      <c r="EO18" s="19">
        <v>0</v>
      </c>
      <c r="EP18" s="20" t="s">
        <v>276</v>
      </c>
      <c r="EQ18" s="20" t="s">
        <v>276</v>
      </c>
      <c r="ER18" s="20" t="s">
        <v>276</v>
      </c>
      <c r="ES18" s="19">
        <v>0</v>
      </c>
      <c r="ET18" s="19">
        <v>0</v>
      </c>
      <c r="EU18" s="19">
        <v>136181</v>
      </c>
      <c r="EV18" s="19">
        <v>34381</v>
      </c>
      <c r="EW18" s="19">
        <v>82</v>
      </c>
      <c r="EX18" s="19">
        <v>25</v>
      </c>
      <c r="EY18" s="19">
        <v>22693</v>
      </c>
      <c r="EZ18" s="19">
        <v>24424</v>
      </c>
      <c r="FA18" s="19">
        <v>10285</v>
      </c>
      <c r="FB18" s="19">
        <v>26</v>
      </c>
      <c r="FC18" s="19">
        <v>30866</v>
      </c>
      <c r="FD18" s="19">
        <v>247</v>
      </c>
      <c r="FE18" s="19">
        <v>6566</v>
      </c>
      <c r="FF18" s="19">
        <v>25</v>
      </c>
      <c r="FG18" s="19">
        <v>0</v>
      </c>
      <c r="FH18" s="20" t="s">
        <v>276</v>
      </c>
      <c r="FI18" s="20" t="s">
        <v>276</v>
      </c>
      <c r="FJ18" s="20" t="s">
        <v>276</v>
      </c>
      <c r="FK18" s="19">
        <v>0</v>
      </c>
      <c r="FL18" s="19">
        <v>0</v>
      </c>
      <c r="FM18" s="19">
        <v>0</v>
      </c>
      <c r="FN18" s="19">
        <v>0</v>
      </c>
      <c r="FO18" s="19">
        <v>6561</v>
      </c>
    </row>
    <row r="19" spans="1:171" ht="13.5" customHeight="1">
      <c r="A19" s="17" t="s">
        <v>84</v>
      </c>
      <c r="B19" s="18" t="s">
        <v>85</v>
      </c>
      <c r="C19" s="17" t="s">
        <v>59</v>
      </c>
      <c r="D19" s="19">
        <v>352955</v>
      </c>
      <c r="E19" s="19">
        <v>28965</v>
      </c>
      <c r="F19" s="19">
        <v>137</v>
      </c>
      <c r="G19" s="19">
        <v>4903</v>
      </c>
      <c r="H19" s="19">
        <v>44850</v>
      </c>
      <c r="I19" s="19">
        <v>51375</v>
      </c>
      <c r="J19" s="19">
        <v>30709</v>
      </c>
      <c r="K19" s="19">
        <v>22</v>
      </c>
      <c r="L19" s="19">
        <v>108229</v>
      </c>
      <c r="M19" s="19">
        <v>2612</v>
      </c>
      <c r="N19" s="19">
        <v>358</v>
      </c>
      <c r="O19" s="19">
        <v>7570</v>
      </c>
      <c r="P19" s="19">
        <v>0</v>
      </c>
      <c r="Q19" s="19">
        <v>30169</v>
      </c>
      <c r="R19" s="19">
        <v>605</v>
      </c>
      <c r="S19" s="19">
        <v>14394</v>
      </c>
      <c r="T19" s="19">
        <v>3902</v>
      </c>
      <c r="U19" s="19">
        <v>0</v>
      </c>
      <c r="V19" s="19">
        <v>1092</v>
      </c>
      <c r="W19" s="19">
        <v>22</v>
      </c>
      <c r="X19" s="19">
        <v>23041</v>
      </c>
      <c r="Y19" s="19">
        <v>44789</v>
      </c>
      <c r="Z19" s="19">
        <v>0</v>
      </c>
      <c r="AA19" s="19">
        <v>0</v>
      </c>
      <c r="AB19" s="19">
        <v>0</v>
      </c>
      <c r="AC19" s="19">
        <v>4277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20" t="s">
        <v>276</v>
      </c>
      <c r="AK19" s="20" t="s">
        <v>276</v>
      </c>
      <c r="AL19" s="19">
        <v>30169</v>
      </c>
      <c r="AM19" s="20" t="s">
        <v>276</v>
      </c>
      <c r="AN19" s="20" t="s">
        <v>276</v>
      </c>
      <c r="AO19" s="19">
        <v>3902</v>
      </c>
      <c r="AP19" s="20" t="s">
        <v>276</v>
      </c>
      <c r="AQ19" s="19">
        <v>1092</v>
      </c>
      <c r="AR19" s="20" t="s">
        <v>276</v>
      </c>
      <c r="AS19" s="19">
        <v>5349</v>
      </c>
      <c r="AT19" s="19">
        <v>17228</v>
      </c>
      <c r="AU19" s="19">
        <v>0</v>
      </c>
      <c r="AV19" s="19">
        <v>0</v>
      </c>
      <c r="AW19" s="19">
        <v>0</v>
      </c>
      <c r="AX19" s="19">
        <v>16361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13</v>
      </c>
      <c r="BE19" s="19" t="s">
        <v>276</v>
      </c>
      <c r="BF19" s="19" t="s">
        <v>276</v>
      </c>
      <c r="BG19" s="20" t="s">
        <v>276</v>
      </c>
      <c r="BH19" s="20" t="s">
        <v>276</v>
      </c>
      <c r="BI19" s="20" t="s">
        <v>276</v>
      </c>
      <c r="BJ19" s="20" t="s">
        <v>276</v>
      </c>
      <c r="BK19" s="20" t="s">
        <v>276</v>
      </c>
      <c r="BL19" s="20" t="s">
        <v>276</v>
      </c>
      <c r="BM19" s="20" t="s">
        <v>276</v>
      </c>
      <c r="BN19" s="19">
        <v>854</v>
      </c>
      <c r="BO19" s="19">
        <v>7567</v>
      </c>
      <c r="BP19" s="19" t="s">
        <v>276</v>
      </c>
      <c r="BQ19" s="19" t="s">
        <v>276</v>
      </c>
      <c r="BR19" s="19" t="s">
        <v>276</v>
      </c>
      <c r="BS19" s="19" t="s">
        <v>276</v>
      </c>
      <c r="BT19" s="19" t="s">
        <v>276</v>
      </c>
      <c r="BU19" s="19" t="s">
        <v>276</v>
      </c>
      <c r="BV19" s="19" t="s">
        <v>276</v>
      </c>
      <c r="BW19" s="19" t="s">
        <v>276</v>
      </c>
      <c r="BX19" s="19" t="s">
        <v>276</v>
      </c>
      <c r="BY19" s="19" t="s">
        <v>276</v>
      </c>
      <c r="BZ19" s="19">
        <v>7567</v>
      </c>
      <c r="CA19" s="19" t="s">
        <v>276</v>
      </c>
      <c r="CB19" s="20" t="s">
        <v>276</v>
      </c>
      <c r="CC19" s="20" t="s">
        <v>276</v>
      </c>
      <c r="CD19" s="20" t="s">
        <v>276</v>
      </c>
      <c r="CE19" s="20" t="s">
        <v>276</v>
      </c>
      <c r="CF19" s="20" t="s">
        <v>276</v>
      </c>
      <c r="CG19" s="20" t="s">
        <v>276</v>
      </c>
      <c r="CH19" s="20" t="s">
        <v>276</v>
      </c>
      <c r="CI19" s="19">
        <v>0</v>
      </c>
      <c r="CJ19" s="19">
        <v>0</v>
      </c>
      <c r="CK19" s="19" t="s">
        <v>276</v>
      </c>
      <c r="CL19" s="19" t="s">
        <v>276</v>
      </c>
      <c r="CM19" s="19" t="s">
        <v>276</v>
      </c>
      <c r="CN19" s="19" t="s">
        <v>276</v>
      </c>
      <c r="CO19" s="19" t="s">
        <v>276</v>
      </c>
      <c r="CP19" s="19" t="s">
        <v>276</v>
      </c>
      <c r="CQ19" s="19" t="s">
        <v>276</v>
      </c>
      <c r="CR19" s="19" t="s">
        <v>276</v>
      </c>
      <c r="CS19" s="19" t="s">
        <v>276</v>
      </c>
      <c r="CT19" s="19" t="s">
        <v>276</v>
      </c>
      <c r="CU19" s="19" t="s">
        <v>276</v>
      </c>
      <c r="CV19" s="19">
        <v>0</v>
      </c>
      <c r="CW19" s="20" t="s">
        <v>276</v>
      </c>
      <c r="CX19" s="20" t="s">
        <v>276</v>
      </c>
      <c r="CY19" s="20" t="s">
        <v>276</v>
      </c>
      <c r="CZ19" s="20" t="s">
        <v>276</v>
      </c>
      <c r="DA19" s="20" t="s">
        <v>276</v>
      </c>
      <c r="DB19" s="20" t="s">
        <v>276</v>
      </c>
      <c r="DC19" s="20" t="s">
        <v>276</v>
      </c>
      <c r="DD19" s="19">
        <v>0</v>
      </c>
      <c r="DE19" s="19">
        <v>1048</v>
      </c>
      <c r="DF19" s="19" t="s">
        <v>276</v>
      </c>
      <c r="DG19" s="19" t="s">
        <v>276</v>
      </c>
      <c r="DH19" s="19" t="s">
        <v>276</v>
      </c>
      <c r="DI19" s="19" t="s">
        <v>276</v>
      </c>
      <c r="DJ19" s="19" t="s">
        <v>276</v>
      </c>
      <c r="DK19" s="19" t="s">
        <v>276</v>
      </c>
      <c r="DL19" s="19" t="s">
        <v>276</v>
      </c>
      <c r="DM19" s="19" t="s">
        <v>276</v>
      </c>
      <c r="DN19" s="19" t="s">
        <v>276</v>
      </c>
      <c r="DO19" s="19" t="s">
        <v>276</v>
      </c>
      <c r="DP19" s="19">
        <v>0</v>
      </c>
      <c r="DQ19" s="19" t="s">
        <v>276</v>
      </c>
      <c r="DR19" s="20" t="s">
        <v>276</v>
      </c>
      <c r="DS19" s="20" t="s">
        <v>276</v>
      </c>
      <c r="DT19" s="19">
        <v>1048</v>
      </c>
      <c r="DU19" s="20" t="s">
        <v>276</v>
      </c>
      <c r="DV19" s="20" t="s">
        <v>276</v>
      </c>
      <c r="DW19" s="20" t="s">
        <v>276</v>
      </c>
      <c r="DX19" s="20" t="s">
        <v>276</v>
      </c>
      <c r="DY19" s="19">
        <v>0</v>
      </c>
      <c r="DZ19" s="19">
        <v>14041</v>
      </c>
      <c r="EA19" s="19">
        <v>0</v>
      </c>
      <c r="EB19" s="19" t="s">
        <v>276</v>
      </c>
      <c r="EC19" s="19" t="s">
        <v>276</v>
      </c>
      <c r="ED19" s="19">
        <v>0</v>
      </c>
      <c r="EE19" s="19" t="s">
        <v>276</v>
      </c>
      <c r="EF19" s="19" t="s">
        <v>276</v>
      </c>
      <c r="EG19" s="19" t="s">
        <v>276</v>
      </c>
      <c r="EH19" s="19">
        <v>0</v>
      </c>
      <c r="EI19" s="19">
        <v>0</v>
      </c>
      <c r="EJ19" s="19" t="s">
        <v>276</v>
      </c>
      <c r="EK19" s="20" t="s">
        <v>276</v>
      </c>
      <c r="EL19" s="20" t="s">
        <v>276</v>
      </c>
      <c r="EM19" s="20" t="s">
        <v>276</v>
      </c>
      <c r="EN19" s="19">
        <v>605</v>
      </c>
      <c r="EO19" s="19">
        <v>13346</v>
      </c>
      <c r="EP19" s="20" t="s">
        <v>276</v>
      </c>
      <c r="EQ19" s="20" t="s">
        <v>276</v>
      </c>
      <c r="ER19" s="20" t="s">
        <v>276</v>
      </c>
      <c r="ES19" s="19">
        <v>0</v>
      </c>
      <c r="ET19" s="19">
        <v>90</v>
      </c>
      <c r="EU19" s="19">
        <v>268282</v>
      </c>
      <c r="EV19" s="19">
        <v>28965</v>
      </c>
      <c r="EW19" s="19">
        <v>137</v>
      </c>
      <c r="EX19" s="19">
        <v>4903</v>
      </c>
      <c r="EY19" s="19">
        <v>24212</v>
      </c>
      <c r="EZ19" s="19">
        <v>51375</v>
      </c>
      <c r="FA19" s="19">
        <v>30709</v>
      </c>
      <c r="FB19" s="19">
        <v>22</v>
      </c>
      <c r="FC19" s="19">
        <v>108229</v>
      </c>
      <c r="FD19" s="19">
        <v>2612</v>
      </c>
      <c r="FE19" s="19">
        <v>345</v>
      </c>
      <c r="FF19" s="19">
        <v>3</v>
      </c>
      <c r="FG19" s="19">
        <v>0</v>
      </c>
      <c r="FH19" s="20" t="s">
        <v>276</v>
      </c>
      <c r="FI19" s="20" t="s">
        <v>276</v>
      </c>
      <c r="FJ19" s="20" t="s">
        <v>276</v>
      </c>
      <c r="FK19" s="19">
        <v>0</v>
      </c>
      <c r="FL19" s="19">
        <v>0</v>
      </c>
      <c r="FM19" s="19">
        <v>0</v>
      </c>
      <c r="FN19" s="19">
        <v>22</v>
      </c>
      <c r="FO19" s="19">
        <v>16748</v>
      </c>
    </row>
    <row r="20" spans="1:171" ht="13.5" customHeight="1">
      <c r="A20" s="17" t="s">
        <v>86</v>
      </c>
      <c r="B20" s="18" t="s">
        <v>87</v>
      </c>
      <c r="C20" s="17" t="s">
        <v>59</v>
      </c>
      <c r="D20" s="19">
        <v>77286</v>
      </c>
      <c r="E20" s="19">
        <v>9601</v>
      </c>
      <c r="F20" s="19">
        <v>11</v>
      </c>
      <c r="G20" s="19">
        <v>889</v>
      </c>
      <c r="H20" s="19">
        <v>13924</v>
      </c>
      <c r="I20" s="19">
        <v>10463</v>
      </c>
      <c r="J20" s="19">
        <v>3656</v>
      </c>
      <c r="K20" s="19">
        <v>12</v>
      </c>
      <c r="L20" s="19">
        <v>15528</v>
      </c>
      <c r="M20" s="19">
        <v>342</v>
      </c>
      <c r="N20" s="19">
        <v>245</v>
      </c>
      <c r="O20" s="19">
        <v>5720</v>
      </c>
      <c r="P20" s="19">
        <v>0</v>
      </c>
      <c r="Q20" s="19">
        <v>5015</v>
      </c>
      <c r="R20" s="19">
        <v>0</v>
      </c>
      <c r="S20" s="19">
        <v>1289</v>
      </c>
      <c r="T20" s="19">
        <v>5900</v>
      </c>
      <c r="U20" s="19">
        <v>0</v>
      </c>
      <c r="V20" s="19">
        <v>304</v>
      </c>
      <c r="W20" s="19">
        <v>44</v>
      </c>
      <c r="X20" s="19">
        <v>4343</v>
      </c>
      <c r="Y20" s="19">
        <v>12575</v>
      </c>
      <c r="Z20" s="19">
        <v>18</v>
      </c>
      <c r="AA20" s="19">
        <v>0</v>
      </c>
      <c r="AB20" s="19">
        <v>0</v>
      </c>
      <c r="AC20" s="19">
        <v>1077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20" t="s">
        <v>276</v>
      </c>
      <c r="AK20" s="20" t="s">
        <v>276</v>
      </c>
      <c r="AL20" s="19">
        <v>5015</v>
      </c>
      <c r="AM20" s="20" t="s">
        <v>276</v>
      </c>
      <c r="AN20" s="20" t="s">
        <v>276</v>
      </c>
      <c r="AO20" s="19">
        <v>5703</v>
      </c>
      <c r="AP20" s="20" t="s">
        <v>276</v>
      </c>
      <c r="AQ20" s="19">
        <v>304</v>
      </c>
      <c r="AR20" s="20" t="s">
        <v>276</v>
      </c>
      <c r="AS20" s="19">
        <v>458</v>
      </c>
      <c r="AT20" s="19">
        <v>6882</v>
      </c>
      <c r="AU20" s="19">
        <v>0</v>
      </c>
      <c r="AV20" s="19">
        <v>0</v>
      </c>
      <c r="AW20" s="19">
        <v>0</v>
      </c>
      <c r="AX20" s="19">
        <v>5011</v>
      </c>
      <c r="AY20" s="19">
        <v>788</v>
      </c>
      <c r="AZ20" s="19">
        <v>130</v>
      </c>
      <c r="BA20" s="19">
        <v>0</v>
      </c>
      <c r="BB20" s="19">
        <v>48</v>
      </c>
      <c r="BC20" s="19">
        <v>268</v>
      </c>
      <c r="BD20" s="19">
        <v>0</v>
      </c>
      <c r="BE20" s="19" t="s">
        <v>276</v>
      </c>
      <c r="BF20" s="19" t="s">
        <v>276</v>
      </c>
      <c r="BG20" s="20" t="s">
        <v>276</v>
      </c>
      <c r="BH20" s="20" t="s">
        <v>276</v>
      </c>
      <c r="BI20" s="20" t="s">
        <v>276</v>
      </c>
      <c r="BJ20" s="20" t="s">
        <v>276</v>
      </c>
      <c r="BK20" s="20" t="s">
        <v>276</v>
      </c>
      <c r="BL20" s="20" t="s">
        <v>276</v>
      </c>
      <c r="BM20" s="20" t="s">
        <v>276</v>
      </c>
      <c r="BN20" s="19">
        <v>637</v>
      </c>
      <c r="BO20" s="19">
        <v>5902</v>
      </c>
      <c r="BP20" s="19" t="s">
        <v>276</v>
      </c>
      <c r="BQ20" s="19" t="s">
        <v>276</v>
      </c>
      <c r="BR20" s="19" t="s">
        <v>276</v>
      </c>
      <c r="BS20" s="19" t="s">
        <v>276</v>
      </c>
      <c r="BT20" s="19" t="s">
        <v>276</v>
      </c>
      <c r="BU20" s="19" t="s">
        <v>276</v>
      </c>
      <c r="BV20" s="19" t="s">
        <v>276</v>
      </c>
      <c r="BW20" s="19" t="s">
        <v>276</v>
      </c>
      <c r="BX20" s="19" t="s">
        <v>276</v>
      </c>
      <c r="BY20" s="19" t="s">
        <v>276</v>
      </c>
      <c r="BZ20" s="19">
        <v>5565</v>
      </c>
      <c r="CA20" s="19" t="s">
        <v>276</v>
      </c>
      <c r="CB20" s="20" t="s">
        <v>276</v>
      </c>
      <c r="CC20" s="20" t="s">
        <v>276</v>
      </c>
      <c r="CD20" s="20" t="s">
        <v>276</v>
      </c>
      <c r="CE20" s="20" t="s">
        <v>276</v>
      </c>
      <c r="CF20" s="20" t="s">
        <v>276</v>
      </c>
      <c r="CG20" s="20" t="s">
        <v>276</v>
      </c>
      <c r="CH20" s="20" t="s">
        <v>276</v>
      </c>
      <c r="CI20" s="19">
        <v>337</v>
      </c>
      <c r="CJ20" s="19">
        <v>0</v>
      </c>
      <c r="CK20" s="19" t="s">
        <v>276</v>
      </c>
      <c r="CL20" s="19" t="s">
        <v>276</v>
      </c>
      <c r="CM20" s="19" t="s">
        <v>276</v>
      </c>
      <c r="CN20" s="19" t="s">
        <v>276</v>
      </c>
      <c r="CO20" s="19" t="s">
        <v>276</v>
      </c>
      <c r="CP20" s="19" t="s">
        <v>276</v>
      </c>
      <c r="CQ20" s="19" t="s">
        <v>276</v>
      </c>
      <c r="CR20" s="19" t="s">
        <v>276</v>
      </c>
      <c r="CS20" s="19" t="s">
        <v>276</v>
      </c>
      <c r="CT20" s="19" t="s">
        <v>276</v>
      </c>
      <c r="CU20" s="19" t="s">
        <v>276</v>
      </c>
      <c r="CV20" s="19">
        <v>0</v>
      </c>
      <c r="CW20" s="20" t="s">
        <v>276</v>
      </c>
      <c r="CX20" s="20" t="s">
        <v>276</v>
      </c>
      <c r="CY20" s="20" t="s">
        <v>276</v>
      </c>
      <c r="CZ20" s="20" t="s">
        <v>276</v>
      </c>
      <c r="DA20" s="20" t="s">
        <v>276</v>
      </c>
      <c r="DB20" s="20" t="s">
        <v>276</v>
      </c>
      <c r="DC20" s="20" t="s">
        <v>276</v>
      </c>
      <c r="DD20" s="19">
        <v>0</v>
      </c>
      <c r="DE20" s="19">
        <v>1429</v>
      </c>
      <c r="DF20" s="19" t="s">
        <v>276</v>
      </c>
      <c r="DG20" s="19" t="s">
        <v>276</v>
      </c>
      <c r="DH20" s="19" t="s">
        <v>276</v>
      </c>
      <c r="DI20" s="19" t="s">
        <v>276</v>
      </c>
      <c r="DJ20" s="19" t="s">
        <v>276</v>
      </c>
      <c r="DK20" s="19" t="s">
        <v>276</v>
      </c>
      <c r="DL20" s="19" t="s">
        <v>276</v>
      </c>
      <c r="DM20" s="19" t="s">
        <v>276</v>
      </c>
      <c r="DN20" s="19" t="s">
        <v>276</v>
      </c>
      <c r="DO20" s="19" t="s">
        <v>276</v>
      </c>
      <c r="DP20" s="19">
        <v>140</v>
      </c>
      <c r="DQ20" s="19" t="s">
        <v>276</v>
      </c>
      <c r="DR20" s="20" t="s">
        <v>276</v>
      </c>
      <c r="DS20" s="20" t="s">
        <v>276</v>
      </c>
      <c r="DT20" s="19">
        <v>1289</v>
      </c>
      <c r="DU20" s="20" t="s">
        <v>276</v>
      </c>
      <c r="DV20" s="20" t="s">
        <v>276</v>
      </c>
      <c r="DW20" s="20" t="s">
        <v>276</v>
      </c>
      <c r="DX20" s="20" t="s">
        <v>276</v>
      </c>
      <c r="DY20" s="19">
        <v>0</v>
      </c>
      <c r="DZ20" s="19">
        <v>2</v>
      </c>
      <c r="EA20" s="19">
        <v>0</v>
      </c>
      <c r="EB20" s="19" t="s">
        <v>276</v>
      </c>
      <c r="EC20" s="19" t="s">
        <v>276</v>
      </c>
      <c r="ED20" s="19">
        <v>0</v>
      </c>
      <c r="EE20" s="19" t="s">
        <v>276</v>
      </c>
      <c r="EF20" s="19" t="s">
        <v>276</v>
      </c>
      <c r="EG20" s="19" t="s">
        <v>276</v>
      </c>
      <c r="EH20" s="19">
        <v>0</v>
      </c>
      <c r="EI20" s="19">
        <v>0</v>
      </c>
      <c r="EJ20" s="19" t="s">
        <v>276</v>
      </c>
      <c r="EK20" s="20" t="s">
        <v>276</v>
      </c>
      <c r="EL20" s="20" t="s">
        <v>276</v>
      </c>
      <c r="EM20" s="20" t="s">
        <v>276</v>
      </c>
      <c r="EN20" s="19">
        <v>0</v>
      </c>
      <c r="EO20" s="19">
        <v>0</v>
      </c>
      <c r="EP20" s="20" t="s">
        <v>276</v>
      </c>
      <c r="EQ20" s="20" t="s">
        <v>276</v>
      </c>
      <c r="ER20" s="20" t="s">
        <v>276</v>
      </c>
      <c r="ES20" s="19">
        <v>2</v>
      </c>
      <c r="ET20" s="19">
        <v>0</v>
      </c>
      <c r="EU20" s="19">
        <v>50496</v>
      </c>
      <c r="EV20" s="19">
        <v>9583</v>
      </c>
      <c r="EW20" s="19">
        <v>11</v>
      </c>
      <c r="EX20" s="19">
        <v>889</v>
      </c>
      <c r="EY20" s="19">
        <v>7836</v>
      </c>
      <c r="EZ20" s="19">
        <v>9675</v>
      </c>
      <c r="FA20" s="19">
        <v>3526</v>
      </c>
      <c r="FB20" s="19">
        <v>12</v>
      </c>
      <c r="FC20" s="19">
        <v>15480</v>
      </c>
      <c r="FD20" s="19">
        <v>74</v>
      </c>
      <c r="FE20" s="19">
        <v>245</v>
      </c>
      <c r="FF20" s="19">
        <v>15</v>
      </c>
      <c r="FG20" s="19">
        <v>0</v>
      </c>
      <c r="FH20" s="20" t="s">
        <v>276</v>
      </c>
      <c r="FI20" s="20" t="s">
        <v>276</v>
      </c>
      <c r="FJ20" s="20" t="s">
        <v>276</v>
      </c>
      <c r="FK20" s="19">
        <v>197</v>
      </c>
      <c r="FL20" s="19">
        <v>0</v>
      </c>
      <c r="FM20" s="19">
        <v>0</v>
      </c>
      <c r="FN20" s="19">
        <v>42</v>
      </c>
      <c r="FO20" s="19">
        <v>2911</v>
      </c>
    </row>
    <row r="21" spans="1:171" ht="13.5" customHeight="1">
      <c r="A21" s="17" t="s">
        <v>88</v>
      </c>
      <c r="B21" s="18" t="s">
        <v>89</v>
      </c>
      <c r="C21" s="17" t="s">
        <v>59</v>
      </c>
      <c r="D21" s="19">
        <v>57192.79</v>
      </c>
      <c r="E21" s="19">
        <v>1642</v>
      </c>
      <c r="F21" s="19">
        <v>50</v>
      </c>
      <c r="G21" s="19">
        <v>573</v>
      </c>
      <c r="H21" s="19">
        <v>6159</v>
      </c>
      <c r="I21" s="19">
        <v>3589</v>
      </c>
      <c r="J21" s="19">
        <v>740</v>
      </c>
      <c r="K21" s="19">
        <v>72</v>
      </c>
      <c r="L21" s="19">
        <v>2335</v>
      </c>
      <c r="M21" s="19">
        <v>28</v>
      </c>
      <c r="N21" s="19">
        <v>115</v>
      </c>
      <c r="O21" s="19">
        <v>9446</v>
      </c>
      <c r="P21" s="19">
        <v>2925</v>
      </c>
      <c r="Q21" s="19">
        <v>287</v>
      </c>
      <c r="R21" s="19">
        <v>2798</v>
      </c>
      <c r="S21" s="19">
        <v>25659</v>
      </c>
      <c r="T21" s="19">
        <v>300</v>
      </c>
      <c r="U21" s="19">
        <v>0</v>
      </c>
      <c r="V21" s="19">
        <v>0</v>
      </c>
      <c r="W21" s="19">
        <v>9</v>
      </c>
      <c r="X21" s="19">
        <v>465.79</v>
      </c>
      <c r="Y21" s="19">
        <v>626</v>
      </c>
      <c r="Z21" s="19">
        <v>0</v>
      </c>
      <c r="AA21" s="19">
        <v>0</v>
      </c>
      <c r="AB21" s="19">
        <v>0</v>
      </c>
      <c r="AC21" s="19">
        <v>39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20" t="s">
        <v>276</v>
      </c>
      <c r="AK21" s="20" t="s">
        <v>276</v>
      </c>
      <c r="AL21" s="19">
        <v>287</v>
      </c>
      <c r="AM21" s="20" t="s">
        <v>276</v>
      </c>
      <c r="AN21" s="20" t="s">
        <v>276</v>
      </c>
      <c r="AO21" s="19">
        <v>300</v>
      </c>
      <c r="AP21" s="20" t="s">
        <v>276</v>
      </c>
      <c r="AQ21" s="19">
        <v>0</v>
      </c>
      <c r="AR21" s="20" t="s">
        <v>276</v>
      </c>
      <c r="AS21" s="19">
        <v>0</v>
      </c>
      <c r="AT21" s="19">
        <v>3692</v>
      </c>
      <c r="AU21" s="19">
        <v>0</v>
      </c>
      <c r="AV21" s="19">
        <v>0</v>
      </c>
      <c r="AW21" s="19">
        <v>0</v>
      </c>
      <c r="AX21" s="19">
        <v>3676</v>
      </c>
      <c r="AY21" s="19">
        <v>16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 t="s">
        <v>276</v>
      </c>
      <c r="BF21" s="19" t="s">
        <v>276</v>
      </c>
      <c r="BG21" s="20" t="s">
        <v>276</v>
      </c>
      <c r="BH21" s="20" t="s">
        <v>276</v>
      </c>
      <c r="BI21" s="20" t="s">
        <v>276</v>
      </c>
      <c r="BJ21" s="20" t="s">
        <v>276</v>
      </c>
      <c r="BK21" s="20" t="s">
        <v>276</v>
      </c>
      <c r="BL21" s="20" t="s">
        <v>276</v>
      </c>
      <c r="BM21" s="20" t="s">
        <v>276</v>
      </c>
      <c r="BN21" s="19">
        <v>0</v>
      </c>
      <c r="BO21" s="19">
        <v>9425</v>
      </c>
      <c r="BP21" s="19" t="s">
        <v>276</v>
      </c>
      <c r="BQ21" s="19" t="s">
        <v>276</v>
      </c>
      <c r="BR21" s="19" t="s">
        <v>276</v>
      </c>
      <c r="BS21" s="19" t="s">
        <v>276</v>
      </c>
      <c r="BT21" s="19" t="s">
        <v>276</v>
      </c>
      <c r="BU21" s="19" t="s">
        <v>276</v>
      </c>
      <c r="BV21" s="19" t="s">
        <v>276</v>
      </c>
      <c r="BW21" s="19" t="s">
        <v>276</v>
      </c>
      <c r="BX21" s="19" t="s">
        <v>276</v>
      </c>
      <c r="BY21" s="19" t="s">
        <v>276</v>
      </c>
      <c r="BZ21" s="19">
        <v>9425</v>
      </c>
      <c r="CA21" s="19" t="s">
        <v>276</v>
      </c>
      <c r="CB21" s="20" t="s">
        <v>276</v>
      </c>
      <c r="CC21" s="20" t="s">
        <v>276</v>
      </c>
      <c r="CD21" s="20" t="s">
        <v>276</v>
      </c>
      <c r="CE21" s="20" t="s">
        <v>276</v>
      </c>
      <c r="CF21" s="20" t="s">
        <v>276</v>
      </c>
      <c r="CG21" s="20" t="s">
        <v>276</v>
      </c>
      <c r="CH21" s="20" t="s">
        <v>276</v>
      </c>
      <c r="CI21" s="19">
        <v>0</v>
      </c>
      <c r="CJ21" s="19">
        <v>2925</v>
      </c>
      <c r="CK21" s="19" t="s">
        <v>276</v>
      </c>
      <c r="CL21" s="19" t="s">
        <v>276</v>
      </c>
      <c r="CM21" s="19" t="s">
        <v>276</v>
      </c>
      <c r="CN21" s="19" t="s">
        <v>276</v>
      </c>
      <c r="CO21" s="19" t="s">
        <v>276</v>
      </c>
      <c r="CP21" s="19" t="s">
        <v>276</v>
      </c>
      <c r="CQ21" s="19" t="s">
        <v>276</v>
      </c>
      <c r="CR21" s="19" t="s">
        <v>276</v>
      </c>
      <c r="CS21" s="19" t="s">
        <v>276</v>
      </c>
      <c r="CT21" s="19" t="s">
        <v>276</v>
      </c>
      <c r="CU21" s="19" t="s">
        <v>276</v>
      </c>
      <c r="CV21" s="19">
        <v>2925</v>
      </c>
      <c r="CW21" s="20" t="s">
        <v>276</v>
      </c>
      <c r="CX21" s="20" t="s">
        <v>276</v>
      </c>
      <c r="CY21" s="20" t="s">
        <v>276</v>
      </c>
      <c r="CZ21" s="20" t="s">
        <v>276</v>
      </c>
      <c r="DA21" s="20" t="s">
        <v>276</v>
      </c>
      <c r="DB21" s="20" t="s">
        <v>276</v>
      </c>
      <c r="DC21" s="20" t="s">
        <v>276</v>
      </c>
      <c r="DD21" s="19">
        <v>0</v>
      </c>
      <c r="DE21" s="19">
        <v>3708</v>
      </c>
      <c r="DF21" s="19" t="s">
        <v>276</v>
      </c>
      <c r="DG21" s="19" t="s">
        <v>276</v>
      </c>
      <c r="DH21" s="19" t="s">
        <v>276</v>
      </c>
      <c r="DI21" s="19" t="s">
        <v>276</v>
      </c>
      <c r="DJ21" s="19" t="s">
        <v>276</v>
      </c>
      <c r="DK21" s="19" t="s">
        <v>276</v>
      </c>
      <c r="DL21" s="19" t="s">
        <v>276</v>
      </c>
      <c r="DM21" s="19" t="s">
        <v>276</v>
      </c>
      <c r="DN21" s="19" t="s">
        <v>276</v>
      </c>
      <c r="DO21" s="19" t="s">
        <v>276</v>
      </c>
      <c r="DP21" s="19">
        <v>0</v>
      </c>
      <c r="DQ21" s="19" t="s">
        <v>276</v>
      </c>
      <c r="DR21" s="20" t="s">
        <v>276</v>
      </c>
      <c r="DS21" s="20" t="s">
        <v>276</v>
      </c>
      <c r="DT21" s="19">
        <v>3557</v>
      </c>
      <c r="DU21" s="20" t="s">
        <v>276</v>
      </c>
      <c r="DV21" s="20" t="s">
        <v>276</v>
      </c>
      <c r="DW21" s="20" t="s">
        <v>276</v>
      </c>
      <c r="DX21" s="20" t="s">
        <v>276</v>
      </c>
      <c r="DY21" s="19">
        <v>151</v>
      </c>
      <c r="DZ21" s="19">
        <v>24909</v>
      </c>
      <c r="EA21" s="19">
        <v>0</v>
      </c>
      <c r="EB21" s="19" t="s">
        <v>276</v>
      </c>
      <c r="EC21" s="19" t="s">
        <v>276</v>
      </c>
      <c r="ED21" s="19">
        <v>0</v>
      </c>
      <c r="EE21" s="19" t="s">
        <v>276</v>
      </c>
      <c r="EF21" s="19" t="s">
        <v>276</v>
      </c>
      <c r="EG21" s="19" t="s">
        <v>276</v>
      </c>
      <c r="EH21" s="19">
        <v>0</v>
      </c>
      <c r="EI21" s="19">
        <v>0</v>
      </c>
      <c r="EJ21" s="19" t="s">
        <v>276</v>
      </c>
      <c r="EK21" s="20" t="s">
        <v>276</v>
      </c>
      <c r="EL21" s="20" t="s">
        <v>276</v>
      </c>
      <c r="EM21" s="20" t="s">
        <v>276</v>
      </c>
      <c r="EN21" s="19">
        <v>2798</v>
      </c>
      <c r="EO21" s="19">
        <v>22102</v>
      </c>
      <c r="EP21" s="20" t="s">
        <v>276</v>
      </c>
      <c r="EQ21" s="20" t="s">
        <v>276</v>
      </c>
      <c r="ER21" s="20" t="s">
        <v>276</v>
      </c>
      <c r="ES21" s="19">
        <v>9</v>
      </c>
      <c r="ET21" s="19">
        <v>0</v>
      </c>
      <c r="EU21" s="19">
        <v>11907.79</v>
      </c>
      <c r="EV21" s="19">
        <v>1642</v>
      </c>
      <c r="EW21" s="19">
        <v>50</v>
      </c>
      <c r="EX21" s="19">
        <v>573</v>
      </c>
      <c r="EY21" s="19">
        <v>2444</v>
      </c>
      <c r="EZ21" s="19">
        <v>3573</v>
      </c>
      <c r="FA21" s="19">
        <v>740</v>
      </c>
      <c r="FB21" s="19">
        <v>72</v>
      </c>
      <c r="FC21" s="19">
        <v>2335</v>
      </c>
      <c r="FD21" s="19">
        <v>28</v>
      </c>
      <c r="FE21" s="19">
        <v>115</v>
      </c>
      <c r="FF21" s="19">
        <v>21</v>
      </c>
      <c r="FG21" s="19">
        <v>0</v>
      </c>
      <c r="FH21" s="20" t="s">
        <v>276</v>
      </c>
      <c r="FI21" s="20" t="s">
        <v>276</v>
      </c>
      <c r="FJ21" s="20" t="s">
        <v>276</v>
      </c>
      <c r="FK21" s="19">
        <v>0</v>
      </c>
      <c r="FL21" s="19">
        <v>0</v>
      </c>
      <c r="FM21" s="19">
        <v>0</v>
      </c>
      <c r="FN21" s="19">
        <v>0</v>
      </c>
      <c r="FO21" s="19">
        <v>314.79000000000002</v>
      </c>
    </row>
    <row r="22" spans="1:171" ht="13.5" customHeight="1">
      <c r="A22" s="17" t="s">
        <v>90</v>
      </c>
      <c r="B22" s="18" t="s">
        <v>91</v>
      </c>
      <c r="C22" s="17" t="s">
        <v>59</v>
      </c>
      <c r="D22" s="19">
        <v>32953</v>
      </c>
      <c r="E22" s="19">
        <v>3239</v>
      </c>
      <c r="F22" s="19">
        <v>46</v>
      </c>
      <c r="G22" s="19">
        <v>550</v>
      </c>
      <c r="H22" s="19">
        <v>4338</v>
      </c>
      <c r="I22" s="19">
        <v>3700</v>
      </c>
      <c r="J22" s="19">
        <v>1637</v>
      </c>
      <c r="K22" s="19">
        <v>0</v>
      </c>
      <c r="L22" s="19">
        <v>5863</v>
      </c>
      <c r="M22" s="19">
        <v>0</v>
      </c>
      <c r="N22" s="19">
        <v>0</v>
      </c>
      <c r="O22" s="19">
        <v>659</v>
      </c>
      <c r="P22" s="19">
        <v>0</v>
      </c>
      <c r="Q22" s="19">
        <v>2633</v>
      </c>
      <c r="R22" s="19">
        <v>0</v>
      </c>
      <c r="S22" s="19">
        <v>0</v>
      </c>
      <c r="T22" s="19">
        <v>4447</v>
      </c>
      <c r="U22" s="19">
        <v>0</v>
      </c>
      <c r="V22" s="19">
        <v>0</v>
      </c>
      <c r="W22" s="19">
        <v>53</v>
      </c>
      <c r="X22" s="19">
        <v>5788</v>
      </c>
      <c r="Y22" s="19">
        <v>7080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20" t="s">
        <v>276</v>
      </c>
      <c r="AK22" s="20" t="s">
        <v>276</v>
      </c>
      <c r="AL22" s="19">
        <v>2633</v>
      </c>
      <c r="AM22" s="20" t="s">
        <v>276</v>
      </c>
      <c r="AN22" s="20" t="s">
        <v>276</v>
      </c>
      <c r="AO22" s="19">
        <v>4447</v>
      </c>
      <c r="AP22" s="20" t="s">
        <v>276</v>
      </c>
      <c r="AQ22" s="19">
        <v>0</v>
      </c>
      <c r="AR22" s="20" t="s">
        <v>276</v>
      </c>
      <c r="AS22" s="19">
        <v>0</v>
      </c>
      <c r="AT22" s="19">
        <v>3043</v>
      </c>
      <c r="AU22" s="19">
        <v>0</v>
      </c>
      <c r="AV22" s="19">
        <v>0</v>
      </c>
      <c r="AW22" s="19">
        <v>0</v>
      </c>
      <c r="AX22" s="19">
        <v>744</v>
      </c>
      <c r="AY22" s="19">
        <v>0</v>
      </c>
      <c r="AZ22" s="19">
        <v>120</v>
      </c>
      <c r="BA22" s="19">
        <v>0</v>
      </c>
      <c r="BB22" s="19">
        <v>713</v>
      </c>
      <c r="BC22" s="19">
        <v>0</v>
      </c>
      <c r="BD22" s="19">
        <v>0</v>
      </c>
      <c r="BE22" s="19" t="s">
        <v>276</v>
      </c>
      <c r="BF22" s="19" t="s">
        <v>276</v>
      </c>
      <c r="BG22" s="20" t="s">
        <v>276</v>
      </c>
      <c r="BH22" s="20" t="s">
        <v>276</v>
      </c>
      <c r="BI22" s="20" t="s">
        <v>276</v>
      </c>
      <c r="BJ22" s="20" t="s">
        <v>276</v>
      </c>
      <c r="BK22" s="20" t="s">
        <v>276</v>
      </c>
      <c r="BL22" s="20" t="s">
        <v>276</v>
      </c>
      <c r="BM22" s="20" t="s">
        <v>276</v>
      </c>
      <c r="BN22" s="19">
        <v>1466</v>
      </c>
      <c r="BO22" s="19">
        <v>875</v>
      </c>
      <c r="BP22" s="19" t="s">
        <v>276</v>
      </c>
      <c r="BQ22" s="19" t="s">
        <v>276</v>
      </c>
      <c r="BR22" s="19" t="s">
        <v>276</v>
      </c>
      <c r="BS22" s="19" t="s">
        <v>276</v>
      </c>
      <c r="BT22" s="19" t="s">
        <v>276</v>
      </c>
      <c r="BU22" s="19" t="s">
        <v>276</v>
      </c>
      <c r="BV22" s="19" t="s">
        <v>276</v>
      </c>
      <c r="BW22" s="19" t="s">
        <v>276</v>
      </c>
      <c r="BX22" s="19" t="s">
        <v>276</v>
      </c>
      <c r="BY22" s="19" t="s">
        <v>276</v>
      </c>
      <c r="BZ22" s="19">
        <v>659</v>
      </c>
      <c r="CA22" s="19" t="s">
        <v>276</v>
      </c>
      <c r="CB22" s="20" t="s">
        <v>276</v>
      </c>
      <c r="CC22" s="20" t="s">
        <v>276</v>
      </c>
      <c r="CD22" s="20" t="s">
        <v>276</v>
      </c>
      <c r="CE22" s="20" t="s">
        <v>276</v>
      </c>
      <c r="CF22" s="20" t="s">
        <v>276</v>
      </c>
      <c r="CG22" s="20" t="s">
        <v>276</v>
      </c>
      <c r="CH22" s="20" t="s">
        <v>276</v>
      </c>
      <c r="CI22" s="19">
        <v>216</v>
      </c>
      <c r="CJ22" s="19">
        <v>0</v>
      </c>
      <c r="CK22" s="19" t="s">
        <v>276</v>
      </c>
      <c r="CL22" s="19" t="s">
        <v>276</v>
      </c>
      <c r="CM22" s="19" t="s">
        <v>276</v>
      </c>
      <c r="CN22" s="19" t="s">
        <v>276</v>
      </c>
      <c r="CO22" s="19" t="s">
        <v>276</v>
      </c>
      <c r="CP22" s="19" t="s">
        <v>276</v>
      </c>
      <c r="CQ22" s="19" t="s">
        <v>276</v>
      </c>
      <c r="CR22" s="19" t="s">
        <v>276</v>
      </c>
      <c r="CS22" s="19" t="s">
        <v>276</v>
      </c>
      <c r="CT22" s="19" t="s">
        <v>276</v>
      </c>
      <c r="CU22" s="19" t="s">
        <v>276</v>
      </c>
      <c r="CV22" s="19">
        <v>0</v>
      </c>
      <c r="CW22" s="20" t="s">
        <v>276</v>
      </c>
      <c r="CX22" s="20" t="s">
        <v>276</v>
      </c>
      <c r="CY22" s="20" t="s">
        <v>276</v>
      </c>
      <c r="CZ22" s="20" t="s">
        <v>276</v>
      </c>
      <c r="DA22" s="20" t="s">
        <v>276</v>
      </c>
      <c r="DB22" s="20" t="s">
        <v>276</v>
      </c>
      <c r="DC22" s="20" t="s">
        <v>276</v>
      </c>
      <c r="DD22" s="19">
        <v>0</v>
      </c>
      <c r="DE22" s="19">
        <v>25</v>
      </c>
      <c r="DF22" s="19" t="s">
        <v>276</v>
      </c>
      <c r="DG22" s="19" t="s">
        <v>276</v>
      </c>
      <c r="DH22" s="19" t="s">
        <v>276</v>
      </c>
      <c r="DI22" s="19" t="s">
        <v>276</v>
      </c>
      <c r="DJ22" s="19" t="s">
        <v>276</v>
      </c>
      <c r="DK22" s="19" t="s">
        <v>276</v>
      </c>
      <c r="DL22" s="19" t="s">
        <v>276</v>
      </c>
      <c r="DM22" s="19" t="s">
        <v>276</v>
      </c>
      <c r="DN22" s="19" t="s">
        <v>276</v>
      </c>
      <c r="DO22" s="19" t="s">
        <v>276</v>
      </c>
      <c r="DP22" s="19">
        <v>0</v>
      </c>
      <c r="DQ22" s="19" t="s">
        <v>276</v>
      </c>
      <c r="DR22" s="20" t="s">
        <v>276</v>
      </c>
      <c r="DS22" s="20" t="s">
        <v>276</v>
      </c>
      <c r="DT22" s="19">
        <v>0</v>
      </c>
      <c r="DU22" s="20" t="s">
        <v>276</v>
      </c>
      <c r="DV22" s="20" t="s">
        <v>276</v>
      </c>
      <c r="DW22" s="20" t="s">
        <v>276</v>
      </c>
      <c r="DX22" s="20" t="s">
        <v>276</v>
      </c>
      <c r="DY22" s="19">
        <v>25</v>
      </c>
      <c r="DZ22" s="19">
        <v>1622</v>
      </c>
      <c r="EA22" s="19">
        <v>17</v>
      </c>
      <c r="EB22" s="19" t="s">
        <v>276</v>
      </c>
      <c r="EC22" s="19" t="s">
        <v>276</v>
      </c>
      <c r="ED22" s="19">
        <v>370</v>
      </c>
      <c r="EE22" s="19" t="s">
        <v>276</v>
      </c>
      <c r="EF22" s="19" t="s">
        <v>276</v>
      </c>
      <c r="EG22" s="19" t="s">
        <v>276</v>
      </c>
      <c r="EH22" s="19">
        <v>870</v>
      </c>
      <c r="EI22" s="19">
        <v>0</v>
      </c>
      <c r="EJ22" s="19" t="s">
        <v>276</v>
      </c>
      <c r="EK22" s="20" t="s">
        <v>276</v>
      </c>
      <c r="EL22" s="20" t="s">
        <v>276</v>
      </c>
      <c r="EM22" s="20" t="s">
        <v>276</v>
      </c>
      <c r="EN22" s="19">
        <v>0</v>
      </c>
      <c r="EO22" s="19">
        <v>0</v>
      </c>
      <c r="EP22" s="20" t="s">
        <v>276</v>
      </c>
      <c r="EQ22" s="20" t="s">
        <v>276</v>
      </c>
      <c r="ER22" s="20" t="s">
        <v>276</v>
      </c>
      <c r="ES22" s="19">
        <v>26</v>
      </c>
      <c r="ET22" s="19">
        <v>339</v>
      </c>
      <c r="EU22" s="19">
        <v>20308</v>
      </c>
      <c r="EV22" s="19">
        <v>3222</v>
      </c>
      <c r="EW22" s="19">
        <v>46</v>
      </c>
      <c r="EX22" s="19">
        <v>550</v>
      </c>
      <c r="EY22" s="19">
        <v>3224</v>
      </c>
      <c r="EZ22" s="19">
        <v>3700</v>
      </c>
      <c r="FA22" s="19">
        <v>1517</v>
      </c>
      <c r="FB22" s="19">
        <v>0</v>
      </c>
      <c r="FC22" s="19">
        <v>4280</v>
      </c>
      <c r="FD22" s="19">
        <v>0</v>
      </c>
      <c r="FE22" s="19">
        <v>0</v>
      </c>
      <c r="FF22" s="19">
        <v>0</v>
      </c>
      <c r="FG22" s="19">
        <v>0</v>
      </c>
      <c r="FH22" s="20" t="s">
        <v>276</v>
      </c>
      <c r="FI22" s="20" t="s">
        <v>276</v>
      </c>
      <c r="FJ22" s="20" t="s">
        <v>276</v>
      </c>
      <c r="FK22" s="19">
        <v>0</v>
      </c>
      <c r="FL22" s="19">
        <v>0</v>
      </c>
      <c r="FM22" s="19">
        <v>0</v>
      </c>
      <c r="FN22" s="19">
        <v>27</v>
      </c>
      <c r="FO22" s="19">
        <v>3742</v>
      </c>
    </row>
    <row r="23" spans="1:171" ht="13.5" customHeight="1">
      <c r="A23" s="17" t="s">
        <v>92</v>
      </c>
      <c r="B23" s="18" t="s">
        <v>93</v>
      </c>
      <c r="C23" s="17" t="s">
        <v>59</v>
      </c>
      <c r="D23" s="19">
        <v>18229</v>
      </c>
      <c r="E23" s="19">
        <v>1785</v>
      </c>
      <c r="F23" s="19">
        <v>7</v>
      </c>
      <c r="G23" s="19">
        <v>268</v>
      </c>
      <c r="H23" s="19">
        <v>6508</v>
      </c>
      <c r="I23" s="19">
        <v>3151</v>
      </c>
      <c r="J23" s="19">
        <v>767</v>
      </c>
      <c r="K23" s="19">
        <v>6</v>
      </c>
      <c r="L23" s="19">
        <v>3822</v>
      </c>
      <c r="M23" s="19">
        <v>36</v>
      </c>
      <c r="N23" s="19">
        <v>0</v>
      </c>
      <c r="O23" s="19">
        <v>138</v>
      </c>
      <c r="P23" s="19">
        <v>0</v>
      </c>
      <c r="Q23" s="19">
        <v>1489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252</v>
      </c>
      <c r="Y23" s="19">
        <v>2132</v>
      </c>
      <c r="Z23" s="19">
        <v>192</v>
      </c>
      <c r="AA23" s="19">
        <v>0</v>
      </c>
      <c r="AB23" s="19">
        <v>0</v>
      </c>
      <c r="AC23" s="19">
        <v>451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20" t="s">
        <v>276</v>
      </c>
      <c r="AK23" s="20" t="s">
        <v>276</v>
      </c>
      <c r="AL23" s="19">
        <v>1489</v>
      </c>
      <c r="AM23" s="20" t="s">
        <v>276</v>
      </c>
      <c r="AN23" s="20" t="s">
        <v>276</v>
      </c>
      <c r="AO23" s="19">
        <v>0</v>
      </c>
      <c r="AP23" s="20" t="s">
        <v>276</v>
      </c>
      <c r="AQ23" s="19">
        <v>0</v>
      </c>
      <c r="AR23" s="20" t="s">
        <v>276</v>
      </c>
      <c r="AS23" s="19">
        <v>0</v>
      </c>
      <c r="AT23" s="19">
        <v>5280</v>
      </c>
      <c r="AU23" s="19">
        <v>0</v>
      </c>
      <c r="AV23" s="19">
        <v>0</v>
      </c>
      <c r="AW23" s="19">
        <v>0</v>
      </c>
      <c r="AX23" s="19">
        <v>4625</v>
      </c>
      <c r="AY23" s="19">
        <v>580</v>
      </c>
      <c r="AZ23" s="19">
        <v>0</v>
      </c>
      <c r="BA23" s="19">
        <v>0</v>
      </c>
      <c r="BB23" s="19">
        <v>0</v>
      </c>
      <c r="BC23" s="19">
        <v>8</v>
      </c>
      <c r="BD23" s="19">
        <v>0</v>
      </c>
      <c r="BE23" s="19" t="s">
        <v>276</v>
      </c>
      <c r="BF23" s="19" t="s">
        <v>276</v>
      </c>
      <c r="BG23" s="20" t="s">
        <v>276</v>
      </c>
      <c r="BH23" s="20" t="s">
        <v>276</v>
      </c>
      <c r="BI23" s="20" t="s">
        <v>276</v>
      </c>
      <c r="BJ23" s="20" t="s">
        <v>276</v>
      </c>
      <c r="BK23" s="20" t="s">
        <v>276</v>
      </c>
      <c r="BL23" s="20" t="s">
        <v>276</v>
      </c>
      <c r="BM23" s="20" t="s">
        <v>276</v>
      </c>
      <c r="BN23" s="19">
        <v>67</v>
      </c>
      <c r="BO23" s="19">
        <v>138</v>
      </c>
      <c r="BP23" s="19" t="s">
        <v>276</v>
      </c>
      <c r="BQ23" s="19" t="s">
        <v>276</v>
      </c>
      <c r="BR23" s="19" t="s">
        <v>276</v>
      </c>
      <c r="BS23" s="19" t="s">
        <v>276</v>
      </c>
      <c r="BT23" s="19" t="s">
        <v>276</v>
      </c>
      <c r="BU23" s="19" t="s">
        <v>276</v>
      </c>
      <c r="BV23" s="19" t="s">
        <v>276</v>
      </c>
      <c r="BW23" s="19" t="s">
        <v>276</v>
      </c>
      <c r="BX23" s="19" t="s">
        <v>276</v>
      </c>
      <c r="BY23" s="19" t="s">
        <v>276</v>
      </c>
      <c r="BZ23" s="19">
        <v>138</v>
      </c>
      <c r="CA23" s="19" t="s">
        <v>276</v>
      </c>
      <c r="CB23" s="20" t="s">
        <v>276</v>
      </c>
      <c r="CC23" s="20" t="s">
        <v>276</v>
      </c>
      <c r="CD23" s="20" t="s">
        <v>276</v>
      </c>
      <c r="CE23" s="20" t="s">
        <v>276</v>
      </c>
      <c r="CF23" s="20" t="s">
        <v>276</v>
      </c>
      <c r="CG23" s="20" t="s">
        <v>276</v>
      </c>
      <c r="CH23" s="20" t="s">
        <v>276</v>
      </c>
      <c r="CI23" s="19">
        <v>0</v>
      </c>
      <c r="CJ23" s="19">
        <v>0</v>
      </c>
      <c r="CK23" s="19" t="s">
        <v>276</v>
      </c>
      <c r="CL23" s="19" t="s">
        <v>276</v>
      </c>
      <c r="CM23" s="19" t="s">
        <v>276</v>
      </c>
      <c r="CN23" s="19" t="s">
        <v>276</v>
      </c>
      <c r="CO23" s="19" t="s">
        <v>276</v>
      </c>
      <c r="CP23" s="19" t="s">
        <v>276</v>
      </c>
      <c r="CQ23" s="19" t="s">
        <v>276</v>
      </c>
      <c r="CR23" s="19" t="s">
        <v>276</v>
      </c>
      <c r="CS23" s="19" t="s">
        <v>276</v>
      </c>
      <c r="CT23" s="19" t="s">
        <v>276</v>
      </c>
      <c r="CU23" s="19" t="s">
        <v>276</v>
      </c>
      <c r="CV23" s="19">
        <v>0</v>
      </c>
      <c r="CW23" s="20" t="s">
        <v>276</v>
      </c>
      <c r="CX23" s="20" t="s">
        <v>276</v>
      </c>
      <c r="CY23" s="20" t="s">
        <v>276</v>
      </c>
      <c r="CZ23" s="20" t="s">
        <v>276</v>
      </c>
      <c r="DA23" s="20" t="s">
        <v>276</v>
      </c>
      <c r="DB23" s="20" t="s">
        <v>276</v>
      </c>
      <c r="DC23" s="20" t="s">
        <v>276</v>
      </c>
      <c r="DD23" s="19">
        <v>0</v>
      </c>
      <c r="DE23" s="19">
        <v>0</v>
      </c>
      <c r="DF23" s="19" t="s">
        <v>276</v>
      </c>
      <c r="DG23" s="19" t="s">
        <v>276</v>
      </c>
      <c r="DH23" s="19" t="s">
        <v>276</v>
      </c>
      <c r="DI23" s="19" t="s">
        <v>276</v>
      </c>
      <c r="DJ23" s="19" t="s">
        <v>276</v>
      </c>
      <c r="DK23" s="19" t="s">
        <v>276</v>
      </c>
      <c r="DL23" s="19" t="s">
        <v>276</v>
      </c>
      <c r="DM23" s="19" t="s">
        <v>276</v>
      </c>
      <c r="DN23" s="19" t="s">
        <v>276</v>
      </c>
      <c r="DO23" s="19" t="s">
        <v>276</v>
      </c>
      <c r="DP23" s="19">
        <v>0</v>
      </c>
      <c r="DQ23" s="19" t="s">
        <v>276</v>
      </c>
      <c r="DR23" s="20" t="s">
        <v>276</v>
      </c>
      <c r="DS23" s="20" t="s">
        <v>276</v>
      </c>
      <c r="DT23" s="19">
        <v>0</v>
      </c>
      <c r="DU23" s="20" t="s">
        <v>276</v>
      </c>
      <c r="DV23" s="20" t="s">
        <v>276</v>
      </c>
      <c r="DW23" s="20" t="s">
        <v>276</v>
      </c>
      <c r="DX23" s="20" t="s">
        <v>276</v>
      </c>
      <c r="DY23" s="19">
        <v>0</v>
      </c>
      <c r="DZ23" s="19">
        <v>0</v>
      </c>
      <c r="EA23" s="19">
        <v>0</v>
      </c>
      <c r="EB23" s="19" t="s">
        <v>276</v>
      </c>
      <c r="EC23" s="19" t="s">
        <v>276</v>
      </c>
      <c r="ED23" s="19">
        <v>0</v>
      </c>
      <c r="EE23" s="19" t="s">
        <v>276</v>
      </c>
      <c r="EF23" s="19" t="s">
        <v>276</v>
      </c>
      <c r="EG23" s="19" t="s">
        <v>276</v>
      </c>
      <c r="EH23" s="19">
        <v>0</v>
      </c>
      <c r="EI23" s="19">
        <v>0</v>
      </c>
      <c r="EJ23" s="19" t="s">
        <v>276</v>
      </c>
      <c r="EK23" s="20" t="s">
        <v>276</v>
      </c>
      <c r="EL23" s="20" t="s">
        <v>276</v>
      </c>
      <c r="EM23" s="20" t="s">
        <v>276</v>
      </c>
      <c r="EN23" s="19">
        <v>0</v>
      </c>
      <c r="EO23" s="19">
        <v>0</v>
      </c>
      <c r="EP23" s="20" t="s">
        <v>276</v>
      </c>
      <c r="EQ23" s="20" t="s">
        <v>276</v>
      </c>
      <c r="ER23" s="20" t="s">
        <v>276</v>
      </c>
      <c r="ES23" s="19">
        <v>0</v>
      </c>
      <c r="ET23" s="19">
        <v>0</v>
      </c>
      <c r="EU23" s="19">
        <v>10679</v>
      </c>
      <c r="EV23" s="19">
        <v>1593</v>
      </c>
      <c r="EW23" s="19">
        <v>7</v>
      </c>
      <c r="EX23" s="19">
        <v>268</v>
      </c>
      <c r="EY23" s="19">
        <v>1432</v>
      </c>
      <c r="EZ23" s="19">
        <v>2571</v>
      </c>
      <c r="FA23" s="19">
        <v>767</v>
      </c>
      <c r="FB23" s="19">
        <v>6</v>
      </c>
      <c r="FC23" s="19">
        <v>3822</v>
      </c>
      <c r="FD23" s="19">
        <v>28</v>
      </c>
      <c r="FE23" s="19">
        <v>0</v>
      </c>
      <c r="FF23" s="19">
        <v>0</v>
      </c>
      <c r="FG23" s="19">
        <v>0</v>
      </c>
      <c r="FH23" s="20" t="s">
        <v>276</v>
      </c>
      <c r="FI23" s="20" t="s">
        <v>276</v>
      </c>
      <c r="FJ23" s="20" t="s">
        <v>276</v>
      </c>
      <c r="FK23" s="19">
        <v>0</v>
      </c>
      <c r="FL23" s="19">
        <v>0</v>
      </c>
      <c r="FM23" s="19">
        <v>0</v>
      </c>
      <c r="FN23" s="19">
        <v>0</v>
      </c>
      <c r="FO23" s="19">
        <v>185</v>
      </c>
    </row>
    <row r="24" spans="1:171" ht="13.5" customHeight="1">
      <c r="A24" s="17" t="s">
        <v>94</v>
      </c>
      <c r="B24" s="18" t="s">
        <v>95</v>
      </c>
      <c r="C24" s="17" t="s">
        <v>59</v>
      </c>
      <c r="D24" s="19">
        <v>27607</v>
      </c>
      <c r="E24" s="19">
        <v>6654</v>
      </c>
      <c r="F24" s="19">
        <v>52</v>
      </c>
      <c r="G24" s="19">
        <v>216</v>
      </c>
      <c r="H24" s="19">
        <v>4929</v>
      </c>
      <c r="I24" s="19">
        <v>2879</v>
      </c>
      <c r="J24" s="19">
        <v>673</v>
      </c>
      <c r="K24" s="19">
        <v>19</v>
      </c>
      <c r="L24" s="19">
        <v>731</v>
      </c>
      <c r="M24" s="19">
        <v>3</v>
      </c>
      <c r="N24" s="19">
        <v>111</v>
      </c>
      <c r="O24" s="19">
        <v>179</v>
      </c>
      <c r="P24" s="19">
        <v>0</v>
      </c>
      <c r="Q24" s="19">
        <v>7533</v>
      </c>
      <c r="R24" s="19">
        <v>0</v>
      </c>
      <c r="S24" s="19">
        <v>0</v>
      </c>
      <c r="T24" s="19">
        <v>3</v>
      </c>
      <c r="U24" s="19">
        <v>0</v>
      </c>
      <c r="V24" s="19">
        <v>0</v>
      </c>
      <c r="W24" s="19">
        <v>4</v>
      </c>
      <c r="X24" s="19">
        <v>3621</v>
      </c>
      <c r="Y24" s="19">
        <v>10357</v>
      </c>
      <c r="Z24" s="19">
        <v>0</v>
      </c>
      <c r="AA24" s="19">
        <v>0</v>
      </c>
      <c r="AB24" s="19">
        <v>0</v>
      </c>
      <c r="AC24" s="19">
        <v>389</v>
      </c>
      <c r="AD24" s="19">
        <v>50</v>
      </c>
      <c r="AE24" s="19">
        <v>36</v>
      </c>
      <c r="AF24" s="19">
        <v>2</v>
      </c>
      <c r="AG24" s="19">
        <v>65</v>
      </c>
      <c r="AH24" s="19">
        <v>0</v>
      </c>
      <c r="AI24" s="19">
        <v>0</v>
      </c>
      <c r="AJ24" s="20" t="s">
        <v>276</v>
      </c>
      <c r="AK24" s="20" t="s">
        <v>276</v>
      </c>
      <c r="AL24" s="19">
        <v>7533</v>
      </c>
      <c r="AM24" s="20" t="s">
        <v>276</v>
      </c>
      <c r="AN24" s="20" t="s">
        <v>276</v>
      </c>
      <c r="AO24" s="19">
        <v>3</v>
      </c>
      <c r="AP24" s="20" t="s">
        <v>276</v>
      </c>
      <c r="AQ24" s="19">
        <v>0</v>
      </c>
      <c r="AR24" s="20" t="s">
        <v>276</v>
      </c>
      <c r="AS24" s="19">
        <v>2279</v>
      </c>
      <c r="AT24" s="19">
        <v>7066</v>
      </c>
      <c r="AU24" s="19">
        <v>2309</v>
      </c>
      <c r="AV24" s="19">
        <v>26</v>
      </c>
      <c r="AW24" s="19">
        <v>0</v>
      </c>
      <c r="AX24" s="19">
        <v>2666</v>
      </c>
      <c r="AY24" s="19">
        <v>689</v>
      </c>
      <c r="AZ24" s="19">
        <v>152</v>
      </c>
      <c r="BA24" s="19">
        <v>2</v>
      </c>
      <c r="BB24" s="19">
        <v>244</v>
      </c>
      <c r="BC24" s="19">
        <v>0</v>
      </c>
      <c r="BD24" s="19">
        <v>53</v>
      </c>
      <c r="BE24" s="19" t="s">
        <v>276</v>
      </c>
      <c r="BF24" s="19" t="s">
        <v>276</v>
      </c>
      <c r="BG24" s="20" t="s">
        <v>276</v>
      </c>
      <c r="BH24" s="20" t="s">
        <v>276</v>
      </c>
      <c r="BI24" s="20" t="s">
        <v>276</v>
      </c>
      <c r="BJ24" s="20" t="s">
        <v>276</v>
      </c>
      <c r="BK24" s="20" t="s">
        <v>276</v>
      </c>
      <c r="BL24" s="20" t="s">
        <v>276</v>
      </c>
      <c r="BM24" s="20" t="s">
        <v>276</v>
      </c>
      <c r="BN24" s="19">
        <v>925</v>
      </c>
      <c r="BO24" s="19">
        <v>195</v>
      </c>
      <c r="BP24" s="19" t="s">
        <v>276</v>
      </c>
      <c r="BQ24" s="19" t="s">
        <v>276</v>
      </c>
      <c r="BR24" s="19" t="s">
        <v>276</v>
      </c>
      <c r="BS24" s="19" t="s">
        <v>276</v>
      </c>
      <c r="BT24" s="19" t="s">
        <v>276</v>
      </c>
      <c r="BU24" s="19" t="s">
        <v>276</v>
      </c>
      <c r="BV24" s="19" t="s">
        <v>276</v>
      </c>
      <c r="BW24" s="19" t="s">
        <v>276</v>
      </c>
      <c r="BX24" s="19" t="s">
        <v>276</v>
      </c>
      <c r="BY24" s="19" t="s">
        <v>276</v>
      </c>
      <c r="BZ24" s="19">
        <v>179</v>
      </c>
      <c r="CA24" s="19" t="s">
        <v>276</v>
      </c>
      <c r="CB24" s="20" t="s">
        <v>276</v>
      </c>
      <c r="CC24" s="20" t="s">
        <v>276</v>
      </c>
      <c r="CD24" s="20" t="s">
        <v>276</v>
      </c>
      <c r="CE24" s="20" t="s">
        <v>276</v>
      </c>
      <c r="CF24" s="20" t="s">
        <v>276</v>
      </c>
      <c r="CG24" s="20" t="s">
        <v>276</v>
      </c>
      <c r="CH24" s="20" t="s">
        <v>276</v>
      </c>
      <c r="CI24" s="19">
        <v>16</v>
      </c>
      <c r="CJ24" s="19">
        <v>0</v>
      </c>
      <c r="CK24" s="19" t="s">
        <v>276</v>
      </c>
      <c r="CL24" s="19" t="s">
        <v>276</v>
      </c>
      <c r="CM24" s="19" t="s">
        <v>276</v>
      </c>
      <c r="CN24" s="19" t="s">
        <v>276</v>
      </c>
      <c r="CO24" s="19" t="s">
        <v>276</v>
      </c>
      <c r="CP24" s="19" t="s">
        <v>276</v>
      </c>
      <c r="CQ24" s="19" t="s">
        <v>276</v>
      </c>
      <c r="CR24" s="19" t="s">
        <v>276</v>
      </c>
      <c r="CS24" s="19" t="s">
        <v>276</v>
      </c>
      <c r="CT24" s="19" t="s">
        <v>276</v>
      </c>
      <c r="CU24" s="19" t="s">
        <v>276</v>
      </c>
      <c r="CV24" s="19">
        <v>0</v>
      </c>
      <c r="CW24" s="20" t="s">
        <v>276</v>
      </c>
      <c r="CX24" s="20" t="s">
        <v>276</v>
      </c>
      <c r="CY24" s="20" t="s">
        <v>276</v>
      </c>
      <c r="CZ24" s="20" t="s">
        <v>276</v>
      </c>
      <c r="DA24" s="20" t="s">
        <v>276</v>
      </c>
      <c r="DB24" s="20" t="s">
        <v>276</v>
      </c>
      <c r="DC24" s="20" t="s">
        <v>276</v>
      </c>
      <c r="DD24" s="19">
        <v>0</v>
      </c>
      <c r="DE24" s="19">
        <v>0</v>
      </c>
      <c r="DF24" s="19" t="s">
        <v>276</v>
      </c>
      <c r="DG24" s="19" t="s">
        <v>276</v>
      </c>
      <c r="DH24" s="19" t="s">
        <v>276</v>
      </c>
      <c r="DI24" s="19" t="s">
        <v>276</v>
      </c>
      <c r="DJ24" s="19" t="s">
        <v>276</v>
      </c>
      <c r="DK24" s="19" t="s">
        <v>276</v>
      </c>
      <c r="DL24" s="19" t="s">
        <v>276</v>
      </c>
      <c r="DM24" s="19" t="s">
        <v>276</v>
      </c>
      <c r="DN24" s="19" t="s">
        <v>276</v>
      </c>
      <c r="DO24" s="19" t="s">
        <v>276</v>
      </c>
      <c r="DP24" s="19">
        <v>0</v>
      </c>
      <c r="DQ24" s="19" t="s">
        <v>276</v>
      </c>
      <c r="DR24" s="20" t="s">
        <v>276</v>
      </c>
      <c r="DS24" s="20" t="s">
        <v>276</v>
      </c>
      <c r="DT24" s="19">
        <v>0</v>
      </c>
      <c r="DU24" s="20" t="s">
        <v>276</v>
      </c>
      <c r="DV24" s="20" t="s">
        <v>276</v>
      </c>
      <c r="DW24" s="20" t="s">
        <v>276</v>
      </c>
      <c r="DX24" s="20" t="s">
        <v>276</v>
      </c>
      <c r="DY24" s="19">
        <v>0</v>
      </c>
      <c r="DZ24" s="19">
        <v>0</v>
      </c>
      <c r="EA24" s="19">
        <v>0</v>
      </c>
      <c r="EB24" s="19" t="s">
        <v>276</v>
      </c>
      <c r="EC24" s="19" t="s">
        <v>276</v>
      </c>
      <c r="ED24" s="19">
        <v>0</v>
      </c>
      <c r="EE24" s="19" t="s">
        <v>276</v>
      </c>
      <c r="EF24" s="19" t="s">
        <v>276</v>
      </c>
      <c r="EG24" s="19" t="s">
        <v>276</v>
      </c>
      <c r="EH24" s="19">
        <v>0</v>
      </c>
      <c r="EI24" s="19">
        <v>0</v>
      </c>
      <c r="EJ24" s="19" t="s">
        <v>276</v>
      </c>
      <c r="EK24" s="20" t="s">
        <v>276</v>
      </c>
      <c r="EL24" s="20" t="s">
        <v>276</v>
      </c>
      <c r="EM24" s="20" t="s">
        <v>276</v>
      </c>
      <c r="EN24" s="19">
        <v>0</v>
      </c>
      <c r="EO24" s="19">
        <v>0</v>
      </c>
      <c r="EP24" s="20" t="s">
        <v>276</v>
      </c>
      <c r="EQ24" s="20" t="s">
        <v>276</v>
      </c>
      <c r="ER24" s="20" t="s">
        <v>276</v>
      </c>
      <c r="ES24" s="19">
        <v>0</v>
      </c>
      <c r="ET24" s="19">
        <v>0</v>
      </c>
      <c r="EU24" s="19">
        <v>9989</v>
      </c>
      <c r="EV24" s="19">
        <v>4345</v>
      </c>
      <c r="EW24" s="19">
        <v>26</v>
      </c>
      <c r="EX24" s="19">
        <v>216</v>
      </c>
      <c r="EY24" s="19">
        <v>1874</v>
      </c>
      <c r="EZ24" s="19">
        <v>2140</v>
      </c>
      <c r="FA24" s="19">
        <v>485</v>
      </c>
      <c r="FB24" s="19">
        <v>15</v>
      </c>
      <c r="FC24" s="19">
        <v>422</v>
      </c>
      <c r="FD24" s="19">
        <v>3</v>
      </c>
      <c r="FE24" s="19">
        <v>58</v>
      </c>
      <c r="FF24" s="19">
        <v>0</v>
      </c>
      <c r="FG24" s="19">
        <v>0</v>
      </c>
      <c r="FH24" s="20" t="s">
        <v>276</v>
      </c>
      <c r="FI24" s="20" t="s">
        <v>276</v>
      </c>
      <c r="FJ24" s="20" t="s">
        <v>276</v>
      </c>
      <c r="FK24" s="19">
        <v>0</v>
      </c>
      <c r="FL24" s="19">
        <v>0</v>
      </c>
      <c r="FM24" s="19">
        <v>0</v>
      </c>
      <c r="FN24" s="19">
        <v>4</v>
      </c>
      <c r="FO24" s="19">
        <v>401</v>
      </c>
    </row>
    <row r="25" spans="1:171" ht="13.5" customHeight="1">
      <c r="A25" s="17" t="s">
        <v>96</v>
      </c>
      <c r="B25" s="18" t="s">
        <v>97</v>
      </c>
      <c r="C25" s="17" t="s">
        <v>59</v>
      </c>
      <c r="D25" s="19">
        <v>74052</v>
      </c>
      <c r="E25" s="19">
        <v>6797</v>
      </c>
      <c r="F25" s="19">
        <v>44</v>
      </c>
      <c r="G25" s="19">
        <v>859</v>
      </c>
      <c r="H25" s="19">
        <v>7541</v>
      </c>
      <c r="I25" s="19">
        <v>5027</v>
      </c>
      <c r="J25" s="19">
        <v>1564</v>
      </c>
      <c r="K25" s="19">
        <v>12</v>
      </c>
      <c r="L25" s="19">
        <v>11737</v>
      </c>
      <c r="M25" s="19">
        <v>2327</v>
      </c>
      <c r="N25" s="19">
        <v>289</v>
      </c>
      <c r="O25" s="19">
        <v>2543</v>
      </c>
      <c r="P25" s="19">
        <v>0</v>
      </c>
      <c r="Q25" s="19">
        <v>8501</v>
      </c>
      <c r="R25" s="19">
        <v>0</v>
      </c>
      <c r="S25" s="19">
        <v>0</v>
      </c>
      <c r="T25" s="19">
        <v>8077</v>
      </c>
      <c r="U25" s="19">
        <v>0</v>
      </c>
      <c r="V25" s="19">
        <v>1738</v>
      </c>
      <c r="W25" s="19">
        <v>34</v>
      </c>
      <c r="X25" s="19">
        <v>16962</v>
      </c>
      <c r="Y25" s="19">
        <v>30489</v>
      </c>
      <c r="Z25" s="19">
        <v>0</v>
      </c>
      <c r="AA25" s="19">
        <v>0</v>
      </c>
      <c r="AB25" s="19">
        <v>0</v>
      </c>
      <c r="AC25" s="19">
        <v>1166</v>
      </c>
      <c r="AD25" s="19">
        <v>0</v>
      </c>
      <c r="AE25" s="19">
        <v>40</v>
      </c>
      <c r="AF25" s="19">
        <v>0</v>
      </c>
      <c r="AG25" s="19">
        <v>0</v>
      </c>
      <c r="AH25" s="19">
        <v>0</v>
      </c>
      <c r="AI25" s="19">
        <v>0</v>
      </c>
      <c r="AJ25" s="20" t="s">
        <v>276</v>
      </c>
      <c r="AK25" s="20" t="s">
        <v>276</v>
      </c>
      <c r="AL25" s="19">
        <v>8501</v>
      </c>
      <c r="AM25" s="20" t="s">
        <v>276</v>
      </c>
      <c r="AN25" s="20" t="s">
        <v>276</v>
      </c>
      <c r="AO25" s="19">
        <v>8076</v>
      </c>
      <c r="AP25" s="20" t="s">
        <v>276</v>
      </c>
      <c r="AQ25" s="19">
        <v>1738</v>
      </c>
      <c r="AR25" s="20" t="s">
        <v>276</v>
      </c>
      <c r="AS25" s="19">
        <v>10968</v>
      </c>
      <c r="AT25" s="19">
        <v>3907</v>
      </c>
      <c r="AU25" s="19">
        <v>0</v>
      </c>
      <c r="AV25" s="19">
        <v>0</v>
      </c>
      <c r="AW25" s="19">
        <v>0</v>
      </c>
      <c r="AX25" s="19">
        <v>3300</v>
      </c>
      <c r="AY25" s="19">
        <v>106</v>
      </c>
      <c r="AZ25" s="19">
        <v>4</v>
      </c>
      <c r="BA25" s="19">
        <v>0</v>
      </c>
      <c r="BB25" s="19">
        <v>1</v>
      </c>
      <c r="BC25" s="19">
        <v>78</v>
      </c>
      <c r="BD25" s="19">
        <v>0</v>
      </c>
      <c r="BE25" s="19" t="s">
        <v>276</v>
      </c>
      <c r="BF25" s="19" t="s">
        <v>276</v>
      </c>
      <c r="BG25" s="20" t="s">
        <v>276</v>
      </c>
      <c r="BH25" s="20" t="s">
        <v>276</v>
      </c>
      <c r="BI25" s="20" t="s">
        <v>276</v>
      </c>
      <c r="BJ25" s="20" t="s">
        <v>276</v>
      </c>
      <c r="BK25" s="20" t="s">
        <v>276</v>
      </c>
      <c r="BL25" s="20" t="s">
        <v>276</v>
      </c>
      <c r="BM25" s="20" t="s">
        <v>276</v>
      </c>
      <c r="BN25" s="19">
        <v>418</v>
      </c>
      <c r="BO25" s="19">
        <v>4676</v>
      </c>
      <c r="BP25" s="19" t="s">
        <v>276</v>
      </c>
      <c r="BQ25" s="19" t="s">
        <v>276</v>
      </c>
      <c r="BR25" s="19" t="s">
        <v>276</v>
      </c>
      <c r="BS25" s="19" t="s">
        <v>276</v>
      </c>
      <c r="BT25" s="19" t="s">
        <v>276</v>
      </c>
      <c r="BU25" s="19" t="s">
        <v>276</v>
      </c>
      <c r="BV25" s="19" t="s">
        <v>276</v>
      </c>
      <c r="BW25" s="19" t="s">
        <v>276</v>
      </c>
      <c r="BX25" s="19" t="s">
        <v>276</v>
      </c>
      <c r="BY25" s="19" t="s">
        <v>276</v>
      </c>
      <c r="BZ25" s="19">
        <v>2250</v>
      </c>
      <c r="CA25" s="19" t="s">
        <v>276</v>
      </c>
      <c r="CB25" s="20" t="s">
        <v>276</v>
      </c>
      <c r="CC25" s="20" t="s">
        <v>276</v>
      </c>
      <c r="CD25" s="20" t="s">
        <v>276</v>
      </c>
      <c r="CE25" s="20" t="s">
        <v>276</v>
      </c>
      <c r="CF25" s="20" t="s">
        <v>276</v>
      </c>
      <c r="CG25" s="20" t="s">
        <v>276</v>
      </c>
      <c r="CH25" s="20" t="s">
        <v>276</v>
      </c>
      <c r="CI25" s="19">
        <v>2426</v>
      </c>
      <c r="CJ25" s="19">
        <v>0</v>
      </c>
      <c r="CK25" s="19" t="s">
        <v>276</v>
      </c>
      <c r="CL25" s="19" t="s">
        <v>276</v>
      </c>
      <c r="CM25" s="19" t="s">
        <v>276</v>
      </c>
      <c r="CN25" s="19" t="s">
        <v>276</v>
      </c>
      <c r="CO25" s="19" t="s">
        <v>276</v>
      </c>
      <c r="CP25" s="19" t="s">
        <v>276</v>
      </c>
      <c r="CQ25" s="19" t="s">
        <v>276</v>
      </c>
      <c r="CR25" s="19" t="s">
        <v>276</v>
      </c>
      <c r="CS25" s="19" t="s">
        <v>276</v>
      </c>
      <c r="CT25" s="19" t="s">
        <v>276</v>
      </c>
      <c r="CU25" s="19" t="s">
        <v>276</v>
      </c>
      <c r="CV25" s="19">
        <v>0</v>
      </c>
      <c r="CW25" s="20" t="s">
        <v>276</v>
      </c>
      <c r="CX25" s="20" t="s">
        <v>276</v>
      </c>
      <c r="CY25" s="20" t="s">
        <v>276</v>
      </c>
      <c r="CZ25" s="20" t="s">
        <v>276</v>
      </c>
      <c r="DA25" s="20" t="s">
        <v>276</v>
      </c>
      <c r="DB25" s="20" t="s">
        <v>276</v>
      </c>
      <c r="DC25" s="20" t="s">
        <v>276</v>
      </c>
      <c r="DD25" s="19">
        <v>0</v>
      </c>
      <c r="DE25" s="19">
        <v>0</v>
      </c>
      <c r="DF25" s="19" t="s">
        <v>276</v>
      </c>
      <c r="DG25" s="19" t="s">
        <v>276</v>
      </c>
      <c r="DH25" s="19" t="s">
        <v>276</v>
      </c>
      <c r="DI25" s="19" t="s">
        <v>276</v>
      </c>
      <c r="DJ25" s="19" t="s">
        <v>276</v>
      </c>
      <c r="DK25" s="19" t="s">
        <v>276</v>
      </c>
      <c r="DL25" s="19" t="s">
        <v>276</v>
      </c>
      <c r="DM25" s="19" t="s">
        <v>276</v>
      </c>
      <c r="DN25" s="19" t="s">
        <v>276</v>
      </c>
      <c r="DO25" s="19" t="s">
        <v>276</v>
      </c>
      <c r="DP25" s="19">
        <v>0</v>
      </c>
      <c r="DQ25" s="19" t="s">
        <v>276</v>
      </c>
      <c r="DR25" s="20" t="s">
        <v>276</v>
      </c>
      <c r="DS25" s="20" t="s">
        <v>276</v>
      </c>
      <c r="DT25" s="19">
        <v>0</v>
      </c>
      <c r="DU25" s="20" t="s">
        <v>276</v>
      </c>
      <c r="DV25" s="20" t="s">
        <v>276</v>
      </c>
      <c r="DW25" s="20" t="s">
        <v>276</v>
      </c>
      <c r="DX25" s="20" t="s">
        <v>276</v>
      </c>
      <c r="DY25" s="19">
        <v>0</v>
      </c>
      <c r="DZ25" s="19">
        <v>3</v>
      </c>
      <c r="EA25" s="19">
        <v>0</v>
      </c>
      <c r="EB25" s="19" t="s">
        <v>276</v>
      </c>
      <c r="EC25" s="19" t="s">
        <v>276</v>
      </c>
      <c r="ED25" s="19">
        <v>0</v>
      </c>
      <c r="EE25" s="19" t="s">
        <v>276</v>
      </c>
      <c r="EF25" s="19" t="s">
        <v>276</v>
      </c>
      <c r="EG25" s="19" t="s">
        <v>276</v>
      </c>
      <c r="EH25" s="19">
        <v>0</v>
      </c>
      <c r="EI25" s="19">
        <v>2</v>
      </c>
      <c r="EJ25" s="19" t="s">
        <v>276</v>
      </c>
      <c r="EK25" s="20" t="s">
        <v>276</v>
      </c>
      <c r="EL25" s="20" t="s">
        <v>276</v>
      </c>
      <c r="EM25" s="20" t="s">
        <v>276</v>
      </c>
      <c r="EN25" s="19">
        <v>0</v>
      </c>
      <c r="EO25" s="19">
        <v>0</v>
      </c>
      <c r="EP25" s="20" t="s">
        <v>276</v>
      </c>
      <c r="EQ25" s="20" t="s">
        <v>276</v>
      </c>
      <c r="ER25" s="20" t="s">
        <v>276</v>
      </c>
      <c r="ES25" s="19">
        <v>1</v>
      </c>
      <c r="ET25" s="19">
        <v>0</v>
      </c>
      <c r="EU25" s="19">
        <v>34977</v>
      </c>
      <c r="EV25" s="19">
        <v>6797</v>
      </c>
      <c r="EW25" s="19">
        <v>44</v>
      </c>
      <c r="EX25" s="19">
        <v>859</v>
      </c>
      <c r="EY25" s="19">
        <v>3075</v>
      </c>
      <c r="EZ25" s="19">
        <v>4921</v>
      </c>
      <c r="FA25" s="19">
        <v>1520</v>
      </c>
      <c r="FB25" s="19">
        <v>12</v>
      </c>
      <c r="FC25" s="19">
        <v>11736</v>
      </c>
      <c r="FD25" s="19">
        <v>2247</v>
      </c>
      <c r="FE25" s="19">
        <v>289</v>
      </c>
      <c r="FF25" s="19">
        <v>293</v>
      </c>
      <c r="FG25" s="19">
        <v>0</v>
      </c>
      <c r="FH25" s="20" t="s">
        <v>276</v>
      </c>
      <c r="FI25" s="20" t="s">
        <v>276</v>
      </c>
      <c r="FJ25" s="20" t="s">
        <v>276</v>
      </c>
      <c r="FK25" s="19">
        <v>1</v>
      </c>
      <c r="FL25" s="19">
        <v>0</v>
      </c>
      <c r="FM25" s="19">
        <v>0</v>
      </c>
      <c r="FN25" s="19">
        <v>33</v>
      </c>
      <c r="FO25" s="19">
        <v>3150</v>
      </c>
    </row>
    <row r="26" spans="1:171" ht="13.5" customHeight="1">
      <c r="A26" s="17" t="s">
        <v>98</v>
      </c>
      <c r="B26" s="18" t="s">
        <v>99</v>
      </c>
      <c r="C26" s="17" t="s">
        <v>59</v>
      </c>
      <c r="D26" s="19">
        <v>68697</v>
      </c>
      <c r="E26" s="19">
        <v>1916</v>
      </c>
      <c r="F26" s="19">
        <v>30</v>
      </c>
      <c r="G26" s="19">
        <v>796</v>
      </c>
      <c r="H26" s="19">
        <v>10699</v>
      </c>
      <c r="I26" s="19">
        <v>7095</v>
      </c>
      <c r="J26" s="19">
        <v>2634</v>
      </c>
      <c r="K26" s="19">
        <v>93</v>
      </c>
      <c r="L26" s="19">
        <v>2793</v>
      </c>
      <c r="M26" s="19">
        <v>611</v>
      </c>
      <c r="N26" s="19">
        <v>478</v>
      </c>
      <c r="O26" s="19">
        <v>209</v>
      </c>
      <c r="P26" s="19">
        <v>0</v>
      </c>
      <c r="Q26" s="19">
        <v>11465</v>
      </c>
      <c r="R26" s="19">
        <v>8434</v>
      </c>
      <c r="S26" s="19">
        <v>3943</v>
      </c>
      <c r="T26" s="19">
        <v>6517</v>
      </c>
      <c r="U26" s="19">
        <v>0</v>
      </c>
      <c r="V26" s="19">
        <v>1655</v>
      </c>
      <c r="W26" s="19">
        <v>43</v>
      </c>
      <c r="X26" s="19">
        <v>9286</v>
      </c>
      <c r="Y26" s="19">
        <v>26609</v>
      </c>
      <c r="Z26" s="19">
        <v>36</v>
      </c>
      <c r="AA26" s="19">
        <v>0</v>
      </c>
      <c r="AB26" s="19">
        <v>0</v>
      </c>
      <c r="AC26" s="19">
        <v>1192</v>
      </c>
      <c r="AD26" s="19">
        <v>0</v>
      </c>
      <c r="AE26" s="19">
        <v>0</v>
      </c>
      <c r="AF26" s="19">
        <v>0</v>
      </c>
      <c r="AG26" s="19">
        <v>14</v>
      </c>
      <c r="AH26" s="19">
        <v>0</v>
      </c>
      <c r="AI26" s="19">
        <v>0</v>
      </c>
      <c r="AJ26" s="20" t="s">
        <v>276</v>
      </c>
      <c r="AK26" s="20" t="s">
        <v>276</v>
      </c>
      <c r="AL26" s="19">
        <v>11465</v>
      </c>
      <c r="AM26" s="20" t="s">
        <v>276</v>
      </c>
      <c r="AN26" s="20" t="s">
        <v>276</v>
      </c>
      <c r="AO26" s="19">
        <v>6517</v>
      </c>
      <c r="AP26" s="20" t="s">
        <v>276</v>
      </c>
      <c r="AQ26" s="19">
        <v>1655</v>
      </c>
      <c r="AR26" s="20" t="s">
        <v>276</v>
      </c>
      <c r="AS26" s="19">
        <v>5730</v>
      </c>
      <c r="AT26" s="19">
        <v>4865</v>
      </c>
      <c r="AU26" s="19">
        <v>0</v>
      </c>
      <c r="AV26" s="19">
        <v>0</v>
      </c>
      <c r="AW26" s="19">
        <v>0</v>
      </c>
      <c r="AX26" s="19">
        <v>3928</v>
      </c>
      <c r="AY26" s="19">
        <v>112</v>
      </c>
      <c r="AZ26" s="19">
        <v>0</v>
      </c>
      <c r="BA26" s="19">
        <v>0</v>
      </c>
      <c r="BB26" s="19">
        <v>0</v>
      </c>
      <c r="BC26" s="19">
        <v>0</v>
      </c>
      <c r="BD26" s="19">
        <v>57</v>
      </c>
      <c r="BE26" s="19" t="s">
        <v>276</v>
      </c>
      <c r="BF26" s="19" t="s">
        <v>276</v>
      </c>
      <c r="BG26" s="20" t="s">
        <v>276</v>
      </c>
      <c r="BH26" s="20" t="s">
        <v>276</v>
      </c>
      <c r="BI26" s="20" t="s">
        <v>276</v>
      </c>
      <c r="BJ26" s="20" t="s">
        <v>276</v>
      </c>
      <c r="BK26" s="20" t="s">
        <v>276</v>
      </c>
      <c r="BL26" s="20" t="s">
        <v>276</v>
      </c>
      <c r="BM26" s="20" t="s">
        <v>276</v>
      </c>
      <c r="BN26" s="19">
        <v>768</v>
      </c>
      <c r="BO26" s="19">
        <v>577</v>
      </c>
      <c r="BP26" s="19" t="s">
        <v>276</v>
      </c>
      <c r="BQ26" s="19" t="s">
        <v>276</v>
      </c>
      <c r="BR26" s="19" t="s">
        <v>276</v>
      </c>
      <c r="BS26" s="19" t="s">
        <v>276</v>
      </c>
      <c r="BT26" s="19" t="s">
        <v>276</v>
      </c>
      <c r="BU26" s="19" t="s">
        <v>276</v>
      </c>
      <c r="BV26" s="19" t="s">
        <v>276</v>
      </c>
      <c r="BW26" s="19" t="s">
        <v>276</v>
      </c>
      <c r="BX26" s="19" t="s">
        <v>276</v>
      </c>
      <c r="BY26" s="19" t="s">
        <v>276</v>
      </c>
      <c r="BZ26" s="19">
        <v>209</v>
      </c>
      <c r="CA26" s="19" t="s">
        <v>276</v>
      </c>
      <c r="CB26" s="20" t="s">
        <v>276</v>
      </c>
      <c r="CC26" s="20" t="s">
        <v>276</v>
      </c>
      <c r="CD26" s="20" t="s">
        <v>276</v>
      </c>
      <c r="CE26" s="20" t="s">
        <v>276</v>
      </c>
      <c r="CF26" s="20" t="s">
        <v>276</v>
      </c>
      <c r="CG26" s="20" t="s">
        <v>276</v>
      </c>
      <c r="CH26" s="20" t="s">
        <v>276</v>
      </c>
      <c r="CI26" s="19">
        <v>368</v>
      </c>
      <c r="CJ26" s="19">
        <v>0</v>
      </c>
      <c r="CK26" s="19" t="s">
        <v>276</v>
      </c>
      <c r="CL26" s="19" t="s">
        <v>276</v>
      </c>
      <c r="CM26" s="19" t="s">
        <v>276</v>
      </c>
      <c r="CN26" s="19" t="s">
        <v>276</v>
      </c>
      <c r="CO26" s="19" t="s">
        <v>276</v>
      </c>
      <c r="CP26" s="19" t="s">
        <v>276</v>
      </c>
      <c r="CQ26" s="19" t="s">
        <v>276</v>
      </c>
      <c r="CR26" s="19" t="s">
        <v>276</v>
      </c>
      <c r="CS26" s="19" t="s">
        <v>276</v>
      </c>
      <c r="CT26" s="19" t="s">
        <v>276</v>
      </c>
      <c r="CU26" s="19" t="s">
        <v>276</v>
      </c>
      <c r="CV26" s="19">
        <v>0</v>
      </c>
      <c r="CW26" s="20" t="s">
        <v>276</v>
      </c>
      <c r="CX26" s="20" t="s">
        <v>276</v>
      </c>
      <c r="CY26" s="20" t="s">
        <v>276</v>
      </c>
      <c r="CZ26" s="20" t="s">
        <v>276</v>
      </c>
      <c r="DA26" s="20" t="s">
        <v>276</v>
      </c>
      <c r="DB26" s="20" t="s">
        <v>276</v>
      </c>
      <c r="DC26" s="20" t="s">
        <v>276</v>
      </c>
      <c r="DD26" s="19">
        <v>0</v>
      </c>
      <c r="DE26" s="19">
        <v>0</v>
      </c>
      <c r="DF26" s="19" t="s">
        <v>276</v>
      </c>
      <c r="DG26" s="19" t="s">
        <v>276</v>
      </c>
      <c r="DH26" s="19" t="s">
        <v>276</v>
      </c>
      <c r="DI26" s="19" t="s">
        <v>276</v>
      </c>
      <c r="DJ26" s="19" t="s">
        <v>276</v>
      </c>
      <c r="DK26" s="19" t="s">
        <v>276</v>
      </c>
      <c r="DL26" s="19" t="s">
        <v>276</v>
      </c>
      <c r="DM26" s="19" t="s">
        <v>276</v>
      </c>
      <c r="DN26" s="19" t="s">
        <v>276</v>
      </c>
      <c r="DO26" s="19" t="s">
        <v>276</v>
      </c>
      <c r="DP26" s="19">
        <v>0</v>
      </c>
      <c r="DQ26" s="19" t="s">
        <v>276</v>
      </c>
      <c r="DR26" s="20" t="s">
        <v>276</v>
      </c>
      <c r="DS26" s="20" t="s">
        <v>276</v>
      </c>
      <c r="DT26" s="19">
        <v>0</v>
      </c>
      <c r="DU26" s="20" t="s">
        <v>276</v>
      </c>
      <c r="DV26" s="20" t="s">
        <v>276</v>
      </c>
      <c r="DW26" s="20" t="s">
        <v>276</v>
      </c>
      <c r="DX26" s="20" t="s">
        <v>276</v>
      </c>
      <c r="DY26" s="19">
        <v>0</v>
      </c>
      <c r="DZ26" s="19">
        <v>12536</v>
      </c>
      <c r="EA26" s="19">
        <v>0</v>
      </c>
      <c r="EB26" s="19" t="s">
        <v>276</v>
      </c>
      <c r="EC26" s="19" t="s">
        <v>276</v>
      </c>
      <c r="ED26" s="19">
        <v>0</v>
      </c>
      <c r="EE26" s="19" t="s">
        <v>276</v>
      </c>
      <c r="EF26" s="19" t="s">
        <v>276</v>
      </c>
      <c r="EG26" s="19" t="s">
        <v>276</v>
      </c>
      <c r="EH26" s="19">
        <v>0</v>
      </c>
      <c r="EI26" s="19">
        <v>105</v>
      </c>
      <c r="EJ26" s="19" t="s">
        <v>276</v>
      </c>
      <c r="EK26" s="20" t="s">
        <v>276</v>
      </c>
      <c r="EL26" s="20" t="s">
        <v>276</v>
      </c>
      <c r="EM26" s="20" t="s">
        <v>276</v>
      </c>
      <c r="EN26" s="19">
        <v>8434</v>
      </c>
      <c r="EO26" s="19">
        <v>3943</v>
      </c>
      <c r="EP26" s="20" t="s">
        <v>276</v>
      </c>
      <c r="EQ26" s="20" t="s">
        <v>276</v>
      </c>
      <c r="ER26" s="20" t="s">
        <v>276</v>
      </c>
      <c r="ES26" s="19">
        <v>14</v>
      </c>
      <c r="ET26" s="19">
        <v>40</v>
      </c>
      <c r="EU26" s="19">
        <v>24110</v>
      </c>
      <c r="EV26" s="19">
        <v>1880</v>
      </c>
      <c r="EW26" s="19">
        <v>30</v>
      </c>
      <c r="EX26" s="19">
        <v>796</v>
      </c>
      <c r="EY26" s="19">
        <v>5579</v>
      </c>
      <c r="EZ26" s="19">
        <v>6983</v>
      </c>
      <c r="FA26" s="19">
        <v>2634</v>
      </c>
      <c r="FB26" s="19">
        <v>93</v>
      </c>
      <c r="FC26" s="19">
        <v>2779</v>
      </c>
      <c r="FD26" s="19">
        <v>506</v>
      </c>
      <c r="FE26" s="19">
        <v>421</v>
      </c>
      <c r="FF26" s="19">
        <v>0</v>
      </c>
      <c r="FG26" s="19">
        <v>0</v>
      </c>
      <c r="FH26" s="20" t="s">
        <v>276</v>
      </c>
      <c r="FI26" s="20" t="s">
        <v>276</v>
      </c>
      <c r="FJ26" s="20" t="s">
        <v>276</v>
      </c>
      <c r="FK26" s="19">
        <v>0</v>
      </c>
      <c r="FL26" s="19">
        <v>0</v>
      </c>
      <c r="FM26" s="19">
        <v>0</v>
      </c>
      <c r="FN26" s="19">
        <v>29</v>
      </c>
      <c r="FO26" s="19">
        <v>2380</v>
      </c>
    </row>
    <row r="27" spans="1:171" ht="13.5" customHeight="1">
      <c r="A27" s="17" t="s">
        <v>100</v>
      </c>
      <c r="B27" s="18" t="s">
        <v>101</v>
      </c>
      <c r="C27" s="17" t="s">
        <v>59</v>
      </c>
      <c r="D27" s="19">
        <v>137048</v>
      </c>
      <c r="E27" s="19">
        <v>2222</v>
      </c>
      <c r="F27" s="19">
        <v>17</v>
      </c>
      <c r="G27" s="19">
        <v>48</v>
      </c>
      <c r="H27" s="19">
        <v>20815</v>
      </c>
      <c r="I27" s="19">
        <v>13191</v>
      </c>
      <c r="J27" s="19">
        <v>4746</v>
      </c>
      <c r="K27" s="19">
        <v>227</v>
      </c>
      <c r="L27" s="19">
        <v>18827</v>
      </c>
      <c r="M27" s="19">
        <v>1149</v>
      </c>
      <c r="N27" s="19">
        <v>517</v>
      </c>
      <c r="O27" s="19">
        <v>2439</v>
      </c>
      <c r="P27" s="19">
        <v>0</v>
      </c>
      <c r="Q27" s="19">
        <v>35675</v>
      </c>
      <c r="R27" s="19">
        <v>567</v>
      </c>
      <c r="S27" s="19">
        <v>0</v>
      </c>
      <c r="T27" s="19">
        <v>6342</v>
      </c>
      <c r="U27" s="19">
        <v>0</v>
      </c>
      <c r="V27" s="19">
        <v>0</v>
      </c>
      <c r="W27" s="19">
        <v>91</v>
      </c>
      <c r="X27" s="19">
        <v>30175</v>
      </c>
      <c r="Y27" s="19">
        <v>62939</v>
      </c>
      <c r="Z27" s="19">
        <v>29</v>
      </c>
      <c r="AA27" s="19">
        <v>0</v>
      </c>
      <c r="AB27" s="19">
        <v>0</v>
      </c>
      <c r="AC27" s="19">
        <v>2683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20" t="s">
        <v>276</v>
      </c>
      <c r="AK27" s="20" t="s">
        <v>276</v>
      </c>
      <c r="AL27" s="19">
        <v>35675</v>
      </c>
      <c r="AM27" s="20" t="s">
        <v>276</v>
      </c>
      <c r="AN27" s="20" t="s">
        <v>276</v>
      </c>
      <c r="AO27" s="19">
        <v>5246</v>
      </c>
      <c r="AP27" s="20" t="s">
        <v>276</v>
      </c>
      <c r="AQ27" s="19">
        <v>0</v>
      </c>
      <c r="AR27" s="20" t="s">
        <v>276</v>
      </c>
      <c r="AS27" s="19">
        <v>19306</v>
      </c>
      <c r="AT27" s="19">
        <v>13656</v>
      </c>
      <c r="AU27" s="19">
        <v>19</v>
      </c>
      <c r="AV27" s="19">
        <v>2</v>
      </c>
      <c r="AW27" s="19">
        <v>0</v>
      </c>
      <c r="AX27" s="19">
        <v>11947</v>
      </c>
      <c r="AY27" s="19">
        <v>938</v>
      </c>
      <c r="AZ27" s="19">
        <v>0</v>
      </c>
      <c r="BA27" s="19">
        <v>0</v>
      </c>
      <c r="BB27" s="19">
        <v>0</v>
      </c>
      <c r="BC27" s="19">
        <v>0</v>
      </c>
      <c r="BD27" s="19">
        <v>27</v>
      </c>
      <c r="BE27" s="19" t="s">
        <v>276</v>
      </c>
      <c r="BF27" s="19" t="s">
        <v>276</v>
      </c>
      <c r="BG27" s="20" t="s">
        <v>276</v>
      </c>
      <c r="BH27" s="20" t="s">
        <v>276</v>
      </c>
      <c r="BI27" s="20" t="s">
        <v>276</v>
      </c>
      <c r="BJ27" s="20" t="s">
        <v>276</v>
      </c>
      <c r="BK27" s="20" t="s">
        <v>276</v>
      </c>
      <c r="BL27" s="20" t="s">
        <v>276</v>
      </c>
      <c r="BM27" s="20" t="s">
        <v>276</v>
      </c>
      <c r="BN27" s="19">
        <v>723</v>
      </c>
      <c r="BO27" s="19">
        <v>1925</v>
      </c>
      <c r="BP27" s="19" t="s">
        <v>276</v>
      </c>
      <c r="BQ27" s="19" t="s">
        <v>276</v>
      </c>
      <c r="BR27" s="19" t="s">
        <v>276</v>
      </c>
      <c r="BS27" s="19" t="s">
        <v>276</v>
      </c>
      <c r="BT27" s="19" t="s">
        <v>276</v>
      </c>
      <c r="BU27" s="19" t="s">
        <v>276</v>
      </c>
      <c r="BV27" s="19" t="s">
        <v>276</v>
      </c>
      <c r="BW27" s="19" t="s">
        <v>276</v>
      </c>
      <c r="BX27" s="19" t="s">
        <v>276</v>
      </c>
      <c r="BY27" s="19" t="s">
        <v>276</v>
      </c>
      <c r="BZ27" s="19">
        <v>1553</v>
      </c>
      <c r="CA27" s="19" t="s">
        <v>276</v>
      </c>
      <c r="CB27" s="20" t="s">
        <v>276</v>
      </c>
      <c r="CC27" s="20" t="s">
        <v>276</v>
      </c>
      <c r="CD27" s="20" t="s">
        <v>276</v>
      </c>
      <c r="CE27" s="20" t="s">
        <v>276</v>
      </c>
      <c r="CF27" s="20" t="s">
        <v>276</v>
      </c>
      <c r="CG27" s="20" t="s">
        <v>276</v>
      </c>
      <c r="CH27" s="20" t="s">
        <v>276</v>
      </c>
      <c r="CI27" s="19">
        <v>372</v>
      </c>
      <c r="CJ27" s="19">
        <v>0</v>
      </c>
      <c r="CK27" s="19" t="s">
        <v>276</v>
      </c>
      <c r="CL27" s="19" t="s">
        <v>276</v>
      </c>
      <c r="CM27" s="19" t="s">
        <v>276</v>
      </c>
      <c r="CN27" s="19" t="s">
        <v>276</v>
      </c>
      <c r="CO27" s="19" t="s">
        <v>276</v>
      </c>
      <c r="CP27" s="19" t="s">
        <v>276</v>
      </c>
      <c r="CQ27" s="19" t="s">
        <v>276</v>
      </c>
      <c r="CR27" s="19" t="s">
        <v>276</v>
      </c>
      <c r="CS27" s="19" t="s">
        <v>276</v>
      </c>
      <c r="CT27" s="19" t="s">
        <v>276</v>
      </c>
      <c r="CU27" s="19" t="s">
        <v>276</v>
      </c>
      <c r="CV27" s="19">
        <v>0</v>
      </c>
      <c r="CW27" s="20" t="s">
        <v>276</v>
      </c>
      <c r="CX27" s="20" t="s">
        <v>276</v>
      </c>
      <c r="CY27" s="20" t="s">
        <v>276</v>
      </c>
      <c r="CZ27" s="20" t="s">
        <v>276</v>
      </c>
      <c r="DA27" s="20" t="s">
        <v>276</v>
      </c>
      <c r="DB27" s="20" t="s">
        <v>276</v>
      </c>
      <c r="DC27" s="20" t="s">
        <v>276</v>
      </c>
      <c r="DD27" s="19">
        <v>0</v>
      </c>
      <c r="DE27" s="19">
        <v>0</v>
      </c>
      <c r="DF27" s="19" t="s">
        <v>276</v>
      </c>
      <c r="DG27" s="19" t="s">
        <v>276</v>
      </c>
      <c r="DH27" s="19" t="s">
        <v>276</v>
      </c>
      <c r="DI27" s="19" t="s">
        <v>276</v>
      </c>
      <c r="DJ27" s="19" t="s">
        <v>276</v>
      </c>
      <c r="DK27" s="19" t="s">
        <v>276</v>
      </c>
      <c r="DL27" s="19" t="s">
        <v>276</v>
      </c>
      <c r="DM27" s="19" t="s">
        <v>276</v>
      </c>
      <c r="DN27" s="19" t="s">
        <v>276</v>
      </c>
      <c r="DO27" s="19" t="s">
        <v>276</v>
      </c>
      <c r="DP27" s="19">
        <v>0</v>
      </c>
      <c r="DQ27" s="19" t="s">
        <v>276</v>
      </c>
      <c r="DR27" s="20" t="s">
        <v>276</v>
      </c>
      <c r="DS27" s="20" t="s">
        <v>276</v>
      </c>
      <c r="DT27" s="19">
        <v>0</v>
      </c>
      <c r="DU27" s="20" t="s">
        <v>276</v>
      </c>
      <c r="DV27" s="20" t="s">
        <v>276</v>
      </c>
      <c r="DW27" s="20" t="s">
        <v>276</v>
      </c>
      <c r="DX27" s="20" t="s">
        <v>276</v>
      </c>
      <c r="DY27" s="19">
        <v>0</v>
      </c>
      <c r="DZ27" s="19">
        <v>572</v>
      </c>
      <c r="EA27" s="19">
        <v>0</v>
      </c>
      <c r="EB27" s="19" t="s">
        <v>276</v>
      </c>
      <c r="EC27" s="19" t="s">
        <v>276</v>
      </c>
      <c r="ED27" s="19">
        <v>0</v>
      </c>
      <c r="EE27" s="19" t="s">
        <v>276</v>
      </c>
      <c r="EF27" s="19" t="s">
        <v>276</v>
      </c>
      <c r="EG27" s="19" t="s">
        <v>276</v>
      </c>
      <c r="EH27" s="19">
        <v>0</v>
      </c>
      <c r="EI27" s="19">
        <v>0</v>
      </c>
      <c r="EJ27" s="19" t="s">
        <v>276</v>
      </c>
      <c r="EK27" s="20" t="s">
        <v>276</v>
      </c>
      <c r="EL27" s="20" t="s">
        <v>276</v>
      </c>
      <c r="EM27" s="20" t="s">
        <v>276</v>
      </c>
      <c r="EN27" s="19">
        <v>567</v>
      </c>
      <c r="EO27" s="19">
        <v>0</v>
      </c>
      <c r="EP27" s="20" t="s">
        <v>276</v>
      </c>
      <c r="EQ27" s="20" t="s">
        <v>276</v>
      </c>
      <c r="ER27" s="20" t="s">
        <v>276</v>
      </c>
      <c r="ES27" s="19">
        <v>5</v>
      </c>
      <c r="ET27" s="19">
        <v>0</v>
      </c>
      <c r="EU27" s="19">
        <v>57956</v>
      </c>
      <c r="EV27" s="19">
        <v>2174</v>
      </c>
      <c r="EW27" s="19">
        <v>15</v>
      </c>
      <c r="EX27" s="19">
        <v>48</v>
      </c>
      <c r="EY27" s="19">
        <v>6185</v>
      </c>
      <c r="EZ27" s="19">
        <v>12253</v>
      </c>
      <c r="FA27" s="19">
        <v>4746</v>
      </c>
      <c r="FB27" s="19">
        <v>227</v>
      </c>
      <c r="FC27" s="19">
        <v>18827</v>
      </c>
      <c r="FD27" s="19">
        <v>1149</v>
      </c>
      <c r="FE27" s="19">
        <v>490</v>
      </c>
      <c r="FF27" s="19">
        <v>886</v>
      </c>
      <c r="FG27" s="19">
        <v>0</v>
      </c>
      <c r="FH27" s="20" t="s">
        <v>276</v>
      </c>
      <c r="FI27" s="20" t="s">
        <v>276</v>
      </c>
      <c r="FJ27" s="20" t="s">
        <v>276</v>
      </c>
      <c r="FK27" s="19">
        <v>1096</v>
      </c>
      <c r="FL27" s="19">
        <v>0</v>
      </c>
      <c r="FM27" s="19">
        <v>0</v>
      </c>
      <c r="FN27" s="19">
        <v>86</v>
      </c>
      <c r="FO27" s="19">
        <v>9774</v>
      </c>
    </row>
    <row r="28" spans="1:171" ht="13.5" customHeight="1">
      <c r="A28" s="17" t="s">
        <v>102</v>
      </c>
      <c r="B28" s="18" t="s">
        <v>103</v>
      </c>
      <c r="C28" s="17" t="s">
        <v>59</v>
      </c>
      <c r="D28" s="19">
        <v>342671</v>
      </c>
      <c r="E28" s="19">
        <v>11904</v>
      </c>
      <c r="F28" s="19">
        <v>186</v>
      </c>
      <c r="G28" s="19">
        <v>9233</v>
      </c>
      <c r="H28" s="19">
        <v>41873</v>
      </c>
      <c r="I28" s="19">
        <v>27097</v>
      </c>
      <c r="J28" s="19">
        <v>16342</v>
      </c>
      <c r="K28" s="19">
        <v>181</v>
      </c>
      <c r="L28" s="19">
        <v>42291</v>
      </c>
      <c r="M28" s="19">
        <v>4424</v>
      </c>
      <c r="N28" s="19">
        <v>1434</v>
      </c>
      <c r="O28" s="19">
        <v>17711</v>
      </c>
      <c r="P28" s="19">
        <v>1088</v>
      </c>
      <c r="Q28" s="19">
        <v>68363</v>
      </c>
      <c r="R28" s="19">
        <v>458</v>
      </c>
      <c r="S28" s="19">
        <v>1076</v>
      </c>
      <c r="T28" s="19">
        <v>16056</v>
      </c>
      <c r="U28" s="19">
        <v>0</v>
      </c>
      <c r="V28" s="19">
        <v>6069</v>
      </c>
      <c r="W28" s="19">
        <v>76</v>
      </c>
      <c r="X28" s="19">
        <v>76809</v>
      </c>
      <c r="Y28" s="19">
        <v>115705</v>
      </c>
      <c r="Z28" s="19">
        <v>45</v>
      </c>
      <c r="AA28" s="19">
        <v>0</v>
      </c>
      <c r="AB28" s="19">
        <v>9</v>
      </c>
      <c r="AC28" s="19">
        <v>11865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20" t="s">
        <v>276</v>
      </c>
      <c r="AK28" s="20" t="s">
        <v>276</v>
      </c>
      <c r="AL28" s="19">
        <v>68363</v>
      </c>
      <c r="AM28" s="20" t="s">
        <v>276</v>
      </c>
      <c r="AN28" s="20" t="s">
        <v>276</v>
      </c>
      <c r="AO28" s="19">
        <v>16056</v>
      </c>
      <c r="AP28" s="20" t="s">
        <v>276</v>
      </c>
      <c r="AQ28" s="19">
        <v>6069</v>
      </c>
      <c r="AR28" s="20" t="s">
        <v>276</v>
      </c>
      <c r="AS28" s="19">
        <v>13298</v>
      </c>
      <c r="AT28" s="19">
        <v>17103</v>
      </c>
      <c r="AU28" s="19">
        <v>0</v>
      </c>
      <c r="AV28" s="19">
        <v>0</v>
      </c>
      <c r="AW28" s="19">
        <v>7</v>
      </c>
      <c r="AX28" s="19">
        <v>14954</v>
      </c>
      <c r="AY28" s="19">
        <v>10</v>
      </c>
      <c r="AZ28" s="19">
        <v>0</v>
      </c>
      <c r="BA28" s="19">
        <v>0</v>
      </c>
      <c r="BB28" s="19">
        <v>0</v>
      </c>
      <c r="BC28" s="19">
        <v>1244</v>
      </c>
      <c r="BD28" s="19">
        <v>4</v>
      </c>
      <c r="BE28" s="19" t="s">
        <v>276</v>
      </c>
      <c r="BF28" s="19" t="s">
        <v>276</v>
      </c>
      <c r="BG28" s="20" t="s">
        <v>276</v>
      </c>
      <c r="BH28" s="20" t="s">
        <v>276</v>
      </c>
      <c r="BI28" s="20" t="s">
        <v>276</v>
      </c>
      <c r="BJ28" s="20" t="s">
        <v>276</v>
      </c>
      <c r="BK28" s="20" t="s">
        <v>276</v>
      </c>
      <c r="BL28" s="20" t="s">
        <v>276</v>
      </c>
      <c r="BM28" s="20" t="s">
        <v>276</v>
      </c>
      <c r="BN28" s="19">
        <v>884</v>
      </c>
      <c r="BO28" s="19">
        <v>18271</v>
      </c>
      <c r="BP28" s="19" t="s">
        <v>276</v>
      </c>
      <c r="BQ28" s="19" t="s">
        <v>276</v>
      </c>
      <c r="BR28" s="19" t="s">
        <v>276</v>
      </c>
      <c r="BS28" s="19" t="s">
        <v>276</v>
      </c>
      <c r="BT28" s="19" t="s">
        <v>276</v>
      </c>
      <c r="BU28" s="19" t="s">
        <v>276</v>
      </c>
      <c r="BV28" s="19" t="s">
        <v>276</v>
      </c>
      <c r="BW28" s="19" t="s">
        <v>276</v>
      </c>
      <c r="BX28" s="19" t="s">
        <v>276</v>
      </c>
      <c r="BY28" s="19" t="s">
        <v>276</v>
      </c>
      <c r="BZ28" s="19">
        <v>11199</v>
      </c>
      <c r="CA28" s="19" t="s">
        <v>276</v>
      </c>
      <c r="CB28" s="20" t="s">
        <v>276</v>
      </c>
      <c r="CC28" s="20" t="s">
        <v>276</v>
      </c>
      <c r="CD28" s="20" t="s">
        <v>276</v>
      </c>
      <c r="CE28" s="20" t="s">
        <v>276</v>
      </c>
      <c r="CF28" s="20" t="s">
        <v>276</v>
      </c>
      <c r="CG28" s="20" t="s">
        <v>276</v>
      </c>
      <c r="CH28" s="20" t="s">
        <v>276</v>
      </c>
      <c r="CI28" s="19">
        <v>7072</v>
      </c>
      <c r="CJ28" s="19">
        <v>1311</v>
      </c>
      <c r="CK28" s="19" t="s">
        <v>276</v>
      </c>
      <c r="CL28" s="19" t="s">
        <v>276</v>
      </c>
      <c r="CM28" s="19" t="s">
        <v>276</v>
      </c>
      <c r="CN28" s="19" t="s">
        <v>276</v>
      </c>
      <c r="CO28" s="19" t="s">
        <v>276</v>
      </c>
      <c r="CP28" s="19" t="s">
        <v>276</v>
      </c>
      <c r="CQ28" s="19" t="s">
        <v>276</v>
      </c>
      <c r="CR28" s="19" t="s">
        <v>276</v>
      </c>
      <c r="CS28" s="19" t="s">
        <v>276</v>
      </c>
      <c r="CT28" s="19" t="s">
        <v>276</v>
      </c>
      <c r="CU28" s="19" t="s">
        <v>276</v>
      </c>
      <c r="CV28" s="19">
        <v>981</v>
      </c>
      <c r="CW28" s="20" t="s">
        <v>276</v>
      </c>
      <c r="CX28" s="20" t="s">
        <v>276</v>
      </c>
      <c r="CY28" s="20" t="s">
        <v>276</v>
      </c>
      <c r="CZ28" s="20" t="s">
        <v>276</v>
      </c>
      <c r="DA28" s="20" t="s">
        <v>276</v>
      </c>
      <c r="DB28" s="20" t="s">
        <v>276</v>
      </c>
      <c r="DC28" s="20" t="s">
        <v>276</v>
      </c>
      <c r="DD28" s="19">
        <v>330</v>
      </c>
      <c r="DE28" s="19">
        <v>15507</v>
      </c>
      <c r="DF28" s="19" t="s">
        <v>276</v>
      </c>
      <c r="DG28" s="19" t="s">
        <v>276</v>
      </c>
      <c r="DH28" s="19" t="s">
        <v>276</v>
      </c>
      <c r="DI28" s="19" t="s">
        <v>276</v>
      </c>
      <c r="DJ28" s="19" t="s">
        <v>276</v>
      </c>
      <c r="DK28" s="19" t="s">
        <v>276</v>
      </c>
      <c r="DL28" s="19" t="s">
        <v>276</v>
      </c>
      <c r="DM28" s="19" t="s">
        <v>276</v>
      </c>
      <c r="DN28" s="19" t="s">
        <v>276</v>
      </c>
      <c r="DO28" s="19" t="s">
        <v>276</v>
      </c>
      <c r="DP28" s="19">
        <v>0</v>
      </c>
      <c r="DQ28" s="19" t="s">
        <v>276</v>
      </c>
      <c r="DR28" s="20" t="s">
        <v>276</v>
      </c>
      <c r="DS28" s="20" t="s">
        <v>276</v>
      </c>
      <c r="DT28" s="19">
        <v>316</v>
      </c>
      <c r="DU28" s="20" t="s">
        <v>276</v>
      </c>
      <c r="DV28" s="20" t="s">
        <v>276</v>
      </c>
      <c r="DW28" s="20" t="s">
        <v>276</v>
      </c>
      <c r="DX28" s="20" t="s">
        <v>276</v>
      </c>
      <c r="DY28" s="19">
        <v>15191</v>
      </c>
      <c r="DZ28" s="19">
        <v>5385</v>
      </c>
      <c r="EA28" s="19">
        <v>0</v>
      </c>
      <c r="EB28" s="19" t="s">
        <v>276</v>
      </c>
      <c r="EC28" s="19" t="s">
        <v>276</v>
      </c>
      <c r="ED28" s="19">
        <v>0</v>
      </c>
      <c r="EE28" s="19" t="s">
        <v>276</v>
      </c>
      <c r="EF28" s="19" t="s">
        <v>276</v>
      </c>
      <c r="EG28" s="19" t="s">
        <v>276</v>
      </c>
      <c r="EH28" s="19">
        <v>0</v>
      </c>
      <c r="EI28" s="19">
        <v>0</v>
      </c>
      <c r="EJ28" s="19" t="s">
        <v>276</v>
      </c>
      <c r="EK28" s="20" t="s">
        <v>276</v>
      </c>
      <c r="EL28" s="20" t="s">
        <v>276</v>
      </c>
      <c r="EM28" s="20" t="s">
        <v>276</v>
      </c>
      <c r="EN28" s="19">
        <v>458</v>
      </c>
      <c r="EO28" s="19">
        <v>760</v>
      </c>
      <c r="EP28" s="20" t="s">
        <v>276</v>
      </c>
      <c r="EQ28" s="20" t="s">
        <v>276</v>
      </c>
      <c r="ER28" s="20" t="s">
        <v>276</v>
      </c>
      <c r="ES28" s="19">
        <v>34</v>
      </c>
      <c r="ET28" s="19">
        <v>4133</v>
      </c>
      <c r="EU28" s="19">
        <v>169389</v>
      </c>
      <c r="EV28" s="19">
        <v>11859</v>
      </c>
      <c r="EW28" s="19">
        <v>186</v>
      </c>
      <c r="EX28" s="19">
        <v>9217</v>
      </c>
      <c r="EY28" s="19">
        <v>15054</v>
      </c>
      <c r="EZ28" s="19">
        <v>27087</v>
      </c>
      <c r="FA28" s="19">
        <v>16342</v>
      </c>
      <c r="FB28" s="19">
        <v>181</v>
      </c>
      <c r="FC28" s="19">
        <v>42291</v>
      </c>
      <c r="FD28" s="19">
        <v>3180</v>
      </c>
      <c r="FE28" s="19">
        <v>1430</v>
      </c>
      <c r="FF28" s="19">
        <v>6512</v>
      </c>
      <c r="FG28" s="19">
        <v>107</v>
      </c>
      <c r="FH28" s="20" t="s">
        <v>276</v>
      </c>
      <c r="FI28" s="20" t="s">
        <v>276</v>
      </c>
      <c r="FJ28" s="20" t="s">
        <v>276</v>
      </c>
      <c r="FK28" s="19">
        <v>0</v>
      </c>
      <c r="FL28" s="19">
        <v>0</v>
      </c>
      <c r="FM28" s="19">
        <v>0</v>
      </c>
      <c r="FN28" s="19">
        <v>42</v>
      </c>
      <c r="FO28" s="19">
        <v>35901</v>
      </c>
    </row>
    <row r="29" spans="1:171" ht="13.5" customHeight="1">
      <c r="A29" s="17" t="s">
        <v>104</v>
      </c>
      <c r="B29" s="18" t="s">
        <v>105</v>
      </c>
      <c r="C29" s="17" t="s">
        <v>59</v>
      </c>
      <c r="D29" s="19">
        <v>85689</v>
      </c>
      <c r="E29" s="19">
        <v>2502</v>
      </c>
      <c r="F29" s="19">
        <v>17</v>
      </c>
      <c r="G29" s="19">
        <v>814</v>
      </c>
      <c r="H29" s="19">
        <v>9398</v>
      </c>
      <c r="I29" s="19">
        <v>5348</v>
      </c>
      <c r="J29" s="19">
        <v>2144</v>
      </c>
      <c r="K29" s="19">
        <v>1032</v>
      </c>
      <c r="L29" s="19">
        <v>7099</v>
      </c>
      <c r="M29" s="19">
        <v>0</v>
      </c>
      <c r="N29" s="19">
        <v>266</v>
      </c>
      <c r="O29" s="19">
        <v>55</v>
      </c>
      <c r="P29" s="19">
        <v>0</v>
      </c>
      <c r="Q29" s="19">
        <v>15713</v>
      </c>
      <c r="R29" s="19">
        <v>3402</v>
      </c>
      <c r="S29" s="19">
        <v>0</v>
      </c>
      <c r="T29" s="19">
        <v>15191</v>
      </c>
      <c r="U29" s="19">
        <v>39</v>
      </c>
      <c r="V29" s="19">
        <v>4890</v>
      </c>
      <c r="W29" s="19">
        <v>10</v>
      </c>
      <c r="X29" s="19">
        <v>17769</v>
      </c>
      <c r="Y29" s="19">
        <v>51093</v>
      </c>
      <c r="Z29" s="19">
        <v>0</v>
      </c>
      <c r="AA29" s="19">
        <v>0</v>
      </c>
      <c r="AB29" s="19">
        <v>0</v>
      </c>
      <c r="AC29" s="19">
        <v>635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20" t="s">
        <v>276</v>
      </c>
      <c r="AK29" s="20" t="s">
        <v>276</v>
      </c>
      <c r="AL29" s="19">
        <v>15713</v>
      </c>
      <c r="AM29" s="20" t="s">
        <v>276</v>
      </c>
      <c r="AN29" s="20" t="s">
        <v>276</v>
      </c>
      <c r="AO29" s="19">
        <v>15191</v>
      </c>
      <c r="AP29" s="20" t="s">
        <v>276</v>
      </c>
      <c r="AQ29" s="19">
        <v>4890</v>
      </c>
      <c r="AR29" s="20" t="s">
        <v>276</v>
      </c>
      <c r="AS29" s="19">
        <v>14664</v>
      </c>
      <c r="AT29" s="19">
        <v>6237</v>
      </c>
      <c r="AU29" s="19">
        <v>0</v>
      </c>
      <c r="AV29" s="19">
        <v>0</v>
      </c>
      <c r="AW29" s="19">
        <v>0</v>
      </c>
      <c r="AX29" s="19">
        <v>5869</v>
      </c>
      <c r="AY29" s="19">
        <v>3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 t="s">
        <v>276</v>
      </c>
      <c r="BF29" s="19" t="s">
        <v>276</v>
      </c>
      <c r="BG29" s="20" t="s">
        <v>276</v>
      </c>
      <c r="BH29" s="20" t="s">
        <v>276</v>
      </c>
      <c r="BI29" s="20" t="s">
        <v>276</v>
      </c>
      <c r="BJ29" s="20" t="s">
        <v>276</v>
      </c>
      <c r="BK29" s="20" t="s">
        <v>276</v>
      </c>
      <c r="BL29" s="20" t="s">
        <v>276</v>
      </c>
      <c r="BM29" s="20" t="s">
        <v>276</v>
      </c>
      <c r="BN29" s="19">
        <v>365</v>
      </c>
      <c r="BO29" s="19">
        <v>505</v>
      </c>
      <c r="BP29" s="19" t="s">
        <v>276</v>
      </c>
      <c r="BQ29" s="19" t="s">
        <v>276</v>
      </c>
      <c r="BR29" s="19" t="s">
        <v>276</v>
      </c>
      <c r="BS29" s="19" t="s">
        <v>276</v>
      </c>
      <c r="BT29" s="19" t="s">
        <v>276</v>
      </c>
      <c r="BU29" s="19" t="s">
        <v>276</v>
      </c>
      <c r="BV29" s="19" t="s">
        <v>276</v>
      </c>
      <c r="BW29" s="19" t="s">
        <v>276</v>
      </c>
      <c r="BX29" s="19" t="s">
        <v>276</v>
      </c>
      <c r="BY29" s="19" t="s">
        <v>276</v>
      </c>
      <c r="BZ29" s="19">
        <v>55</v>
      </c>
      <c r="CA29" s="19" t="s">
        <v>276</v>
      </c>
      <c r="CB29" s="20" t="s">
        <v>276</v>
      </c>
      <c r="CC29" s="20" t="s">
        <v>276</v>
      </c>
      <c r="CD29" s="20" t="s">
        <v>276</v>
      </c>
      <c r="CE29" s="20" t="s">
        <v>276</v>
      </c>
      <c r="CF29" s="20" t="s">
        <v>276</v>
      </c>
      <c r="CG29" s="20" t="s">
        <v>276</v>
      </c>
      <c r="CH29" s="20" t="s">
        <v>276</v>
      </c>
      <c r="CI29" s="19">
        <v>450</v>
      </c>
      <c r="CJ29" s="19">
        <v>0</v>
      </c>
      <c r="CK29" s="19" t="s">
        <v>276</v>
      </c>
      <c r="CL29" s="19" t="s">
        <v>276</v>
      </c>
      <c r="CM29" s="19" t="s">
        <v>276</v>
      </c>
      <c r="CN29" s="19" t="s">
        <v>276</v>
      </c>
      <c r="CO29" s="19" t="s">
        <v>276</v>
      </c>
      <c r="CP29" s="19" t="s">
        <v>276</v>
      </c>
      <c r="CQ29" s="19" t="s">
        <v>276</v>
      </c>
      <c r="CR29" s="19" t="s">
        <v>276</v>
      </c>
      <c r="CS29" s="19" t="s">
        <v>276</v>
      </c>
      <c r="CT29" s="19" t="s">
        <v>276</v>
      </c>
      <c r="CU29" s="19" t="s">
        <v>276</v>
      </c>
      <c r="CV29" s="19">
        <v>0</v>
      </c>
      <c r="CW29" s="20" t="s">
        <v>276</v>
      </c>
      <c r="CX29" s="20" t="s">
        <v>276</v>
      </c>
      <c r="CY29" s="20" t="s">
        <v>276</v>
      </c>
      <c r="CZ29" s="20" t="s">
        <v>276</v>
      </c>
      <c r="DA29" s="20" t="s">
        <v>276</v>
      </c>
      <c r="DB29" s="20" t="s">
        <v>276</v>
      </c>
      <c r="DC29" s="20" t="s">
        <v>276</v>
      </c>
      <c r="DD29" s="19">
        <v>0</v>
      </c>
      <c r="DE29" s="19">
        <v>0</v>
      </c>
      <c r="DF29" s="19" t="s">
        <v>276</v>
      </c>
      <c r="DG29" s="19" t="s">
        <v>276</v>
      </c>
      <c r="DH29" s="19" t="s">
        <v>276</v>
      </c>
      <c r="DI29" s="19" t="s">
        <v>276</v>
      </c>
      <c r="DJ29" s="19" t="s">
        <v>276</v>
      </c>
      <c r="DK29" s="19" t="s">
        <v>276</v>
      </c>
      <c r="DL29" s="19" t="s">
        <v>276</v>
      </c>
      <c r="DM29" s="19" t="s">
        <v>276</v>
      </c>
      <c r="DN29" s="19" t="s">
        <v>276</v>
      </c>
      <c r="DO29" s="19" t="s">
        <v>276</v>
      </c>
      <c r="DP29" s="19">
        <v>0</v>
      </c>
      <c r="DQ29" s="19" t="s">
        <v>276</v>
      </c>
      <c r="DR29" s="20" t="s">
        <v>276</v>
      </c>
      <c r="DS29" s="20" t="s">
        <v>276</v>
      </c>
      <c r="DT29" s="19">
        <v>0</v>
      </c>
      <c r="DU29" s="20" t="s">
        <v>276</v>
      </c>
      <c r="DV29" s="20" t="s">
        <v>276</v>
      </c>
      <c r="DW29" s="20" t="s">
        <v>276</v>
      </c>
      <c r="DX29" s="20" t="s">
        <v>276</v>
      </c>
      <c r="DY29" s="19">
        <v>0</v>
      </c>
      <c r="DZ29" s="19">
        <v>3410</v>
      </c>
      <c r="EA29" s="19">
        <v>0</v>
      </c>
      <c r="EB29" s="19" t="s">
        <v>276</v>
      </c>
      <c r="EC29" s="19" t="s">
        <v>276</v>
      </c>
      <c r="ED29" s="19">
        <v>0</v>
      </c>
      <c r="EE29" s="19" t="s">
        <v>276</v>
      </c>
      <c r="EF29" s="19" t="s">
        <v>276</v>
      </c>
      <c r="EG29" s="19" t="s">
        <v>276</v>
      </c>
      <c r="EH29" s="19">
        <v>0</v>
      </c>
      <c r="EI29" s="19">
        <v>0</v>
      </c>
      <c r="EJ29" s="19" t="s">
        <v>276</v>
      </c>
      <c r="EK29" s="20" t="s">
        <v>276</v>
      </c>
      <c r="EL29" s="20" t="s">
        <v>276</v>
      </c>
      <c r="EM29" s="20" t="s">
        <v>276</v>
      </c>
      <c r="EN29" s="19">
        <v>3402</v>
      </c>
      <c r="EO29" s="19">
        <v>0</v>
      </c>
      <c r="EP29" s="20" t="s">
        <v>276</v>
      </c>
      <c r="EQ29" s="20" t="s">
        <v>276</v>
      </c>
      <c r="ER29" s="20" t="s">
        <v>276</v>
      </c>
      <c r="ES29" s="19">
        <v>8</v>
      </c>
      <c r="ET29" s="19">
        <v>0</v>
      </c>
      <c r="EU29" s="19">
        <v>24444</v>
      </c>
      <c r="EV29" s="19">
        <v>2502</v>
      </c>
      <c r="EW29" s="19">
        <v>17</v>
      </c>
      <c r="EX29" s="19">
        <v>814</v>
      </c>
      <c r="EY29" s="19">
        <v>2894</v>
      </c>
      <c r="EZ29" s="19">
        <v>5345</v>
      </c>
      <c r="FA29" s="19">
        <v>2144</v>
      </c>
      <c r="FB29" s="19">
        <v>1032</v>
      </c>
      <c r="FC29" s="19">
        <v>7099</v>
      </c>
      <c r="FD29" s="19">
        <v>0</v>
      </c>
      <c r="FE29" s="19">
        <v>266</v>
      </c>
      <c r="FF29" s="19">
        <v>0</v>
      </c>
      <c r="FG29" s="19">
        <v>0</v>
      </c>
      <c r="FH29" s="20" t="s">
        <v>276</v>
      </c>
      <c r="FI29" s="20" t="s">
        <v>276</v>
      </c>
      <c r="FJ29" s="20" t="s">
        <v>276</v>
      </c>
      <c r="FK29" s="19">
        <v>0</v>
      </c>
      <c r="FL29" s="19">
        <v>39</v>
      </c>
      <c r="FM29" s="19">
        <v>0</v>
      </c>
      <c r="FN29" s="19">
        <v>2</v>
      </c>
      <c r="FO29" s="19">
        <v>2290</v>
      </c>
    </row>
    <row r="30" spans="1:171" ht="13.5" customHeight="1">
      <c r="A30" s="17" t="s">
        <v>106</v>
      </c>
      <c r="B30" s="18" t="s">
        <v>107</v>
      </c>
      <c r="C30" s="17" t="s">
        <v>59</v>
      </c>
      <c r="D30" s="19">
        <v>34459</v>
      </c>
      <c r="E30" s="19">
        <v>1409</v>
      </c>
      <c r="F30" s="19">
        <v>2</v>
      </c>
      <c r="G30" s="19">
        <v>23</v>
      </c>
      <c r="H30" s="19">
        <v>6601</v>
      </c>
      <c r="I30" s="19">
        <v>3186</v>
      </c>
      <c r="J30" s="19">
        <v>2716</v>
      </c>
      <c r="K30" s="19">
        <v>50</v>
      </c>
      <c r="L30" s="19">
        <v>5239</v>
      </c>
      <c r="M30" s="19">
        <v>484</v>
      </c>
      <c r="N30" s="19">
        <v>28</v>
      </c>
      <c r="O30" s="19">
        <v>1142</v>
      </c>
      <c r="P30" s="19">
        <v>0</v>
      </c>
      <c r="Q30" s="19">
        <v>2140</v>
      </c>
      <c r="R30" s="19">
        <v>6795</v>
      </c>
      <c r="S30" s="19">
        <v>0</v>
      </c>
      <c r="T30" s="19">
        <v>2758</v>
      </c>
      <c r="U30" s="19">
        <v>0</v>
      </c>
      <c r="V30" s="19">
        <v>0</v>
      </c>
      <c r="W30" s="19">
        <v>58</v>
      </c>
      <c r="X30" s="19">
        <v>1828</v>
      </c>
      <c r="Y30" s="19">
        <v>5725</v>
      </c>
      <c r="Z30" s="19">
        <v>63</v>
      </c>
      <c r="AA30" s="19">
        <v>0</v>
      </c>
      <c r="AB30" s="19">
        <v>0</v>
      </c>
      <c r="AC30" s="19">
        <v>240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20" t="s">
        <v>276</v>
      </c>
      <c r="AK30" s="20" t="s">
        <v>276</v>
      </c>
      <c r="AL30" s="19">
        <v>2140</v>
      </c>
      <c r="AM30" s="20" t="s">
        <v>276</v>
      </c>
      <c r="AN30" s="20" t="s">
        <v>276</v>
      </c>
      <c r="AO30" s="19">
        <v>2758</v>
      </c>
      <c r="AP30" s="20" t="s">
        <v>276</v>
      </c>
      <c r="AQ30" s="19">
        <v>0</v>
      </c>
      <c r="AR30" s="20" t="s">
        <v>276</v>
      </c>
      <c r="AS30" s="19">
        <v>524</v>
      </c>
      <c r="AT30" s="19">
        <v>5495</v>
      </c>
      <c r="AU30" s="19">
        <v>4</v>
      </c>
      <c r="AV30" s="19">
        <v>0</v>
      </c>
      <c r="AW30" s="19">
        <v>0</v>
      </c>
      <c r="AX30" s="19">
        <v>4954</v>
      </c>
      <c r="AY30" s="19">
        <v>0</v>
      </c>
      <c r="AZ30" s="19">
        <v>156</v>
      </c>
      <c r="BA30" s="19">
        <v>0</v>
      </c>
      <c r="BB30" s="19">
        <v>0</v>
      </c>
      <c r="BC30" s="19">
        <v>0</v>
      </c>
      <c r="BD30" s="19">
        <v>0</v>
      </c>
      <c r="BE30" s="19" t="s">
        <v>276</v>
      </c>
      <c r="BF30" s="19" t="s">
        <v>276</v>
      </c>
      <c r="BG30" s="20" t="s">
        <v>276</v>
      </c>
      <c r="BH30" s="20" t="s">
        <v>276</v>
      </c>
      <c r="BI30" s="20" t="s">
        <v>276</v>
      </c>
      <c r="BJ30" s="20" t="s">
        <v>276</v>
      </c>
      <c r="BK30" s="20" t="s">
        <v>276</v>
      </c>
      <c r="BL30" s="20" t="s">
        <v>276</v>
      </c>
      <c r="BM30" s="20" t="s">
        <v>276</v>
      </c>
      <c r="BN30" s="19">
        <v>381</v>
      </c>
      <c r="BO30" s="19">
        <v>1142</v>
      </c>
      <c r="BP30" s="19" t="s">
        <v>276</v>
      </c>
      <c r="BQ30" s="19" t="s">
        <v>276</v>
      </c>
      <c r="BR30" s="19" t="s">
        <v>276</v>
      </c>
      <c r="BS30" s="19" t="s">
        <v>276</v>
      </c>
      <c r="BT30" s="19" t="s">
        <v>276</v>
      </c>
      <c r="BU30" s="19" t="s">
        <v>276</v>
      </c>
      <c r="BV30" s="19" t="s">
        <v>276</v>
      </c>
      <c r="BW30" s="19" t="s">
        <v>276</v>
      </c>
      <c r="BX30" s="19" t="s">
        <v>276</v>
      </c>
      <c r="BY30" s="19" t="s">
        <v>276</v>
      </c>
      <c r="BZ30" s="19">
        <v>1142</v>
      </c>
      <c r="CA30" s="19" t="s">
        <v>276</v>
      </c>
      <c r="CB30" s="20" t="s">
        <v>276</v>
      </c>
      <c r="CC30" s="20" t="s">
        <v>276</v>
      </c>
      <c r="CD30" s="20" t="s">
        <v>276</v>
      </c>
      <c r="CE30" s="20" t="s">
        <v>276</v>
      </c>
      <c r="CF30" s="20" t="s">
        <v>276</v>
      </c>
      <c r="CG30" s="20" t="s">
        <v>276</v>
      </c>
      <c r="CH30" s="20" t="s">
        <v>276</v>
      </c>
      <c r="CI30" s="19">
        <v>0</v>
      </c>
      <c r="CJ30" s="19">
        <v>0</v>
      </c>
      <c r="CK30" s="19" t="s">
        <v>276</v>
      </c>
      <c r="CL30" s="19" t="s">
        <v>276</v>
      </c>
      <c r="CM30" s="19" t="s">
        <v>276</v>
      </c>
      <c r="CN30" s="19" t="s">
        <v>276</v>
      </c>
      <c r="CO30" s="19" t="s">
        <v>276</v>
      </c>
      <c r="CP30" s="19" t="s">
        <v>276</v>
      </c>
      <c r="CQ30" s="19" t="s">
        <v>276</v>
      </c>
      <c r="CR30" s="19" t="s">
        <v>276</v>
      </c>
      <c r="CS30" s="19" t="s">
        <v>276</v>
      </c>
      <c r="CT30" s="19" t="s">
        <v>276</v>
      </c>
      <c r="CU30" s="19" t="s">
        <v>276</v>
      </c>
      <c r="CV30" s="19">
        <v>0</v>
      </c>
      <c r="CW30" s="20" t="s">
        <v>276</v>
      </c>
      <c r="CX30" s="20" t="s">
        <v>276</v>
      </c>
      <c r="CY30" s="20" t="s">
        <v>276</v>
      </c>
      <c r="CZ30" s="20" t="s">
        <v>276</v>
      </c>
      <c r="DA30" s="20" t="s">
        <v>276</v>
      </c>
      <c r="DB30" s="20" t="s">
        <v>276</v>
      </c>
      <c r="DC30" s="20" t="s">
        <v>276</v>
      </c>
      <c r="DD30" s="19">
        <v>0</v>
      </c>
      <c r="DE30" s="19">
        <v>0</v>
      </c>
      <c r="DF30" s="19" t="s">
        <v>276</v>
      </c>
      <c r="DG30" s="19" t="s">
        <v>276</v>
      </c>
      <c r="DH30" s="19" t="s">
        <v>276</v>
      </c>
      <c r="DI30" s="19" t="s">
        <v>276</v>
      </c>
      <c r="DJ30" s="19" t="s">
        <v>276</v>
      </c>
      <c r="DK30" s="19" t="s">
        <v>276</v>
      </c>
      <c r="DL30" s="19" t="s">
        <v>276</v>
      </c>
      <c r="DM30" s="19" t="s">
        <v>276</v>
      </c>
      <c r="DN30" s="19" t="s">
        <v>276</v>
      </c>
      <c r="DO30" s="19" t="s">
        <v>276</v>
      </c>
      <c r="DP30" s="19">
        <v>0</v>
      </c>
      <c r="DQ30" s="19" t="s">
        <v>276</v>
      </c>
      <c r="DR30" s="20" t="s">
        <v>276</v>
      </c>
      <c r="DS30" s="20" t="s">
        <v>276</v>
      </c>
      <c r="DT30" s="19">
        <v>0</v>
      </c>
      <c r="DU30" s="20" t="s">
        <v>276</v>
      </c>
      <c r="DV30" s="20" t="s">
        <v>276</v>
      </c>
      <c r="DW30" s="20" t="s">
        <v>276</v>
      </c>
      <c r="DX30" s="20" t="s">
        <v>276</v>
      </c>
      <c r="DY30" s="19">
        <v>0</v>
      </c>
      <c r="DZ30" s="19">
        <v>6866</v>
      </c>
      <c r="EA30" s="19">
        <v>0</v>
      </c>
      <c r="EB30" s="19" t="s">
        <v>276</v>
      </c>
      <c r="EC30" s="19" t="s">
        <v>276</v>
      </c>
      <c r="ED30" s="19">
        <v>0</v>
      </c>
      <c r="EE30" s="19" t="s">
        <v>276</v>
      </c>
      <c r="EF30" s="19" t="s">
        <v>276</v>
      </c>
      <c r="EG30" s="19" t="s">
        <v>276</v>
      </c>
      <c r="EH30" s="19">
        <v>0</v>
      </c>
      <c r="EI30" s="19">
        <v>0</v>
      </c>
      <c r="EJ30" s="19" t="s">
        <v>276</v>
      </c>
      <c r="EK30" s="20" t="s">
        <v>276</v>
      </c>
      <c r="EL30" s="20" t="s">
        <v>276</v>
      </c>
      <c r="EM30" s="20" t="s">
        <v>276</v>
      </c>
      <c r="EN30" s="19">
        <v>6795</v>
      </c>
      <c r="EO30" s="19">
        <v>0</v>
      </c>
      <c r="EP30" s="20" t="s">
        <v>276</v>
      </c>
      <c r="EQ30" s="20" t="s">
        <v>276</v>
      </c>
      <c r="ER30" s="20" t="s">
        <v>276</v>
      </c>
      <c r="ES30" s="19">
        <v>25</v>
      </c>
      <c r="ET30" s="19">
        <v>46</v>
      </c>
      <c r="EU30" s="19">
        <v>15231</v>
      </c>
      <c r="EV30" s="19">
        <v>1342</v>
      </c>
      <c r="EW30" s="19">
        <v>2</v>
      </c>
      <c r="EX30" s="19">
        <v>23</v>
      </c>
      <c r="EY30" s="19">
        <v>1407</v>
      </c>
      <c r="EZ30" s="19">
        <v>3186</v>
      </c>
      <c r="FA30" s="19">
        <v>2560</v>
      </c>
      <c r="FB30" s="19">
        <v>50</v>
      </c>
      <c r="FC30" s="19">
        <v>5239</v>
      </c>
      <c r="FD30" s="19">
        <v>484</v>
      </c>
      <c r="FE30" s="19">
        <v>28</v>
      </c>
      <c r="FF30" s="19">
        <v>0</v>
      </c>
      <c r="FG30" s="19">
        <v>0</v>
      </c>
      <c r="FH30" s="20" t="s">
        <v>276</v>
      </c>
      <c r="FI30" s="20" t="s">
        <v>276</v>
      </c>
      <c r="FJ30" s="20" t="s">
        <v>276</v>
      </c>
      <c r="FK30" s="19">
        <v>0</v>
      </c>
      <c r="FL30" s="19">
        <v>0</v>
      </c>
      <c r="FM30" s="19">
        <v>0</v>
      </c>
      <c r="FN30" s="19">
        <v>33</v>
      </c>
      <c r="FO30" s="19">
        <v>877</v>
      </c>
    </row>
    <row r="31" spans="1:171" ht="13.5" customHeight="1">
      <c r="A31" s="17" t="s">
        <v>108</v>
      </c>
      <c r="B31" s="18" t="s">
        <v>109</v>
      </c>
      <c r="C31" s="17" t="s">
        <v>59</v>
      </c>
      <c r="D31" s="19">
        <v>53608</v>
      </c>
      <c r="E31" s="19">
        <v>835</v>
      </c>
      <c r="F31" s="19">
        <v>94</v>
      </c>
      <c r="G31" s="19">
        <v>186</v>
      </c>
      <c r="H31" s="19">
        <v>8981</v>
      </c>
      <c r="I31" s="19">
        <v>10099</v>
      </c>
      <c r="J31" s="19">
        <v>5483</v>
      </c>
      <c r="K31" s="19">
        <v>20</v>
      </c>
      <c r="L31" s="19">
        <v>17312</v>
      </c>
      <c r="M31" s="19">
        <v>6</v>
      </c>
      <c r="N31" s="19">
        <v>16</v>
      </c>
      <c r="O31" s="19">
        <v>298</v>
      </c>
      <c r="P31" s="19">
        <v>0</v>
      </c>
      <c r="Q31" s="19">
        <v>0</v>
      </c>
      <c r="R31" s="19">
        <v>3982</v>
      </c>
      <c r="S31" s="19">
        <v>3892</v>
      </c>
      <c r="T31" s="19">
        <v>0</v>
      </c>
      <c r="U31" s="19">
        <v>0</v>
      </c>
      <c r="V31" s="19">
        <v>0</v>
      </c>
      <c r="W31" s="19">
        <v>139</v>
      </c>
      <c r="X31" s="19">
        <v>2265</v>
      </c>
      <c r="Y31" s="19">
        <v>840</v>
      </c>
      <c r="Z31" s="19">
        <v>0</v>
      </c>
      <c r="AA31" s="19">
        <v>0</v>
      </c>
      <c r="AB31" s="19">
        <v>0</v>
      </c>
      <c r="AC31" s="19">
        <v>840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20" t="s">
        <v>276</v>
      </c>
      <c r="AK31" s="20" t="s">
        <v>276</v>
      </c>
      <c r="AL31" s="19">
        <v>0</v>
      </c>
      <c r="AM31" s="20" t="s">
        <v>276</v>
      </c>
      <c r="AN31" s="20" t="s">
        <v>276</v>
      </c>
      <c r="AO31" s="19">
        <v>0</v>
      </c>
      <c r="AP31" s="20" t="s">
        <v>276</v>
      </c>
      <c r="AQ31" s="19">
        <v>0</v>
      </c>
      <c r="AR31" s="20" t="s">
        <v>276</v>
      </c>
      <c r="AS31" s="19">
        <v>0</v>
      </c>
      <c r="AT31" s="19">
        <v>3936</v>
      </c>
      <c r="AU31" s="19">
        <v>0</v>
      </c>
      <c r="AV31" s="19">
        <v>0</v>
      </c>
      <c r="AW31" s="19">
        <v>0</v>
      </c>
      <c r="AX31" s="19">
        <v>2322</v>
      </c>
      <c r="AY31" s="19">
        <v>121</v>
      </c>
      <c r="AZ31" s="19">
        <v>73</v>
      </c>
      <c r="BA31" s="19">
        <v>0</v>
      </c>
      <c r="BB31" s="19">
        <v>410</v>
      </c>
      <c r="BC31" s="19">
        <v>0</v>
      </c>
      <c r="BD31" s="19">
        <v>0</v>
      </c>
      <c r="BE31" s="19" t="s">
        <v>276</v>
      </c>
      <c r="BF31" s="19" t="s">
        <v>276</v>
      </c>
      <c r="BG31" s="20" t="s">
        <v>276</v>
      </c>
      <c r="BH31" s="20" t="s">
        <v>276</v>
      </c>
      <c r="BI31" s="20" t="s">
        <v>276</v>
      </c>
      <c r="BJ31" s="20" t="s">
        <v>276</v>
      </c>
      <c r="BK31" s="20" t="s">
        <v>276</v>
      </c>
      <c r="BL31" s="20" t="s">
        <v>276</v>
      </c>
      <c r="BM31" s="20" t="s">
        <v>276</v>
      </c>
      <c r="BN31" s="19">
        <v>1010</v>
      </c>
      <c r="BO31" s="19">
        <v>298</v>
      </c>
      <c r="BP31" s="19" t="s">
        <v>276</v>
      </c>
      <c r="BQ31" s="19" t="s">
        <v>276</v>
      </c>
      <c r="BR31" s="19" t="s">
        <v>276</v>
      </c>
      <c r="BS31" s="19" t="s">
        <v>276</v>
      </c>
      <c r="BT31" s="19" t="s">
        <v>276</v>
      </c>
      <c r="BU31" s="19" t="s">
        <v>276</v>
      </c>
      <c r="BV31" s="19" t="s">
        <v>276</v>
      </c>
      <c r="BW31" s="19" t="s">
        <v>276</v>
      </c>
      <c r="BX31" s="19" t="s">
        <v>276</v>
      </c>
      <c r="BY31" s="19" t="s">
        <v>276</v>
      </c>
      <c r="BZ31" s="19">
        <v>298</v>
      </c>
      <c r="CA31" s="19" t="s">
        <v>276</v>
      </c>
      <c r="CB31" s="20" t="s">
        <v>276</v>
      </c>
      <c r="CC31" s="20" t="s">
        <v>276</v>
      </c>
      <c r="CD31" s="20" t="s">
        <v>276</v>
      </c>
      <c r="CE31" s="20" t="s">
        <v>276</v>
      </c>
      <c r="CF31" s="20" t="s">
        <v>276</v>
      </c>
      <c r="CG31" s="20" t="s">
        <v>276</v>
      </c>
      <c r="CH31" s="20" t="s">
        <v>276</v>
      </c>
      <c r="CI31" s="19">
        <v>0</v>
      </c>
      <c r="CJ31" s="19">
        <v>0</v>
      </c>
      <c r="CK31" s="19" t="s">
        <v>276</v>
      </c>
      <c r="CL31" s="19" t="s">
        <v>276</v>
      </c>
      <c r="CM31" s="19" t="s">
        <v>276</v>
      </c>
      <c r="CN31" s="19" t="s">
        <v>276</v>
      </c>
      <c r="CO31" s="19" t="s">
        <v>276</v>
      </c>
      <c r="CP31" s="19" t="s">
        <v>276</v>
      </c>
      <c r="CQ31" s="19" t="s">
        <v>276</v>
      </c>
      <c r="CR31" s="19" t="s">
        <v>276</v>
      </c>
      <c r="CS31" s="19" t="s">
        <v>276</v>
      </c>
      <c r="CT31" s="19" t="s">
        <v>276</v>
      </c>
      <c r="CU31" s="19" t="s">
        <v>276</v>
      </c>
      <c r="CV31" s="19">
        <v>0</v>
      </c>
      <c r="CW31" s="20" t="s">
        <v>276</v>
      </c>
      <c r="CX31" s="20" t="s">
        <v>276</v>
      </c>
      <c r="CY31" s="20" t="s">
        <v>276</v>
      </c>
      <c r="CZ31" s="20" t="s">
        <v>276</v>
      </c>
      <c r="DA31" s="20" t="s">
        <v>276</v>
      </c>
      <c r="DB31" s="20" t="s">
        <v>276</v>
      </c>
      <c r="DC31" s="20" t="s">
        <v>276</v>
      </c>
      <c r="DD31" s="19">
        <v>0</v>
      </c>
      <c r="DE31" s="19">
        <v>3892</v>
      </c>
      <c r="DF31" s="19" t="s">
        <v>276</v>
      </c>
      <c r="DG31" s="19" t="s">
        <v>276</v>
      </c>
      <c r="DH31" s="19" t="s">
        <v>276</v>
      </c>
      <c r="DI31" s="19" t="s">
        <v>276</v>
      </c>
      <c r="DJ31" s="19" t="s">
        <v>276</v>
      </c>
      <c r="DK31" s="19" t="s">
        <v>276</v>
      </c>
      <c r="DL31" s="19" t="s">
        <v>276</v>
      </c>
      <c r="DM31" s="19" t="s">
        <v>276</v>
      </c>
      <c r="DN31" s="19" t="s">
        <v>276</v>
      </c>
      <c r="DO31" s="19" t="s">
        <v>276</v>
      </c>
      <c r="DP31" s="19">
        <v>0</v>
      </c>
      <c r="DQ31" s="19" t="s">
        <v>276</v>
      </c>
      <c r="DR31" s="20" t="s">
        <v>276</v>
      </c>
      <c r="DS31" s="20" t="s">
        <v>276</v>
      </c>
      <c r="DT31" s="19">
        <v>3892</v>
      </c>
      <c r="DU31" s="20" t="s">
        <v>276</v>
      </c>
      <c r="DV31" s="20" t="s">
        <v>276</v>
      </c>
      <c r="DW31" s="20" t="s">
        <v>276</v>
      </c>
      <c r="DX31" s="20" t="s">
        <v>276</v>
      </c>
      <c r="DY31" s="19">
        <v>0</v>
      </c>
      <c r="DZ31" s="19">
        <v>4591</v>
      </c>
      <c r="EA31" s="19">
        <v>0</v>
      </c>
      <c r="EB31" s="19" t="s">
        <v>276</v>
      </c>
      <c r="EC31" s="19" t="s">
        <v>276</v>
      </c>
      <c r="ED31" s="19">
        <v>0</v>
      </c>
      <c r="EE31" s="19" t="s">
        <v>276</v>
      </c>
      <c r="EF31" s="19" t="s">
        <v>276</v>
      </c>
      <c r="EG31" s="19" t="s">
        <v>276</v>
      </c>
      <c r="EH31" s="19">
        <v>0</v>
      </c>
      <c r="EI31" s="19">
        <v>0</v>
      </c>
      <c r="EJ31" s="19" t="s">
        <v>276</v>
      </c>
      <c r="EK31" s="20" t="s">
        <v>276</v>
      </c>
      <c r="EL31" s="20" t="s">
        <v>276</v>
      </c>
      <c r="EM31" s="20" t="s">
        <v>276</v>
      </c>
      <c r="EN31" s="19">
        <v>3982</v>
      </c>
      <c r="EO31" s="19">
        <v>0</v>
      </c>
      <c r="EP31" s="20" t="s">
        <v>276</v>
      </c>
      <c r="EQ31" s="20" t="s">
        <v>276</v>
      </c>
      <c r="ER31" s="20" t="s">
        <v>276</v>
      </c>
      <c r="ES31" s="19">
        <v>138</v>
      </c>
      <c r="ET31" s="19">
        <v>471</v>
      </c>
      <c r="EU31" s="19">
        <v>40051</v>
      </c>
      <c r="EV31" s="19">
        <v>835</v>
      </c>
      <c r="EW31" s="19">
        <v>94</v>
      </c>
      <c r="EX31" s="19">
        <v>186</v>
      </c>
      <c r="EY31" s="19">
        <v>5819</v>
      </c>
      <c r="EZ31" s="19">
        <v>9978</v>
      </c>
      <c r="FA31" s="19">
        <v>5410</v>
      </c>
      <c r="FB31" s="19">
        <v>20</v>
      </c>
      <c r="FC31" s="19">
        <v>16902</v>
      </c>
      <c r="FD31" s="19">
        <v>6</v>
      </c>
      <c r="FE31" s="19">
        <v>16</v>
      </c>
      <c r="FF31" s="19">
        <v>0</v>
      </c>
      <c r="FG31" s="19">
        <v>0</v>
      </c>
      <c r="FH31" s="20" t="s">
        <v>276</v>
      </c>
      <c r="FI31" s="20" t="s">
        <v>276</v>
      </c>
      <c r="FJ31" s="20" t="s">
        <v>276</v>
      </c>
      <c r="FK31" s="19">
        <v>0</v>
      </c>
      <c r="FL31" s="19">
        <v>0</v>
      </c>
      <c r="FM31" s="19">
        <v>0</v>
      </c>
      <c r="FN31" s="19">
        <v>1</v>
      </c>
      <c r="FO31" s="19">
        <v>784</v>
      </c>
    </row>
    <row r="32" spans="1:171" ht="13.5" customHeight="1">
      <c r="A32" s="17" t="s">
        <v>110</v>
      </c>
      <c r="B32" s="18" t="s">
        <v>111</v>
      </c>
      <c r="C32" s="17" t="s">
        <v>59</v>
      </c>
      <c r="D32" s="19">
        <v>180149</v>
      </c>
      <c r="E32" s="19">
        <v>15788</v>
      </c>
      <c r="F32" s="19">
        <v>40</v>
      </c>
      <c r="G32" s="19">
        <v>446</v>
      </c>
      <c r="H32" s="19">
        <v>34727</v>
      </c>
      <c r="I32" s="19">
        <v>36050</v>
      </c>
      <c r="J32" s="19">
        <v>16919</v>
      </c>
      <c r="K32" s="19">
        <v>326</v>
      </c>
      <c r="L32" s="19">
        <v>51188</v>
      </c>
      <c r="M32" s="19">
        <v>87</v>
      </c>
      <c r="N32" s="19">
        <v>2282</v>
      </c>
      <c r="O32" s="19">
        <v>22</v>
      </c>
      <c r="P32" s="19">
        <v>0</v>
      </c>
      <c r="Q32" s="19">
        <v>19532</v>
      </c>
      <c r="R32" s="19">
        <v>0</v>
      </c>
      <c r="S32" s="19">
        <v>0</v>
      </c>
      <c r="T32" s="19">
        <v>0</v>
      </c>
      <c r="U32" s="19">
        <v>0</v>
      </c>
      <c r="V32" s="19">
        <v>1161</v>
      </c>
      <c r="W32" s="19">
        <v>0</v>
      </c>
      <c r="X32" s="19">
        <v>1581</v>
      </c>
      <c r="Y32" s="19">
        <v>27687</v>
      </c>
      <c r="Z32" s="19">
        <v>29</v>
      </c>
      <c r="AA32" s="19">
        <v>0</v>
      </c>
      <c r="AB32" s="19">
        <v>0</v>
      </c>
      <c r="AC32" s="19">
        <v>6637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20" t="s">
        <v>276</v>
      </c>
      <c r="AK32" s="20" t="s">
        <v>276</v>
      </c>
      <c r="AL32" s="19">
        <v>19532</v>
      </c>
      <c r="AM32" s="20" t="s">
        <v>276</v>
      </c>
      <c r="AN32" s="20" t="s">
        <v>276</v>
      </c>
      <c r="AO32" s="19">
        <v>0</v>
      </c>
      <c r="AP32" s="20" t="s">
        <v>276</v>
      </c>
      <c r="AQ32" s="19">
        <v>1155</v>
      </c>
      <c r="AR32" s="20" t="s">
        <v>276</v>
      </c>
      <c r="AS32" s="19">
        <v>334</v>
      </c>
      <c r="AT32" s="19">
        <v>21642</v>
      </c>
      <c r="AU32" s="19">
        <v>4382</v>
      </c>
      <c r="AV32" s="19">
        <v>4</v>
      </c>
      <c r="AW32" s="19">
        <v>0</v>
      </c>
      <c r="AX32" s="19">
        <v>13761</v>
      </c>
      <c r="AY32" s="19">
        <v>2609</v>
      </c>
      <c r="AZ32" s="19">
        <v>257</v>
      </c>
      <c r="BA32" s="19">
        <v>0</v>
      </c>
      <c r="BB32" s="19">
        <v>0</v>
      </c>
      <c r="BC32" s="19">
        <v>0</v>
      </c>
      <c r="BD32" s="19">
        <v>91</v>
      </c>
      <c r="BE32" s="19" t="s">
        <v>276</v>
      </c>
      <c r="BF32" s="19" t="s">
        <v>276</v>
      </c>
      <c r="BG32" s="20" t="s">
        <v>276</v>
      </c>
      <c r="BH32" s="20" t="s">
        <v>276</v>
      </c>
      <c r="BI32" s="20" t="s">
        <v>276</v>
      </c>
      <c r="BJ32" s="20" t="s">
        <v>276</v>
      </c>
      <c r="BK32" s="20" t="s">
        <v>276</v>
      </c>
      <c r="BL32" s="20" t="s">
        <v>276</v>
      </c>
      <c r="BM32" s="20" t="s">
        <v>276</v>
      </c>
      <c r="BN32" s="19">
        <v>538</v>
      </c>
      <c r="BO32" s="19">
        <v>46</v>
      </c>
      <c r="BP32" s="19" t="s">
        <v>276</v>
      </c>
      <c r="BQ32" s="19" t="s">
        <v>276</v>
      </c>
      <c r="BR32" s="19" t="s">
        <v>276</v>
      </c>
      <c r="BS32" s="19" t="s">
        <v>276</v>
      </c>
      <c r="BT32" s="19" t="s">
        <v>276</v>
      </c>
      <c r="BU32" s="19" t="s">
        <v>276</v>
      </c>
      <c r="BV32" s="19" t="s">
        <v>276</v>
      </c>
      <c r="BW32" s="19" t="s">
        <v>276</v>
      </c>
      <c r="BX32" s="19" t="s">
        <v>276</v>
      </c>
      <c r="BY32" s="19" t="s">
        <v>276</v>
      </c>
      <c r="BZ32" s="19">
        <v>0</v>
      </c>
      <c r="CA32" s="19" t="s">
        <v>276</v>
      </c>
      <c r="CB32" s="20" t="s">
        <v>276</v>
      </c>
      <c r="CC32" s="20" t="s">
        <v>276</v>
      </c>
      <c r="CD32" s="20" t="s">
        <v>276</v>
      </c>
      <c r="CE32" s="20" t="s">
        <v>276</v>
      </c>
      <c r="CF32" s="20" t="s">
        <v>276</v>
      </c>
      <c r="CG32" s="20" t="s">
        <v>276</v>
      </c>
      <c r="CH32" s="20" t="s">
        <v>276</v>
      </c>
      <c r="CI32" s="19">
        <v>46</v>
      </c>
      <c r="CJ32" s="19">
        <v>0</v>
      </c>
      <c r="CK32" s="19" t="s">
        <v>276</v>
      </c>
      <c r="CL32" s="19" t="s">
        <v>276</v>
      </c>
      <c r="CM32" s="19" t="s">
        <v>276</v>
      </c>
      <c r="CN32" s="19" t="s">
        <v>276</v>
      </c>
      <c r="CO32" s="19" t="s">
        <v>276</v>
      </c>
      <c r="CP32" s="19" t="s">
        <v>276</v>
      </c>
      <c r="CQ32" s="19" t="s">
        <v>276</v>
      </c>
      <c r="CR32" s="19" t="s">
        <v>276</v>
      </c>
      <c r="CS32" s="19" t="s">
        <v>276</v>
      </c>
      <c r="CT32" s="19" t="s">
        <v>276</v>
      </c>
      <c r="CU32" s="19" t="s">
        <v>276</v>
      </c>
      <c r="CV32" s="19">
        <v>0</v>
      </c>
      <c r="CW32" s="20" t="s">
        <v>276</v>
      </c>
      <c r="CX32" s="20" t="s">
        <v>276</v>
      </c>
      <c r="CY32" s="20" t="s">
        <v>276</v>
      </c>
      <c r="CZ32" s="20" t="s">
        <v>276</v>
      </c>
      <c r="DA32" s="20" t="s">
        <v>276</v>
      </c>
      <c r="DB32" s="20" t="s">
        <v>276</v>
      </c>
      <c r="DC32" s="20" t="s">
        <v>276</v>
      </c>
      <c r="DD32" s="19">
        <v>0</v>
      </c>
      <c r="DE32" s="19">
        <v>0</v>
      </c>
      <c r="DF32" s="19" t="s">
        <v>276</v>
      </c>
      <c r="DG32" s="19" t="s">
        <v>276</v>
      </c>
      <c r="DH32" s="19" t="s">
        <v>276</v>
      </c>
      <c r="DI32" s="19" t="s">
        <v>276</v>
      </c>
      <c r="DJ32" s="19" t="s">
        <v>276</v>
      </c>
      <c r="DK32" s="19" t="s">
        <v>276</v>
      </c>
      <c r="DL32" s="19" t="s">
        <v>276</v>
      </c>
      <c r="DM32" s="19" t="s">
        <v>276</v>
      </c>
      <c r="DN32" s="19" t="s">
        <v>276</v>
      </c>
      <c r="DO32" s="19" t="s">
        <v>276</v>
      </c>
      <c r="DP32" s="19">
        <v>0</v>
      </c>
      <c r="DQ32" s="19" t="s">
        <v>276</v>
      </c>
      <c r="DR32" s="20" t="s">
        <v>276</v>
      </c>
      <c r="DS32" s="20" t="s">
        <v>276</v>
      </c>
      <c r="DT32" s="19">
        <v>0</v>
      </c>
      <c r="DU32" s="20" t="s">
        <v>276</v>
      </c>
      <c r="DV32" s="20" t="s">
        <v>276</v>
      </c>
      <c r="DW32" s="20" t="s">
        <v>276</v>
      </c>
      <c r="DX32" s="20" t="s">
        <v>276</v>
      </c>
      <c r="DY32" s="19">
        <v>0</v>
      </c>
      <c r="DZ32" s="19">
        <v>0</v>
      </c>
      <c r="EA32" s="19">
        <v>0</v>
      </c>
      <c r="EB32" s="19" t="s">
        <v>276</v>
      </c>
      <c r="EC32" s="19" t="s">
        <v>276</v>
      </c>
      <c r="ED32" s="19">
        <v>0</v>
      </c>
      <c r="EE32" s="19" t="s">
        <v>276</v>
      </c>
      <c r="EF32" s="19" t="s">
        <v>276</v>
      </c>
      <c r="EG32" s="19" t="s">
        <v>276</v>
      </c>
      <c r="EH32" s="19">
        <v>0</v>
      </c>
      <c r="EI32" s="19">
        <v>0</v>
      </c>
      <c r="EJ32" s="19" t="s">
        <v>276</v>
      </c>
      <c r="EK32" s="20" t="s">
        <v>276</v>
      </c>
      <c r="EL32" s="20" t="s">
        <v>276</v>
      </c>
      <c r="EM32" s="20" t="s">
        <v>276</v>
      </c>
      <c r="EN32" s="19">
        <v>0</v>
      </c>
      <c r="EO32" s="19">
        <v>0</v>
      </c>
      <c r="EP32" s="20" t="s">
        <v>276</v>
      </c>
      <c r="EQ32" s="20" t="s">
        <v>276</v>
      </c>
      <c r="ER32" s="20" t="s">
        <v>276</v>
      </c>
      <c r="ES32" s="19">
        <v>0</v>
      </c>
      <c r="ET32" s="19">
        <v>0</v>
      </c>
      <c r="EU32" s="19">
        <v>130774</v>
      </c>
      <c r="EV32" s="19">
        <v>11377</v>
      </c>
      <c r="EW32" s="19">
        <v>36</v>
      </c>
      <c r="EX32" s="19">
        <v>446</v>
      </c>
      <c r="EY32" s="19">
        <v>14329</v>
      </c>
      <c r="EZ32" s="19">
        <v>33441</v>
      </c>
      <c r="FA32" s="19">
        <v>16662</v>
      </c>
      <c r="FB32" s="19">
        <v>326</v>
      </c>
      <c r="FC32" s="19">
        <v>51188</v>
      </c>
      <c r="FD32" s="19">
        <v>87</v>
      </c>
      <c r="FE32" s="19">
        <v>2191</v>
      </c>
      <c r="FF32" s="19">
        <v>22</v>
      </c>
      <c r="FG32" s="19">
        <v>0</v>
      </c>
      <c r="FH32" s="20" t="s">
        <v>276</v>
      </c>
      <c r="FI32" s="20" t="s">
        <v>276</v>
      </c>
      <c r="FJ32" s="20" t="s">
        <v>276</v>
      </c>
      <c r="FK32" s="19">
        <v>0</v>
      </c>
      <c r="FL32" s="19">
        <v>0</v>
      </c>
      <c r="FM32" s="19">
        <v>6</v>
      </c>
      <c r="FN32" s="19">
        <v>0</v>
      </c>
      <c r="FO32" s="19">
        <v>663</v>
      </c>
    </row>
    <row r="33" spans="1:171" ht="13.5" customHeight="1">
      <c r="A33" s="17" t="s">
        <v>112</v>
      </c>
      <c r="B33" s="18" t="s">
        <v>113</v>
      </c>
      <c r="C33" s="17" t="s">
        <v>59</v>
      </c>
      <c r="D33" s="19">
        <v>126544</v>
      </c>
      <c r="E33" s="19">
        <v>5587</v>
      </c>
      <c r="F33" s="19">
        <v>89</v>
      </c>
      <c r="G33" s="19">
        <v>830</v>
      </c>
      <c r="H33" s="19">
        <v>26026</v>
      </c>
      <c r="I33" s="19">
        <v>17198</v>
      </c>
      <c r="J33" s="19">
        <v>10475</v>
      </c>
      <c r="K33" s="19">
        <v>9</v>
      </c>
      <c r="L33" s="19">
        <v>21126</v>
      </c>
      <c r="M33" s="19">
        <v>182</v>
      </c>
      <c r="N33" s="19">
        <v>865</v>
      </c>
      <c r="O33" s="19">
        <v>13238</v>
      </c>
      <c r="P33" s="19">
        <v>0</v>
      </c>
      <c r="Q33" s="19">
        <v>14382</v>
      </c>
      <c r="R33" s="19">
        <v>2608</v>
      </c>
      <c r="S33" s="19">
        <v>302</v>
      </c>
      <c r="T33" s="19">
        <v>10934</v>
      </c>
      <c r="U33" s="19">
        <v>0</v>
      </c>
      <c r="V33" s="19">
        <v>529</v>
      </c>
      <c r="W33" s="19">
        <v>41</v>
      </c>
      <c r="X33" s="19">
        <v>2123</v>
      </c>
      <c r="Y33" s="19">
        <v>29557</v>
      </c>
      <c r="Z33" s="19">
        <v>80</v>
      </c>
      <c r="AA33" s="19">
        <v>0</v>
      </c>
      <c r="AB33" s="19">
        <v>0</v>
      </c>
      <c r="AC33" s="19">
        <v>3506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20" t="s">
        <v>276</v>
      </c>
      <c r="AK33" s="20" t="s">
        <v>276</v>
      </c>
      <c r="AL33" s="19">
        <v>14382</v>
      </c>
      <c r="AM33" s="20" t="s">
        <v>276</v>
      </c>
      <c r="AN33" s="20" t="s">
        <v>276</v>
      </c>
      <c r="AO33" s="19">
        <v>10934</v>
      </c>
      <c r="AP33" s="20" t="s">
        <v>276</v>
      </c>
      <c r="AQ33" s="19">
        <v>529</v>
      </c>
      <c r="AR33" s="20" t="s">
        <v>276</v>
      </c>
      <c r="AS33" s="19">
        <v>126</v>
      </c>
      <c r="AT33" s="19">
        <v>15709</v>
      </c>
      <c r="AU33" s="19">
        <v>290</v>
      </c>
      <c r="AV33" s="19">
        <v>3</v>
      </c>
      <c r="AW33" s="19">
        <v>105</v>
      </c>
      <c r="AX33" s="19">
        <v>14143</v>
      </c>
      <c r="AY33" s="19">
        <v>925</v>
      </c>
      <c r="AZ33" s="19">
        <v>0</v>
      </c>
      <c r="BA33" s="19">
        <v>0</v>
      </c>
      <c r="BB33" s="19">
        <v>2</v>
      </c>
      <c r="BC33" s="19">
        <v>40</v>
      </c>
      <c r="BD33" s="19">
        <v>33</v>
      </c>
      <c r="BE33" s="19" t="s">
        <v>276</v>
      </c>
      <c r="BF33" s="19" t="s">
        <v>276</v>
      </c>
      <c r="BG33" s="20" t="s">
        <v>276</v>
      </c>
      <c r="BH33" s="20" t="s">
        <v>276</v>
      </c>
      <c r="BI33" s="20" t="s">
        <v>276</v>
      </c>
      <c r="BJ33" s="20" t="s">
        <v>276</v>
      </c>
      <c r="BK33" s="20" t="s">
        <v>276</v>
      </c>
      <c r="BL33" s="20" t="s">
        <v>276</v>
      </c>
      <c r="BM33" s="20" t="s">
        <v>276</v>
      </c>
      <c r="BN33" s="19">
        <v>168</v>
      </c>
      <c r="BO33" s="19">
        <v>13155</v>
      </c>
      <c r="BP33" s="19" t="s">
        <v>276</v>
      </c>
      <c r="BQ33" s="19" t="s">
        <v>276</v>
      </c>
      <c r="BR33" s="19" t="s">
        <v>276</v>
      </c>
      <c r="BS33" s="19" t="s">
        <v>276</v>
      </c>
      <c r="BT33" s="19" t="s">
        <v>276</v>
      </c>
      <c r="BU33" s="19" t="s">
        <v>276</v>
      </c>
      <c r="BV33" s="19" t="s">
        <v>276</v>
      </c>
      <c r="BW33" s="19" t="s">
        <v>276</v>
      </c>
      <c r="BX33" s="19" t="s">
        <v>276</v>
      </c>
      <c r="BY33" s="19" t="s">
        <v>276</v>
      </c>
      <c r="BZ33" s="19">
        <v>13155</v>
      </c>
      <c r="CA33" s="19" t="s">
        <v>276</v>
      </c>
      <c r="CB33" s="20" t="s">
        <v>276</v>
      </c>
      <c r="CC33" s="20" t="s">
        <v>276</v>
      </c>
      <c r="CD33" s="20" t="s">
        <v>276</v>
      </c>
      <c r="CE33" s="20" t="s">
        <v>276</v>
      </c>
      <c r="CF33" s="20" t="s">
        <v>276</v>
      </c>
      <c r="CG33" s="20" t="s">
        <v>276</v>
      </c>
      <c r="CH33" s="20" t="s">
        <v>276</v>
      </c>
      <c r="CI33" s="19">
        <v>0</v>
      </c>
      <c r="CJ33" s="19">
        <v>0</v>
      </c>
      <c r="CK33" s="19" t="s">
        <v>276</v>
      </c>
      <c r="CL33" s="19" t="s">
        <v>276</v>
      </c>
      <c r="CM33" s="19" t="s">
        <v>276</v>
      </c>
      <c r="CN33" s="19" t="s">
        <v>276</v>
      </c>
      <c r="CO33" s="19" t="s">
        <v>276</v>
      </c>
      <c r="CP33" s="19" t="s">
        <v>276</v>
      </c>
      <c r="CQ33" s="19" t="s">
        <v>276</v>
      </c>
      <c r="CR33" s="19" t="s">
        <v>276</v>
      </c>
      <c r="CS33" s="19" t="s">
        <v>276</v>
      </c>
      <c r="CT33" s="19" t="s">
        <v>276</v>
      </c>
      <c r="CU33" s="19" t="s">
        <v>276</v>
      </c>
      <c r="CV33" s="19">
        <v>0</v>
      </c>
      <c r="CW33" s="20" t="s">
        <v>276</v>
      </c>
      <c r="CX33" s="20" t="s">
        <v>276</v>
      </c>
      <c r="CY33" s="20" t="s">
        <v>276</v>
      </c>
      <c r="CZ33" s="20" t="s">
        <v>276</v>
      </c>
      <c r="DA33" s="20" t="s">
        <v>276</v>
      </c>
      <c r="DB33" s="20" t="s">
        <v>276</v>
      </c>
      <c r="DC33" s="20" t="s">
        <v>276</v>
      </c>
      <c r="DD33" s="19">
        <v>0</v>
      </c>
      <c r="DE33" s="19">
        <v>302</v>
      </c>
      <c r="DF33" s="19" t="s">
        <v>276</v>
      </c>
      <c r="DG33" s="19" t="s">
        <v>276</v>
      </c>
      <c r="DH33" s="19" t="s">
        <v>276</v>
      </c>
      <c r="DI33" s="19" t="s">
        <v>276</v>
      </c>
      <c r="DJ33" s="19" t="s">
        <v>276</v>
      </c>
      <c r="DK33" s="19" t="s">
        <v>276</v>
      </c>
      <c r="DL33" s="19" t="s">
        <v>276</v>
      </c>
      <c r="DM33" s="19" t="s">
        <v>276</v>
      </c>
      <c r="DN33" s="19" t="s">
        <v>276</v>
      </c>
      <c r="DO33" s="19" t="s">
        <v>276</v>
      </c>
      <c r="DP33" s="19">
        <v>0</v>
      </c>
      <c r="DQ33" s="19" t="s">
        <v>276</v>
      </c>
      <c r="DR33" s="20" t="s">
        <v>276</v>
      </c>
      <c r="DS33" s="20" t="s">
        <v>276</v>
      </c>
      <c r="DT33" s="19">
        <v>302</v>
      </c>
      <c r="DU33" s="20" t="s">
        <v>276</v>
      </c>
      <c r="DV33" s="20" t="s">
        <v>276</v>
      </c>
      <c r="DW33" s="20" t="s">
        <v>276</v>
      </c>
      <c r="DX33" s="20" t="s">
        <v>276</v>
      </c>
      <c r="DY33" s="19">
        <v>0</v>
      </c>
      <c r="DZ33" s="19">
        <v>2627</v>
      </c>
      <c r="EA33" s="19">
        <v>0</v>
      </c>
      <c r="EB33" s="19" t="s">
        <v>276</v>
      </c>
      <c r="EC33" s="19" t="s">
        <v>276</v>
      </c>
      <c r="ED33" s="19">
        <v>0</v>
      </c>
      <c r="EE33" s="19" t="s">
        <v>276</v>
      </c>
      <c r="EF33" s="19" t="s">
        <v>276</v>
      </c>
      <c r="EG33" s="19" t="s">
        <v>276</v>
      </c>
      <c r="EH33" s="19">
        <v>0</v>
      </c>
      <c r="EI33" s="19">
        <v>0</v>
      </c>
      <c r="EJ33" s="19" t="s">
        <v>276</v>
      </c>
      <c r="EK33" s="20" t="s">
        <v>276</v>
      </c>
      <c r="EL33" s="20" t="s">
        <v>276</v>
      </c>
      <c r="EM33" s="20" t="s">
        <v>276</v>
      </c>
      <c r="EN33" s="19">
        <v>2608</v>
      </c>
      <c r="EO33" s="19">
        <v>0</v>
      </c>
      <c r="EP33" s="20" t="s">
        <v>276</v>
      </c>
      <c r="EQ33" s="20" t="s">
        <v>276</v>
      </c>
      <c r="ER33" s="20" t="s">
        <v>276</v>
      </c>
      <c r="ES33" s="19">
        <v>19</v>
      </c>
      <c r="ET33" s="19">
        <v>0</v>
      </c>
      <c r="EU33" s="19">
        <v>65194</v>
      </c>
      <c r="EV33" s="19">
        <v>5217</v>
      </c>
      <c r="EW33" s="19">
        <v>86</v>
      </c>
      <c r="EX33" s="19">
        <v>725</v>
      </c>
      <c r="EY33" s="19">
        <v>8377</v>
      </c>
      <c r="EZ33" s="19">
        <v>16273</v>
      </c>
      <c r="FA33" s="19">
        <v>10475</v>
      </c>
      <c r="FB33" s="19">
        <v>9</v>
      </c>
      <c r="FC33" s="19">
        <v>21124</v>
      </c>
      <c r="FD33" s="19">
        <v>142</v>
      </c>
      <c r="FE33" s="19">
        <v>832</v>
      </c>
      <c r="FF33" s="19">
        <v>83</v>
      </c>
      <c r="FG33" s="19">
        <v>0</v>
      </c>
      <c r="FH33" s="20" t="s">
        <v>276</v>
      </c>
      <c r="FI33" s="20" t="s">
        <v>276</v>
      </c>
      <c r="FJ33" s="20" t="s">
        <v>276</v>
      </c>
      <c r="FK33" s="19">
        <v>0</v>
      </c>
      <c r="FL33" s="19">
        <v>0</v>
      </c>
      <c r="FM33" s="19">
        <v>0</v>
      </c>
      <c r="FN33" s="19">
        <v>22</v>
      </c>
      <c r="FO33" s="19">
        <v>1829</v>
      </c>
    </row>
    <row r="34" spans="1:171" ht="13.5" customHeight="1">
      <c r="A34" s="17" t="s">
        <v>114</v>
      </c>
      <c r="B34" s="18" t="s">
        <v>115</v>
      </c>
      <c r="C34" s="17" t="s">
        <v>59</v>
      </c>
      <c r="D34" s="19">
        <v>24651</v>
      </c>
      <c r="E34" s="19">
        <v>440</v>
      </c>
      <c r="F34" s="19">
        <v>6</v>
      </c>
      <c r="G34" s="19">
        <v>57</v>
      </c>
      <c r="H34" s="19">
        <v>6538</v>
      </c>
      <c r="I34" s="19">
        <v>4855</v>
      </c>
      <c r="J34" s="19">
        <v>1372</v>
      </c>
      <c r="K34" s="19">
        <v>11</v>
      </c>
      <c r="L34" s="19">
        <v>3970</v>
      </c>
      <c r="M34" s="19">
        <v>1332</v>
      </c>
      <c r="N34" s="19">
        <v>228</v>
      </c>
      <c r="O34" s="19">
        <v>454</v>
      </c>
      <c r="P34" s="19">
        <v>0</v>
      </c>
      <c r="Q34" s="19">
        <v>0</v>
      </c>
      <c r="R34" s="19">
        <v>0</v>
      </c>
      <c r="S34" s="19">
        <v>0</v>
      </c>
      <c r="T34" s="19">
        <v>358</v>
      </c>
      <c r="U34" s="19">
        <v>0</v>
      </c>
      <c r="V34" s="19">
        <v>0</v>
      </c>
      <c r="W34" s="19">
        <v>15</v>
      </c>
      <c r="X34" s="19">
        <v>5015</v>
      </c>
      <c r="Y34" s="19">
        <v>2387</v>
      </c>
      <c r="Z34" s="19">
        <v>2</v>
      </c>
      <c r="AA34" s="19">
        <v>0</v>
      </c>
      <c r="AB34" s="19">
        <v>0</v>
      </c>
      <c r="AC34" s="19">
        <v>743</v>
      </c>
      <c r="AD34" s="19">
        <v>364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20" t="s">
        <v>276</v>
      </c>
      <c r="AK34" s="20" t="s">
        <v>276</v>
      </c>
      <c r="AL34" s="19">
        <v>0</v>
      </c>
      <c r="AM34" s="20" t="s">
        <v>276</v>
      </c>
      <c r="AN34" s="20" t="s">
        <v>276</v>
      </c>
      <c r="AO34" s="19">
        <v>358</v>
      </c>
      <c r="AP34" s="20" t="s">
        <v>276</v>
      </c>
      <c r="AQ34" s="19">
        <v>0</v>
      </c>
      <c r="AR34" s="20" t="s">
        <v>276</v>
      </c>
      <c r="AS34" s="19">
        <v>920</v>
      </c>
      <c r="AT34" s="19">
        <v>3231</v>
      </c>
      <c r="AU34" s="19">
        <v>0</v>
      </c>
      <c r="AV34" s="19">
        <v>0</v>
      </c>
      <c r="AW34" s="19">
        <v>0</v>
      </c>
      <c r="AX34" s="19">
        <v>3088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 t="s">
        <v>276</v>
      </c>
      <c r="BF34" s="19" t="s">
        <v>276</v>
      </c>
      <c r="BG34" s="20" t="s">
        <v>276</v>
      </c>
      <c r="BH34" s="20" t="s">
        <v>276</v>
      </c>
      <c r="BI34" s="20" t="s">
        <v>276</v>
      </c>
      <c r="BJ34" s="20" t="s">
        <v>276</v>
      </c>
      <c r="BK34" s="20" t="s">
        <v>276</v>
      </c>
      <c r="BL34" s="20" t="s">
        <v>276</v>
      </c>
      <c r="BM34" s="20" t="s">
        <v>276</v>
      </c>
      <c r="BN34" s="19">
        <v>143</v>
      </c>
      <c r="BO34" s="19">
        <v>454</v>
      </c>
      <c r="BP34" s="19" t="s">
        <v>276</v>
      </c>
      <c r="BQ34" s="19" t="s">
        <v>276</v>
      </c>
      <c r="BR34" s="19" t="s">
        <v>276</v>
      </c>
      <c r="BS34" s="19" t="s">
        <v>276</v>
      </c>
      <c r="BT34" s="19" t="s">
        <v>276</v>
      </c>
      <c r="BU34" s="19" t="s">
        <v>276</v>
      </c>
      <c r="BV34" s="19" t="s">
        <v>276</v>
      </c>
      <c r="BW34" s="19" t="s">
        <v>276</v>
      </c>
      <c r="BX34" s="19" t="s">
        <v>276</v>
      </c>
      <c r="BY34" s="19" t="s">
        <v>276</v>
      </c>
      <c r="BZ34" s="19">
        <v>454</v>
      </c>
      <c r="CA34" s="19" t="s">
        <v>276</v>
      </c>
      <c r="CB34" s="20" t="s">
        <v>276</v>
      </c>
      <c r="CC34" s="20" t="s">
        <v>276</v>
      </c>
      <c r="CD34" s="20" t="s">
        <v>276</v>
      </c>
      <c r="CE34" s="20" t="s">
        <v>276</v>
      </c>
      <c r="CF34" s="20" t="s">
        <v>276</v>
      </c>
      <c r="CG34" s="20" t="s">
        <v>276</v>
      </c>
      <c r="CH34" s="20" t="s">
        <v>276</v>
      </c>
      <c r="CI34" s="19">
        <v>0</v>
      </c>
      <c r="CJ34" s="19">
        <v>0</v>
      </c>
      <c r="CK34" s="19" t="s">
        <v>276</v>
      </c>
      <c r="CL34" s="19" t="s">
        <v>276</v>
      </c>
      <c r="CM34" s="19" t="s">
        <v>276</v>
      </c>
      <c r="CN34" s="19" t="s">
        <v>276</v>
      </c>
      <c r="CO34" s="19" t="s">
        <v>276</v>
      </c>
      <c r="CP34" s="19" t="s">
        <v>276</v>
      </c>
      <c r="CQ34" s="19" t="s">
        <v>276</v>
      </c>
      <c r="CR34" s="19" t="s">
        <v>276</v>
      </c>
      <c r="CS34" s="19" t="s">
        <v>276</v>
      </c>
      <c r="CT34" s="19" t="s">
        <v>276</v>
      </c>
      <c r="CU34" s="19" t="s">
        <v>276</v>
      </c>
      <c r="CV34" s="19">
        <v>0</v>
      </c>
      <c r="CW34" s="20" t="s">
        <v>276</v>
      </c>
      <c r="CX34" s="20" t="s">
        <v>276</v>
      </c>
      <c r="CY34" s="20" t="s">
        <v>276</v>
      </c>
      <c r="CZ34" s="20" t="s">
        <v>276</v>
      </c>
      <c r="DA34" s="20" t="s">
        <v>276</v>
      </c>
      <c r="DB34" s="20" t="s">
        <v>276</v>
      </c>
      <c r="DC34" s="20" t="s">
        <v>276</v>
      </c>
      <c r="DD34" s="19">
        <v>0</v>
      </c>
      <c r="DE34" s="19">
        <v>0</v>
      </c>
      <c r="DF34" s="19" t="s">
        <v>276</v>
      </c>
      <c r="DG34" s="19" t="s">
        <v>276</v>
      </c>
      <c r="DH34" s="19" t="s">
        <v>276</v>
      </c>
      <c r="DI34" s="19" t="s">
        <v>276</v>
      </c>
      <c r="DJ34" s="19" t="s">
        <v>276</v>
      </c>
      <c r="DK34" s="19" t="s">
        <v>276</v>
      </c>
      <c r="DL34" s="19" t="s">
        <v>276</v>
      </c>
      <c r="DM34" s="19" t="s">
        <v>276</v>
      </c>
      <c r="DN34" s="19" t="s">
        <v>276</v>
      </c>
      <c r="DO34" s="19" t="s">
        <v>276</v>
      </c>
      <c r="DP34" s="19">
        <v>0</v>
      </c>
      <c r="DQ34" s="19" t="s">
        <v>276</v>
      </c>
      <c r="DR34" s="20" t="s">
        <v>276</v>
      </c>
      <c r="DS34" s="20" t="s">
        <v>276</v>
      </c>
      <c r="DT34" s="19">
        <v>0</v>
      </c>
      <c r="DU34" s="20" t="s">
        <v>276</v>
      </c>
      <c r="DV34" s="20" t="s">
        <v>276</v>
      </c>
      <c r="DW34" s="20" t="s">
        <v>276</v>
      </c>
      <c r="DX34" s="20" t="s">
        <v>276</v>
      </c>
      <c r="DY34" s="19">
        <v>0</v>
      </c>
      <c r="DZ34" s="19">
        <v>0</v>
      </c>
      <c r="EA34" s="19">
        <v>0</v>
      </c>
      <c r="EB34" s="19" t="s">
        <v>276</v>
      </c>
      <c r="EC34" s="19" t="s">
        <v>276</v>
      </c>
      <c r="ED34" s="19">
        <v>0</v>
      </c>
      <c r="EE34" s="19" t="s">
        <v>276</v>
      </c>
      <c r="EF34" s="19" t="s">
        <v>276</v>
      </c>
      <c r="EG34" s="19" t="s">
        <v>276</v>
      </c>
      <c r="EH34" s="19">
        <v>0</v>
      </c>
      <c r="EI34" s="19">
        <v>0</v>
      </c>
      <c r="EJ34" s="19" t="s">
        <v>276</v>
      </c>
      <c r="EK34" s="20" t="s">
        <v>276</v>
      </c>
      <c r="EL34" s="20" t="s">
        <v>276</v>
      </c>
      <c r="EM34" s="20" t="s">
        <v>276</v>
      </c>
      <c r="EN34" s="19">
        <v>0</v>
      </c>
      <c r="EO34" s="19">
        <v>0</v>
      </c>
      <c r="EP34" s="20" t="s">
        <v>276</v>
      </c>
      <c r="EQ34" s="20" t="s">
        <v>276</v>
      </c>
      <c r="ER34" s="20" t="s">
        <v>276</v>
      </c>
      <c r="ES34" s="19">
        <v>0</v>
      </c>
      <c r="ET34" s="19">
        <v>0</v>
      </c>
      <c r="EU34" s="19">
        <v>18579</v>
      </c>
      <c r="EV34" s="19">
        <v>438</v>
      </c>
      <c r="EW34" s="19">
        <v>6</v>
      </c>
      <c r="EX34" s="19">
        <v>57</v>
      </c>
      <c r="EY34" s="19">
        <v>2707</v>
      </c>
      <c r="EZ34" s="19">
        <v>4491</v>
      </c>
      <c r="FA34" s="19">
        <v>1372</v>
      </c>
      <c r="FB34" s="19">
        <v>11</v>
      </c>
      <c r="FC34" s="19">
        <v>3970</v>
      </c>
      <c r="FD34" s="19">
        <v>1332</v>
      </c>
      <c r="FE34" s="19">
        <v>228</v>
      </c>
      <c r="FF34" s="19">
        <v>0</v>
      </c>
      <c r="FG34" s="19">
        <v>0</v>
      </c>
      <c r="FH34" s="20" t="s">
        <v>276</v>
      </c>
      <c r="FI34" s="20" t="s">
        <v>276</v>
      </c>
      <c r="FJ34" s="20" t="s">
        <v>276</v>
      </c>
      <c r="FK34" s="19">
        <v>0</v>
      </c>
      <c r="FL34" s="19">
        <v>0</v>
      </c>
      <c r="FM34" s="19">
        <v>0</v>
      </c>
      <c r="FN34" s="19">
        <v>15</v>
      </c>
      <c r="FO34" s="19">
        <v>3952</v>
      </c>
    </row>
    <row r="35" spans="1:171" ht="13.5" customHeight="1">
      <c r="A35" s="17" t="s">
        <v>116</v>
      </c>
      <c r="B35" s="18" t="s">
        <v>117</v>
      </c>
      <c r="C35" s="17" t="s">
        <v>59</v>
      </c>
      <c r="D35" s="19">
        <v>30215</v>
      </c>
      <c r="E35" s="19">
        <v>5887</v>
      </c>
      <c r="F35" s="19">
        <v>34</v>
      </c>
      <c r="G35" s="19">
        <v>201</v>
      </c>
      <c r="H35" s="19">
        <v>5512</v>
      </c>
      <c r="I35" s="19">
        <v>5175</v>
      </c>
      <c r="J35" s="19">
        <v>2241</v>
      </c>
      <c r="K35" s="19">
        <v>36</v>
      </c>
      <c r="L35" s="19">
        <v>3843</v>
      </c>
      <c r="M35" s="19">
        <v>1647</v>
      </c>
      <c r="N35" s="19">
        <v>1109</v>
      </c>
      <c r="O35" s="19">
        <v>0</v>
      </c>
      <c r="P35" s="19">
        <v>0</v>
      </c>
      <c r="Q35" s="19">
        <v>537</v>
      </c>
      <c r="R35" s="19">
        <v>8</v>
      </c>
      <c r="S35" s="19">
        <v>661</v>
      </c>
      <c r="T35" s="19">
        <v>0</v>
      </c>
      <c r="U35" s="19">
        <v>0</v>
      </c>
      <c r="V35" s="19">
        <v>0</v>
      </c>
      <c r="W35" s="19">
        <v>3</v>
      </c>
      <c r="X35" s="19">
        <v>3321</v>
      </c>
      <c r="Y35" s="19">
        <v>890</v>
      </c>
      <c r="Z35" s="19">
        <v>0</v>
      </c>
      <c r="AA35" s="19">
        <v>0</v>
      </c>
      <c r="AB35" s="19">
        <v>0</v>
      </c>
      <c r="AC35" s="19">
        <v>146</v>
      </c>
      <c r="AD35" s="19">
        <v>0</v>
      </c>
      <c r="AE35" s="19">
        <v>0</v>
      </c>
      <c r="AF35" s="19">
        <v>0</v>
      </c>
      <c r="AG35" s="19">
        <v>207</v>
      </c>
      <c r="AH35" s="19">
        <v>0</v>
      </c>
      <c r="AI35" s="19">
        <v>0</v>
      </c>
      <c r="AJ35" s="20" t="s">
        <v>276</v>
      </c>
      <c r="AK35" s="20" t="s">
        <v>276</v>
      </c>
      <c r="AL35" s="19">
        <v>537</v>
      </c>
      <c r="AM35" s="20" t="s">
        <v>276</v>
      </c>
      <c r="AN35" s="20" t="s">
        <v>276</v>
      </c>
      <c r="AO35" s="19">
        <v>0</v>
      </c>
      <c r="AP35" s="20" t="s">
        <v>276</v>
      </c>
      <c r="AQ35" s="19">
        <v>0</v>
      </c>
      <c r="AR35" s="20" t="s">
        <v>276</v>
      </c>
      <c r="AS35" s="19">
        <v>0</v>
      </c>
      <c r="AT35" s="19">
        <v>1846</v>
      </c>
      <c r="AU35" s="19">
        <v>0</v>
      </c>
      <c r="AV35" s="19">
        <v>0</v>
      </c>
      <c r="AW35" s="19">
        <v>0</v>
      </c>
      <c r="AX35" s="19">
        <v>366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 t="s">
        <v>276</v>
      </c>
      <c r="BF35" s="19" t="s">
        <v>276</v>
      </c>
      <c r="BG35" s="20" t="s">
        <v>276</v>
      </c>
      <c r="BH35" s="20" t="s">
        <v>276</v>
      </c>
      <c r="BI35" s="20" t="s">
        <v>276</v>
      </c>
      <c r="BJ35" s="20" t="s">
        <v>276</v>
      </c>
      <c r="BK35" s="20" t="s">
        <v>276</v>
      </c>
      <c r="BL35" s="20" t="s">
        <v>276</v>
      </c>
      <c r="BM35" s="20" t="s">
        <v>276</v>
      </c>
      <c r="BN35" s="19">
        <v>1480</v>
      </c>
      <c r="BO35" s="19">
        <v>178</v>
      </c>
      <c r="BP35" s="19" t="s">
        <v>276</v>
      </c>
      <c r="BQ35" s="19" t="s">
        <v>276</v>
      </c>
      <c r="BR35" s="19" t="s">
        <v>276</v>
      </c>
      <c r="BS35" s="19" t="s">
        <v>276</v>
      </c>
      <c r="BT35" s="19" t="s">
        <v>276</v>
      </c>
      <c r="BU35" s="19" t="s">
        <v>276</v>
      </c>
      <c r="BV35" s="19" t="s">
        <v>276</v>
      </c>
      <c r="BW35" s="19" t="s">
        <v>276</v>
      </c>
      <c r="BX35" s="19" t="s">
        <v>276</v>
      </c>
      <c r="BY35" s="19" t="s">
        <v>276</v>
      </c>
      <c r="BZ35" s="19">
        <v>0</v>
      </c>
      <c r="CA35" s="19" t="s">
        <v>276</v>
      </c>
      <c r="CB35" s="20" t="s">
        <v>276</v>
      </c>
      <c r="CC35" s="20" t="s">
        <v>276</v>
      </c>
      <c r="CD35" s="20" t="s">
        <v>276</v>
      </c>
      <c r="CE35" s="20" t="s">
        <v>276</v>
      </c>
      <c r="CF35" s="20" t="s">
        <v>276</v>
      </c>
      <c r="CG35" s="20" t="s">
        <v>276</v>
      </c>
      <c r="CH35" s="20" t="s">
        <v>276</v>
      </c>
      <c r="CI35" s="19">
        <v>178</v>
      </c>
      <c r="CJ35" s="19">
        <v>0</v>
      </c>
      <c r="CK35" s="19" t="s">
        <v>276</v>
      </c>
      <c r="CL35" s="19" t="s">
        <v>276</v>
      </c>
      <c r="CM35" s="19" t="s">
        <v>276</v>
      </c>
      <c r="CN35" s="19" t="s">
        <v>276</v>
      </c>
      <c r="CO35" s="19" t="s">
        <v>276</v>
      </c>
      <c r="CP35" s="19" t="s">
        <v>276</v>
      </c>
      <c r="CQ35" s="19" t="s">
        <v>276</v>
      </c>
      <c r="CR35" s="19" t="s">
        <v>276</v>
      </c>
      <c r="CS35" s="19" t="s">
        <v>276</v>
      </c>
      <c r="CT35" s="19" t="s">
        <v>276</v>
      </c>
      <c r="CU35" s="19" t="s">
        <v>276</v>
      </c>
      <c r="CV35" s="19">
        <v>0</v>
      </c>
      <c r="CW35" s="20" t="s">
        <v>276</v>
      </c>
      <c r="CX35" s="20" t="s">
        <v>276</v>
      </c>
      <c r="CY35" s="20" t="s">
        <v>276</v>
      </c>
      <c r="CZ35" s="20" t="s">
        <v>276</v>
      </c>
      <c r="DA35" s="20" t="s">
        <v>276</v>
      </c>
      <c r="DB35" s="20" t="s">
        <v>276</v>
      </c>
      <c r="DC35" s="20" t="s">
        <v>276</v>
      </c>
      <c r="DD35" s="19">
        <v>0</v>
      </c>
      <c r="DE35" s="19">
        <v>0</v>
      </c>
      <c r="DF35" s="19" t="s">
        <v>276</v>
      </c>
      <c r="DG35" s="19" t="s">
        <v>276</v>
      </c>
      <c r="DH35" s="19" t="s">
        <v>276</v>
      </c>
      <c r="DI35" s="19" t="s">
        <v>276</v>
      </c>
      <c r="DJ35" s="19" t="s">
        <v>276</v>
      </c>
      <c r="DK35" s="19" t="s">
        <v>276</v>
      </c>
      <c r="DL35" s="19" t="s">
        <v>276</v>
      </c>
      <c r="DM35" s="19" t="s">
        <v>276</v>
      </c>
      <c r="DN35" s="19" t="s">
        <v>276</v>
      </c>
      <c r="DO35" s="19" t="s">
        <v>276</v>
      </c>
      <c r="DP35" s="19">
        <v>0</v>
      </c>
      <c r="DQ35" s="19" t="s">
        <v>276</v>
      </c>
      <c r="DR35" s="20" t="s">
        <v>276</v>
      </c>
      <c r="DS35" s="20" t="s">
        <v>276</v>
      </c>
      <c r="DT35" s="19">
        <v>0</v>
      </c>
      <c r="DU35" s="20" t="s">
        <v>276</v>
      </c>
      <c r="DV35" s="20" t="s">
        <v>276</v>
      </c>
      <c r="DW35" s="20" t="s">
        <v>276</v>
      </c>
      <c r="DX35" s="20" t="s">
        <v>276</v>
      </c>
      <c r="DY35" s="19">
        <v>0</v>
      </c>
      <c r="DZ35" s="19">
        <v>738</v>
      </c>
      <c r="EA35" s="19">
        <v>0</v>
      </c>
      <c r="EB35" s="19" t="s">
        <v>276</v>
      </c>
      <c r="EC35" s="19" t="s">
        <v>276</v>
      </c>
      <c r="ED35" s="19">
        <v>0</v>
      </c>
      <c r="EE35" s="19" t="s">
        <v>276</v>
      </c>
      <c r="EF35" s="19" t="s">
        <v>276</v>
      </c>
      <c r="EG35" s="19" t="s">
        <v>276</v>
      </c>
      <c r="EH35" s="19">
        <v>9</v>
      </c>
      <c r="EI35" s="19">
        <v>60</v>
      </c>
      <c r="EJ35" s="19" t="s">
        <v>276</v>
      </c>
      <c r="EK35" s="20" t="s">
        <v>276</v>
      </c>
      <c r="EL35" s="20" t="s">
        <v>276</v>
      </c>
      <c r="EM35" s="20" t="s">
        <v>276</v>
      </c>
      <c r="EN35" s="19">
        <v>8</v>
      </c>
      <c r="EO35" s="19">
        <v>661</v>
      </c>
      <c r="EP35" s="20" t="s">
        <v>276</v>
      </c>
      <c r="EQ35" s="20" t="s">
        <v>276</v>
      </c>
      <c r="ER35" s="20" t="s">
        <v>276</v>
      </c>
      <c r="ES35" s="19">
        <v>0</v>
      </c>
      <c r="ET35" s="19">
        <v>0</v>
      </c>
      <c r="EU35" s="19">
        <v>26563</v>
      </c>
      <c r="EV35" s="19">
        <v>5887</v>
      </c>
      <c r="EW35" s="19">
        <v>34</v>
      </c>
      <c r="EX35" s="19">
        <v>201</v>
      </c>
      <c r="EY35" s="19">
        <v>5000</v>
      </c>
      <c r="EZ35" s="19">
        <v>5175</v>
      </c>
      <c r="FA35" s="19">
        <v>2241</v>
      </c>
      <c r="FB35" s="19">
        <v>36</v>
      </c>
      <c r="FC35" s="19">
        <v>3627</v>
      </c>
      <c r="FD35" s="19">
        <v>1587</v>
      </c>
      <c r="FE35" s="19">
        <v>1109</v>
      </c>
      <c r="FF35" s="19">
        <v>0</v>
      </c>
      <c r="FG35" s="19">
        <v>0</v>
      </c>
      <c r="FH35" s="20" t="s">
        <v>276</v>
      </c>
      <c r="FI35" s="20" t="s">
        <v>276</v>
      </c>
      <c r="FJ35" s="20" t="s">
        <v>276</v>
      </c>
      <c r="FK35" s="19">
        <v>0</v>
      </c>
      <c r="FL35" s="19">
        <v>0</v>
      </c>
      <c r="FM35" s="19">
        <v>0</v>
      </c>
      <c r="FN35" s="19">
        <v>3</v>
      </c>
      <c r="FO35" s="19">
        <v>1663</v>
      </c>
    </row>
    <row r="36" spans="1:171" ht="13.5" customHeight="1">
      <c r="A36" s="17" t="s">
        <v>118</v>
      </c>
      <c r="B36" s="18" t="s">
        <v>119</v>
      </c>
      <c r="C36" s="17" t="s">
        <v>59</v>
      </c>
      <c r="D36" s="19">
        <v>24288</v>
      </c>
      <c r="E36" s="19">
        <v>2603</v>
      </c>
      <c r="F36" s="19">
        <v>33</v>
      </c>
      <c r="G36" s="19">
        <v>19</v>
      </c>
      <c r="H36" s="19">
        <v>3444</v>
      </c>
      <c r="I36" s="19">
        <v>1732</v>
      </c>
      <c r="J36" s="19">
        <v>775</v>
      </c>
      <c r="K36" s="19">
        <v>66</v>
      </c>
      <c r="L36" s="19">
        <v>2569</v>
      </c>
      <c r="M36" s="19">
        <v>580</v>
      </c>
      <c r="N36" s="19">
        <v>0</v>
      </c>
      <c r="O36" s="19">
        <v>3020</v>
      </c>
      <c r="P36" s="19">
        <v>157</v>
      </c>
      <c r="Q36" s="19">
        <v>0</v>
      </c>
      <c r="R36" s="19">
        <v>526</v>
      </c>
      <c r="S36" s="19">
        <v>83</v>
      </c>
      <c r="T36" s="19">
        <v>7999</v>
      </c>
      <c r="U36" s="19">
        <v>0</v>
      </c>
      <c r="V36" s="19">
        <v>0</v>
      </c>
      <c r="W36" s="19">
        <v>2</v>
      </c>
      <c r="X36" s="19">
        <v>680</v>
      </c>
      <c r="Y36" s="19">
        <v>8006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7</v>
      </c>
      <c r="AG36" s="19">
        <v>0</v>
      </c>
      <c r="AH36" s="19">
        <v>0</v>
      </c>
      <c r="AI36" s="19">
        <v>0</v>
      </c>
      <c r="AJ36" s="20" t="s">
        <v>276</v>
      </c>
      <c r="AK36" s="20" t="s">
        <v>276</v>
      </c>
      <c r="AL36" s="19">
        <v>0</v>
      </c>
      <c r="AM36" s="20" t="s">
        <v>276</v>
      </c>
      <c r="AN36" s="20" t="s">
        <v>276</v>
      </c>
      <c r="AO36" s="19">
        <v>7999</v>
      </c>
      <c r="AP36" s="20" t="s">
        <v>276</v>
      </c>
      <c r="AQ36" s="19">
        <v>0</v>
      </c>
      <c r="AR36" s="20" t="s">
        <v>276</v>
      </c>
      <c r="AS36" s="19">
        <v>0</v>
      </c>
      <c r="AT36" s="19">
        <v>634</v>
      </c>
      <c r="AU36" s="19">
        <v>0</v>
      </c>
      <c r="AV36" s="19">
        <v>0</v>
      </c>
      <c r="AW36" s="19">
        <v>0</v>
      </c>
      <c r="AX36" s="19">
        <v>613</v>
      </c>
      <c r="AY36" s="19">
        <v>3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 t="s">
        <v>276</v>
      </c>
      <c r="BF36" s="19" t="s">
        <v>276</v>
      </c>
      <c r="BG36" s="20" t="s">
        <v>276</v>
      </c>
      <c r="BH36" s="20" t="s">
        <v>276</v>
      </c>
      <c r="BI36" s="20" t="s">
        <v>276</v>
      </c>
      <c r="BJ36" s="20" t="s">
        <v>276</v>
      </c>
      <c r="BK36" s="20" t="s">
        <v>276</v>
      </c>
      <c r="BL36" s="20" t="s">
        <v>276</v>
      </c>
      <c r="BM36" s="20" t="s">
        <v>276</v>
      </c>
      <c r="BN36" s="19">
        <v>18</v>
      </c>
      <c r="BO36" s="19">
        <v>3026</v>
      </c>
      <c r="BP36" s="19" t="s">
        <v>276</v>
      </c>
      <c r="BQ36" s="19" t="s">
        <v>276</v>
      </c>
      <c r="BR36" s="19" t="s">
        <v>276</v>
      </c>
      <c r="BS36" s="19" t="s">
        <v>276</v>
      </c>
      <c r="BT36" s="19" t="s">
        <v>276</v>
      </c>
      <c r="BU36" s="19" t="s">
        <v>276</v>
      </c>
      <c r="BV36" s="19" t="s">
        <v>276</v>
      </c>
      <c r="BW36" s="19" t="s">
        <v>276</v>
      </c>
      <c r="BX36" s="19" t="s">
        <v>276</v>
      </c>
      <c r="BY36" s="19" t="s">
        <v>276</v>
      </c>
      <c r="BZ36" s="19">
        <v>3020</v>
      </c>
      <c r="CA36" s="19" t="s">
        <v>276</v>
      </c>
      <c r="CB36" s="20" t="s">
        <v>276</v>
      </c>
      <c r="CC36" s="20" t="s">
        <v>276</v>
      </c>
      <c r="CD36" s="20" t="s">
        <v>276</v>
      </c>
      <c r="CE36" s="20" t="s">
        <v>276</v>
      </c>
      <c r="CF36" s="20" t="s">
        <v>276</v>
      </c>
      <c r="CG36" s="20" t="s">
        <v>276</v>
      </c>
      <c r="CH36" s="20" t="s">
        <v>276</v>
      </c>
      <c r="CI36" s="19">
        <v>6</v>
      </c>
      <c r="CJ36" s="19">
        <v>157</v>
      </c>
      <c r="CK36" s="19" t="s">
        <v>276</v>
      </c>
      <c r="CL36" s="19" t="s">
        <v>276</v>
      </c>
      <c r="CM36" s="19" t="s">
        <v>276</v>
      </c>
      <c r="CN36" s="19" t="s">
        <v>276</v>
      </c>
      <c r="CO36" s="19" t="s">
        <v>276</v>
      </c>
      <c r="CP36" s="19" t="s">
        <v>276</v>
      </c>
      <c r="CQ36" s="19" t="s">
        <v>276</v>
      </c>
      <c r="CR36" s="19" t="s">
        <v>276</v>
      </c>
      <c r="CS36" s="19" t="s">
        <v>276</v>
      </c>
      <c r="CT36" s="19" t="s">
        <v>276</v>
      </c>
      <c r="CU36" s="19" t="s">
        <v>276</v>
      </c>
      <c r="CV36" s="19">
        <v>157</v>
      </c>
      <c r="CW36" s="20" t="s">
        <v>276</v>
      </c>
      <c r="CX36" s="20" t="s">
        <v>276</v>
      </c>
      <c r="CY36" s="20" t="s">
        <v>276</v>
      </c>
      <c r="CZ36" s="20" t="s">
        <v>276</v>
      </c>
      <c r="DA36" s="20" t="s">
        <v>276</v>
      </c>
      <c r="DB36" s="20" t="s">
        <v>276</v>
      </c>
      <c r="DC36" s="20" t="s">
        <v>276</v>
      </c>
      <c r="DD36" s="19">
        <v>0</v>
      </c>
      <c r="DE36" s="19">
        <v>0</v>
      </c>
      <c r="DF36" s="19" t="s">
        <v>276</v>
      </c>
      <c r="DG36" s="19" t="s">
        <v>276</v>
      </c>
      <c r="DH36" s="19" t="s">
        <v>276</v>
      </c>
      <c r="DI36" s="19" t="s">
        <v>276</v>
      </c>
      <c r="DJ36" s="19" t="s">
        <v>276</v>
      </c>
      <c r="DK36" s="19" t="s">
        <v>276</v>
      </c>
      <c r="DL36" s="19" t="s">
        <v>276</v>
      </c>
      <c r="DM36" s="19" t="s">
        <v>276</v>
      </c>
      <c r="DN36" s="19" t="s">
        <v>276</v>
      </c>
      <c r="DO36" s="19" t="s">
        <v>276</v>
      </c>
      <c r="DP36" s="19">
        <v>0</v>
      </c>
      <c r="DQ36" s="19" t="s">
        <v>276</v>
      </c>
      <c r="DR36" s="20" t="s">
        <v>276</v>
      </c>
      <c r="DS36" s="20" t="s">
        <v>276</v>
      </c>
      <c r="DT36" s="19">
        <v>0</v>
      </c>
      <c r="DU36" s="20" t="s">
        <v>276</v>
      </c>
      <c r="DV36" s="20" t="s">
        <v>276</v>
      </c>
      <c r="DW36" s="20" t="s">
        <v>276</v>
      </c>
      <c r="DX36" s="20" t="s">
        <v>276</v>
      </c>
      <c r="DY36" s="19">
        <v>0</v>
      </c>
      <c r="DZ36" s="19">
        <v>897</v>
      </c>
      <c r="EA36" s="19">
        <v>0</v>
      </c>
      <c r="EB36" s="19" t="s">
        <v>276</v>
      </c>
      <c r="EC36" s="19" t="s">
        <v>276</v>
      </c>
      <c r="ED36" s="19">
        <v>0</v>
      </c>
      <c r="EE36" s="19" t="s">
        <v>276</v>
      </c>
      <c r="EF36" s="19" t="s">
        <v>276</v>
      </c>
      <c r="EG36" s="19" t="s">
        <v>276</v>
      </c>
      <c r="EH36" s="19">
        <v>0</v>
      </c>
      <c r="EI36" s="19">
        <v>229</v>
      </c>
      <c r="EJ36" s="19" t="s">
        <v>276</v>
      </c>
      <c r="EK36" s="20" t="s">
        <v>276</v>
      </c>
      <c r="EL36" s="20" t="s">
        <v>276</v>
      </c>
      <c r="EM36" s="20" t="s">
        <v>276</v>
      </c>
      <c r="EN36" s="19">
        <v>526</v>
      </c>
      <c r="EO36" s="19">
        <v>83</v>
      </c>
      <c r="EP36" s="20" t="s">
        <v>276</v>
      </c>
      <c r="EQ36" s="20" t="s">
        <v>276</v>
      </c>
      <c r="ER36" s="20" t="s">
        <v>276</v>
      </c>
      <c r="ES36" s="19">
        <v>0</v>
      </c>
      <c r="ET36" s="19">
        <v>59</v>
      </c>
      <c r="EU36" s="19">
        <v>11568</v>
      </c>
      <c r="EV36" s="19">
        <v>2603</v>
      </c>
      <c r="EW36" s="19">
        <v>33</v>
      </c>
      <c r="EX36" s="19">
        <v>19</v>
      </c>
      <c r="EY36" s="19">
        <v>2831</v>
      </c>
      <c r="EZ36" s="19">
        <v>1729</v>
      </c>
      <c r="FA36" s="19">
        <v>775</v>
      </c>
      <c r="FB36" s="19">
        <v>59</v>
      </c>
      <c r="FC36" s="19">
        <v>2569</v>
      </c>
      <c r="FD36" s="19">
        <v>351</v>
      </c>
      <c r="FE36" s="19">
        <v>0</v>
      </c>
      <c r="FF36" s="19">
        <v>0</v>
      </c>
      <c r="FG36" s="19">
        <v>0</v>
      </c>
      <c r="FH36" s="20" t="s">
        <v>276</v>
      </c>
      <c r="FI36" s="20" t="s">
        <v>276</v>
      </c>
      <c r="FJ36" s="20" t="s">
        <v>276</v>
      </c>
      <c r="FK36" s="19">
        <v>0</v>
      </c>
      <c r="FL36" s="19">
        <v>0</v>
      </c>
      <c r="FM36" s="19">
        <v>0</v>
      </c>
      <c r="FN36" s="19">
        <v>2</v>
      </c>
      <c r="FO36" s="19">
        <v>597</v>
      </c>
    </row>
    <row r="37" spans="1:171" ht="13.5" customHeight="1">
      <c r="A37" s="17" t="s">
        <v>120</v>
      </c>
      <c r="B37" s="18" t="s">
        <v>121</v>
      </c>
      <c r="C37" s="17" t="s">
        <v>59</v>
      </c>
      <c r="D37" s="19">
        <v>38642</v>
      </c>
      <c r="E37" s="19">
        <v>6506</v>
      </c>
      <c r="F37" s="19">
        <v>30</v>
      </c>
      <c r="G37" s="19">
        <v>353</v>
      </c>
      <c r="H37" s="19">
        <v>6003</v>
      </c>
      <c r="I37" s="19">
        <v>2473</v>
      </c>
      <c r="J37" s="19">
        <v>769</v>
      </c>
      <c r="K37" s="19">
        <v>0</v>
      </c>
      <c r="L37" s="19">
        <v>2748</v>
      </c>
      <c r="M37" s="19">
        <v>405</v>
      </c>
      <c r="N37" s="19">
        <v>382</v>
      </c>
      <c r="O37" s="19">
        <v>1945</v>
      </c>
      <c r="P37" s="19">
        <v>36</v>
      </c>
      <c r="Q37" s="19">
        <v>8274</v>
      </c>
      <c r="R37" s="19">
        <v>5661</v>
      </c>
      <c r="S37" s="19">
        <v>0</v>
      </c>
      <c r="T37" s="19">
        <v>663</v>
      </c>
      <c r="U37" s="19">
        <v>0</v>
      </c>
      <c r="V37" s="19">
        <v>0</v>
      </c>
      <c r="W37" s="19">
        <v>10</v>
      </c>
      <c r="X37" s="19">
        <v>2384</v>
      </c>
      <c r="Y37" s="19">
        <v>12392</v>
      </c>
      <c r="Z37" s="19">
        <v>32</v>
      </c>
      <c r="AA37" s="19">
        <v>0</v>
      </c>
      <c r="AB37" s="19">
        <v>0</v>
      </c>
      <c r="AC37" s="19">
        <v>1577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20" t="s">
        <v>276</v>
      </c>
      <c r="AK37" s="20" t="s">
        <v>276</v>
      </c>
      <c r="AL37" s="19">
        <v>8274</v>
      </c>
      <c r="AM37" s="20" t="s">
        <v>276</v>
      </c>
      <c r="AN37" s="20" t="s">
        <v>276</v>
      </c>
      <c r="AO37" s="19">
        <v>663</v>
      </c>
      <c r="AP37" s="20" t="s">
        <v>276</v>
      </c>
      <c r="AQ37" s="19">
        <v>0</v>
      </c>
      <c r="AR37" s="20" t="s">
        <v>276</v>
      </c>
      <c r="AS37" s="19">
        <v>1846</v>
      </c>
      <c r="AT37" s="19">
        <v>3686</v>
      </c>
      <c r="AU37" s="19">
        <v>0</v>
      </c>
      <c r="AV37" s="19">
        <v>0</v>
      </c>
      <c r="AW37" s="19">
        <v>0</v>
      </c>
      <c r="AX37" s="19">
        <v>2995</v>
      </c>
      <c r="AY37" s="19">
        <v>214</v>
      </c>
      <c r="AZ37" s="19">
        <v>22</v>
      </c>
      <c r="BA37" s="19">
        <v>0</v>
      </c>
      <c r="BB37" s="19">
        <v>34</v>
      </c>
      <c r="BC37" s="19">
        <v>11</v>
      </c>
      <c r="BD37" s="19">
        <v>0</v>
      </c>
      <c r="BE37" s="19" t="s">
        <v>276</v>
      </c>
      <c r="BF37" s="19" t="s">
        <v>276</v>
      </c>
      <c r="BG37" s="20" t="s">
        <v>276</v>
      </c>
      <c r="BH37" s="20" t="s">
        <v>276</v>
      </c>
      <c r="BI37" s="20" t="s">
        <v>276</v>
      </c>
      <c r="BJ37" s="20" t="s">
        <v>276</v>
      </c>
      <c r="BK37" s="20" t="s">
        <v>276</v>
      </c>
      <c r="BL37" s="20" t="s">
        <v>276</v>
      </c>
      <c r="BM37" s="20" t="s">
        <v>276</v>
      </c>
      <c r="BN37" s="19">
        <v>410</v>
      </c>
      <c r="BO37" s="19">
        <v>1945</v>
      </c>
      <c r="BP37" s="19" t="s">
        <v>276</v>
      </c>
      <c r="BQ37" s="19" t="s">
        <v>276</v>
      </c>
      <c r="BR37" s="19" t="s">
        <v>276</v>
      </c>
      <c r="BS37" s="19" t="s">
        <v>276</v>
      </c>
      <c r="BT37" s="19" t="s">
        <v>276</v>
      </c>
      <c r="BU37" s="19" t="s">
        <v>276</v>
      </c>
      <c r="BV37" s="19" t="s">
        <v>276</v>
      </c>
      <c r="BW37" s="19" t="s">
        <v>276</v>
      </c>
      <c r="BX37" s="19" t="s">
        <v>276</v>
      </c>
      <c r="BY37" s="19" t="s">
        <v>276</v>
      </c>
      <c r="BZ37" s="19">
        <v>1945</v>
      </c>
      <c r="CA37" s="19" t="s">
        <v>276</v>
      </c>
      <c r="CB37" s="20" t="s">
        <v>276</v>
      </c>
      <c r="CC37" s="20" t="s">
        <v>276</v>
      </c>
      <c r="CD37" s="20" t="s">
        <v>276</v>
      </c>
      <c r="CE37" s="20" t="s">
        <v>276</v>
      </c>
      <c r="CF37" s="20" t="s">
        <v>276</v>
      </c>
      <c r="CG37" s="20" t="s">
        <v>276</v>
      </c>
      <c r="CH37" s="20" t="s">
        <v>276</v>
      </c>
      <c r="CI37" s="19">
        <v>0</v>
      </c>
      <c r="CJ37" s="19">
        <v>36</v>
      </c>
      <c r="CK37" s="19" t="s">
        <v>276</v>
      </c>
      <c r="CL37" s="19" t="s">
        <v>276</v>
      </c>
      <c r="CM37" s="19" t="s">
        <v>276</v>
      </c>
      <c r="CN37" s="19" t="s">
        <v>276</v>
      </c>
      <c r="CO37" s="19" t="s">
        <v>276</v>
      </c>
      <c r="CP37" s="19" t="s">
        <v>276</v>
      </c>
      <c r="CQ37" s="19" t="s">
        <v>276</v>
      </c>
      <c r="CR37" s="19" t="s">
        <v>276</v>
      </c>
      <c r="CS37" s="19" t="s">
        <v>276</v>
      </c>
      <c r="CT37" s="19" t="s">
        <v>276</v>
      </c>
      <c r="CU37" s="19" t="s">
        <v>276</v>
      </c>
      <c r="CV37" s="19">
        <v>36</v>
      </c>
      <c r="CW37" s="20" t="s">
        <v>276</v>
      </c>
      <c r="CX37" s="20" t="s">
        <v>276</v>
      </c>
      <c r="CY37" s="20" t="s">
        <v>276</v>
      </c>
      <c r="CZ37" s="20" t="s">
        <v>276</v>
      </c>
      <c r="DA37" s="20" t="s">
        <v>276</v>
      </c>
      <c r="DB37" s="20" t="s">
        <v>276</v>
      </c>
      <c r="DC37" s="20" t="s">
        <v>276</v>
      </c>
      <c r="DD37" s="19">
        <v>0</v>
      </c>
      <c r="DE37" s="19">
        <v>0</v>
      </c>
      <c r="DF37" s="19" t="s">
        <v>276</v>
      </c>
      <c r="DG37" s="19" t="s">
        <v>276</v>
      </c>
      <c r="DH37" s="19" t="s">
        <v>276</v>
      </c>
      <c r="DI37" s="19" t="s">
        <v>276</v>
      </c>
      <c r="DJ37" s="19" t="s">
        <v>276</v>
      </c>
      <c r="DK37" s="19" t="s">
        <v>276</v>
      </c>
      <c r="DL37" s="19" t="s">
        <v>276</v>
      </c>
      <c r="DM37" s="19" t="s">
        <v>276</v>
      </c>
      <c r="DN37" s="19" t="s">
        <v>276</v>
      </c>
      <c r="DO37" s="19" t="s">
        <v>276</v>
      </c>
      <c r="DP37" s="19">
        <v>0</v>
      </c>
      <c r="DQ37" s="19" t="s">
        <v>276</v>
      </c>
      <c r="DR37" s="20" t="s">
        <v>276</v>
      </c>
      <c r="DS37" s="20" t="s">
        <v>276</v>
      </c>
      <c r="DT37" s="19">
        <v>0</v>
      </c>
      <c r="DU37" s="20" t="s">
        <v>276</v>
      </c>
      <c r="DV37" s="20" t="s">
        <v>276</v>
      </c>
      <c r="DW37" s="20" t="s">
        <v>276</v>
      </c>
      <c r="DX37" s="20" t="s">
        <v>276</v>
      </c>
      <c r="DY37" s="19">
        <v>0</v>
      </c>
      <c r="DZ37" s="19">
        <v>5661</v>
      </c>
      <c r="EA37" s="19">
        <v>0</v>
      </c>
      <c r="EB37" s="19" t="s">
        <v>276</v>
      </c>
      <c r="EC37" s="19" t="s">
        <v>276</v>
      </c>
      <c r="ED37" s="19">
        <v>0</v>
      </c>
      <c r="EE37" s="19" t="s">
        <v>276</v>
      </c>
      <c r="EF37" s="19" t="s">
        <v>276</v>
      </c>
      <c r="EG37" s="19" t="s">
        <v>276</v>
      </c>
      <c r="EH37" s="19">
        <v>0</v>
      </c>
      <c r="EI37" s="19">
        <v>0</v>
      </c>
      <c r="EJ37" s="19" t="s">
        <v>276</v>
      </c>
      <c r="EK37" s="20" t="s">
        <v>276</v>
      </c>
      <c r="EL37" s="20" t="s">
        <v>276</v>
      </c>
      <c r="EM37" s="20" t="s">
        <v>276</v>
      </c>
      <c r="EN37" s="19">
        <v>5661</v>
      </c>
      <c r="EO37" s="19">
        <v>0</v>
      </c>
      <c r="EP37" s="20" t="s">
        <v>276</v>
      </c>
      <c r="EQ37" s="20" t="s">
        <v>276</v>
      </c>
      <c r="ER37" s="20" t="s">
        <v>276</v>
      </c>
      <c r="ES37" s="19">
        <v>0</v>
      </c>
      <c r="ET37" s="19">
        <v>0</v>
      </c>
      <c r="EU37" s="19">
        <v>14922</v>
      </c>
      <c r="EV37" s="19">
        <v>6474</v>
      </c>
      <c r="EW37" s="19">
        <v>30</v>
      </c>
      <c r="EX37" s="19">
        <v>353</v>
      </c>
      <c r="EY37" s="19">
        <v>1431</v>
      </c>
      <c r="EZ37" s="19">
        <v>2259</v>
      </c>
      <c r="FA37" s="19">
        <v>747</v>
      </c>
      <c r="FB37" s="19">
        <v>0</v>
      </c>
      <c r="FC37" s="19">
        <v>2714</v>
      </c>
      <c r="FD37" s="19">
        <v>394</v>
      </c>
      <c r="FE37" s="19">
        <v>382</v>
      </c>
      <c r="FF37" s="19">
        <v>0</v>
      </c>
      <c r="FG37" s="19">
        <v>0</v>
      </c>
      <c r="FH37" s="20" t="s">
        <v>276</v>
      </c>
      <c r="FI37" s="20" t="s">
        <v>276</v>
      </c>
      <c r="FJ37" s="20" t="s">
        <v>276</v>
      </c>
      <c r="FK37" s="19">
        <v>0</v>
      </c>
      <c r="FL37" s="19">
        <v>0</v>
      </c>
      <c r="FM37" s="19">
        <v>0</v>
      </c>
      <c r="FN37" s="19">
        <v>10</v>
      </c>
      <c r="FO37" s="19">
        <v>128</v>
      </c>
    </row>
    <row r="38" spans="1:171" ht="13.5" customHeight="1">
      <c r="A38" s="17" t="s">
        <v>122</v>
      </c>
      <c r="B38" s="18" t="s">
        <v>123</v>
      </c>
      <c r="C38" s="17" t="s">
        <v>59</v>
      </c>
      <c r="D38" s="19">
        <v>112270</v>
      </c>
      <c r="E38" s="19">
        <v>2732</v>
      </c>
      <c r="F38" s="19">
        <v>6</v>
      </c>
      <c r="G38" s="19">
        <v>42</v>
      </c>
      <c r="H38" s="19">
        <v>9866</v>
      </c>
      <c r="I38" s="19">
        <v>7940</v>
      </c>
      <c r="J38" s="19">
        <v>2467</v>
      </c>
      <c r="K38" s="19">
        <v>29</v>
      </c>
      <c r="L38" s="19">
        <v>2508</v>
      </c>
      <c r="M38" s="19">
        <v>19</v>
      </c>
      <c r="N38" s="19">
        <v>425</v>
      </c>
      <c r="O38" s="19">
        <v>39</v>
      </c>
      <c r="P38" s="19">
        <v>0</v>
      </c>
      <c r="Q38" s="19">
        <v>14655</v>
      </c>
      <c r="R38" s="19">
        <v>282</v>
      </c>
      <c r="S38" s="19">
        <v>0</v>
      </c>
      <c r="T38" s="19">
        <v>16347</v>
      </c>
      <c r="U38" s="19">
        <v>0</v>
      </c>
      <c r="V38" s="19">
        <v>1173</v>
      </c>
      <c r="W38" s="19">
        <v>15</v>
      </c>
      <c r="X38" s="19">
        <v>53725</v>
      </c>
      <c r="Y38" s="19">
        <v>85947</v>
      </c>
      <c r="Z38" s="19">
        <v>46</v>
      </c>
      <c r="AA38" s="19">
        <v>0</v>
      </c>
      <c r="AB38" s="19">
        <v>0</v>
      </c>
      <c r="AC38" s="19">
        <v>2524</v>
      </c>
      <c r="AD38" s="19">
        <v>3</v>
      </c>
      <c r="AE38" s="19">
        <v>1</v>
      </c>
      <c r="AF38" s="19">
        <v>0</v>
      </c>
      <c r="AG38" s="19">
        <v>0</v>
      </c>
      <c r="AH38" s="19">
        <v>0</v>
      </c>
      <c r="AI38" s="19">
        <v>0</v>
      </c>
      <c r="AJ38" s="20" t="s">
        <v>276</v>
      </c>
      <c r="AK38" s="20" t="s">
        <v>276</v>
      </c>
      <c r="AL38" s="19">
        <v>14655</v>
      </c>
      <c r="AM38" s="20" t="s">
        <v>276</v>
      </c>
      <c r="AN38" s="20" t="s">
        <v>276</v>
      </c>
      <c r="AO38" s="19">
        <v>16347</v>
      </c>
      <c r="AP38" s="20" t="s">
        <v>276</v>
      </c>
      <c r="AQ38" s="19">
        <v>1173</v>
      </c>
      <c r="AR38" s="20" t="s">
        <v>276</v>
      </c>
      <c r="AS38" s="19">
        <v>51198</v>
      </c>
      <c r="AT38" s="19">
        <v>6287</v>
      </c>
      <c r="AU38" s="19">
        <v>0</v>
      </c>
      <c r="AV38" s="19">
        <v>0</v>
      </c>
      <c r="AW38" s="19">
        <v>0</v>
      </c>
      <c r="AX38" s="19">
        <v>5164</v>
      </c>
      <c r="AY38" s="19">
        <v>21</v>
      </c>
      <c r="AZ38" s="19">
        <v>0</v>
      </c>
      <c r="BA38" s="19">
        <v>0</v>
      </c>
      <c r="BB38" s="19">
        <v>18</v>
      </c>
      <c r="BC38" s="19">
        <v>0</v>
      </c>
      <c r="BD38" s="19">
        <v>0</v>
      </c>
      <c r="BE38" s="19" t="s">
        <v>276</v>
      </c>
      <c r="BF38" s="19" t="s">
        <v>276</v>
      </c>
      <c r="BG38" s="20" t="s">
        <v>276</v>
      </c>
      <c r="BH38" s="20" t="s">
        <v>276</v>
      </c>
      <c r="BI38" s="20" t="s">
        <v>276</v>
      </c>
      <c r="BJ38" s="20" t="s">
        <v>276</v>
      </c>
      <c r="BK38" s="20" t="s">
        <v>276</v>
      </c>
      <c r="BL38" s="20" t="s">
        <v>276</v>
      </c>
      <c r="BM38" s="20" t="s">
        <v>276</v>
      </c>
      <c r="BN38" s="19">
        <v>1084</v>
      </c>
      <c r="BO38" s="19">
        <v>39</v>
      </c>
      <c r="BP38" s="19" t="s">
        <v>276</v>
      </c>
      <c r="BQ38" s="19" t="s">
        <v>276</v>
      </c>
      <c r="BR38" s="19" t="s">
        <v>276</v>
      </c>
      <c r="BS38" s="19" t="s">
        <v>276</v>
      </c>
      <c r="BT38" s="19" t="s">
        <v>276</v>
      </c>
      <c r="BU38" s="19" t="s">
        <v>276</v>
      </c>
      <c r="BV38" s="19" t="s">
        <v>276</v>
      </c>
      <c r="BW38" s="19" t="s">
        <v>276</v>
      </c>
      <c r="BX38" s="19" t="s">
        <v>276</v>
      </c>
      <c r="BY38" s="19" t="s">
        <v>276</v>
      </c>
      <c r="BZ38" s="19">
        <v>39</v>
      </c>
      <c r="CA38" s="19" t="s">
        <v>276</v>
      </c>
      <c r="CB38" s="20" t="s">
        <v>276</v>
      </c>
      <c r="CC38" s="20" t="s">
        <v>276</v>
      </c>
      <c r="CD38" s="20" t="s">
        <v>276</v>
      </c>
      <c r="CE38" s="20" t="s">
        <v>276</v>
      </c>
      <c r="CF38" s="20" t="s">
        <v>276</v>
      </c>
      <c r="CG38" s="20" t="s">
        <v>276</v>
      </c>
      <c r="CH38" s="20" t="s">
        <v>276</v>
      </c>
      <c r="CI38" s="19">
        <v>0</v>
      </c>
      <c r="CJ38" s="19">
        <v>0</v>
      </c>
      <c r="CK38" s="19" t="s">
        <v>276</v>
      </c>
      <c r="CL38" s="19" t="s">
        <v>276</v>
      </c>
      <c r="CM38" s="19" t="s">
        <v>276</v>
      </c>
      <c r="CN38" s="19" t="s">
        <v>276</v>
      </c>
      <c r="CO38" s="19" t="s">
        <v>276</v>
      </c>
      <c r="CP38" s="19" t="s">
        <v>276</v>
      </c>
      <c r="CQ38" s="19" t="s">
        <v>276</v>
      </c>
      <c r="CR38" s="19" t="s">
        <v>276</v>
      </c>
      <c r="CS38" s="19" t="s">
        <v>276</v>
      </c>
      <c r="CT38" s="19" t="s">
        <v>276</v>
      </c>
      <c r="CU38" s="19" t="s">
        <v>276</v>
      </c>
      <c r="CV38" s="19">
        <v>0</v>
      </c>
      <c r="CW38" s="20" t="s">
        <v>276</v>
      </c>
      <c r="CX38" s="20" t="s">
        <v>276</v>
      </c>
      <c r="CY38" s="20" t="s">
        <v>276</v>
      </c>
      <c r="CZ38" s="20" t="s">
        <v>276</v>
      </c>
      <c r="DA38" s="20" t="s">
        <v>276</v>
      </c>
      <c r="DB38" s="20" t="s">
        <v>276</v>
      </c>
      <c r="DC38" s="20" t="s">
        <v>276</v>
      </c>
      <c r="DD38" s="19">
        <v>0</v>
      </c>
      <c r="DE38" s="19">
        <v>389</v>
      </c>
      <c r="DF38" s="19" t="s">
        <v>276</v>
      </c>
      <c r="DG38" s="19" t="s">
        <v>276</v>
      </c>
      <c r="DH38" s="19" t="s">
        <v>276</v>
      </c>
      <c r="DI38" s="19" t="s">
        <v>276</v>
      </c>
      <c r="DJ38" s="19" t="s">
        <v>276</v>
      </c>
      <c r="DK38" s="19" t="s">
        <v>276</v>
      </c>
      <c r="DL38" s="19" t="s">
        <v>276</v>
      </c>
      <c r="DM38" s="19" t="s">
        <v>276</v>
      </c>
      <c r="DN38" s="19" t="s">
        <v>276</v>
      </c>
      <c r="DO38" s="19" t="s">
        <v>276</v>
      </c>
      <c r="DP38" s="19">
        <v>0</v>
      </c>
      <c r="DQ38" s="19" t="s">
        <v>276</v>
      </c>
      <c r="DR38" s="20" t="s">
        <v>276</v>
      </c>
      <c r="DS38" s="20" t="s">
        <v>276</v>
      </c>
      <c r="DT38" s="19">
        <v>0</v>
      </c>
      <c r="DU38" s="20" t="s">
        <v>276</v>
      </c>
      <c r="DV38" s="20" t="s">
        <v>276</v>
      </c>
      <c r="DW38" s="20" t="s">
        <v>276</v>
      </c>
      <c r="DX38" s="20" t="s">
        <v>276</v>
      </c>
      <c r="DY38" s="19">
        <v>389</v>
      </c>
      <c r="DZ38" s="19">
        <v>431</v>
      </c>
      <c r="EA38" s="19">
        <v>0</v>
      </c>
      <c r="EB38" s="19" t="s">
        <v>276</v>
      </c>
      <c r="EC38" s="19" t="s">
        <v>276</v>
      </c>
      <c r="ED38" s="19">
        <v>0</v>
      </c>
      <c r="EE38" s="19" t="s">
        <v>276</v>
      </c>
      <c r="EF38" s="19" t="s">
        <v>276</v>
      </c>
      <c r="EG38" s="19" t="s">
        <v>276</v>
      </c>
      <c r="EH38" s="19">
        <v>146</v>
      </c>
      <c r="EI38" s="19">
        <v>3</v>
      </c>
      <c r="EJ38" s="19" t="s">
        <v>276</v>
      </c>
      <c r="EK38" s="20" t="s">
        <v>276</v>
      </c>
      <c r="EL38" s="20" t="s">
        <v>276</v>
      </c>
      <c r="EM38" s="20" t="s">
        <v>276</v>
      </c>
      <c r="EN38" s="19">
        <v>282</v>
      </c>
      <c r="EO38" s="19">
        <v>0</v>
      </c>
      <c r="EP38" s="20" t="s">
        <v>276</v>
      </c>
      <c r="EQ38" s="20" t="s">
        <v>276</v>
      </c>
      <c r="ER38" s="20" t="s">
        <v>276</v>
      </c>
      <c r="ES38" s="19">
        <v>0</v>
      </c>
      <c r="ET38" s="19">
        <v>0</v>
      </c>
      <c r="EU38" s="19">
        <v>19177</v>
      </c>
      <c r="EV38" s="19">
        <v>2686</v>
      </c>
      <c r="EW38" s="19">
        <v>6</v>
      </c>
      <c r="EX38" s="19">
        <v>42</v>
      </c>
      <c r="EY38" s="19">
        <v>2178</v>
      </c>
      <c r="EZ38" s="19">
        <v>7916</v>
      </c>
      <c r="FA38" s="19">
        <v>2466</v>
      </c>
      <c r="FB38" s="19">
        <v>29</v>
      </c>
      <c r="FC38" s="19">
        <v>2344</v>
      </c>
      <c r="FD38" s="19">
        <v>16</v>
      </c>
      <c r="FE38" s="19">
        <v>425</v>
      </c>
      <c r="FF38" s="19">
        <v>0</v>
      </c>
      <c r="FG38" s="19">
        <v>0</v>
      </c>
      <c r="FH38" s="20" t="s">
        <v>276</v>
      </c>
      <c r="FI38" s="20" t="s">
        <v>276</v>
      </c>
      <c r="FJ38" s="20" t="s">
        <v>276</v>
      </c>
      <c r="FK38" s="19">
        <v>0</v>
      </c>
      <c r="FL38" s="19">
        <v>0</v>
      </c>
      <c r="FM38" s="19">
        <v>0</v>
      </c>
      <c r="FN38" s="19">
        <v>15</v>
      </c>
      <c r="FO38" s="19">
        <v>1054</v>
      </c>
    </row>
    <row r="39" spans="1:171" ht="13.5" customHeight="1">
      <c r="A39" s="17" t="s">
        <v>124</v>
      </c>
      <c r="B39" s="18" t="s">
        <v>125</v>
      </c>
      <c r="C39" s="17" t="s">
        <v>59</v>
      </c>
      <c r="D39" s="19">
        <v>155956</v>
      </c>
      <c r="E39" s="19">
        <v>28300</v>
      </c>
      <c r="F39" s="19">
        <v>20</v>
      </c>
      <c r="G39" s="19">
        <v>100</v>
      </c>
      <c r="H39" s="19">
        <v>18341</v>
      </c>
      <c r="I39" s="19">
        <v>10487</v>
      </c>
      <c r="J39" s="19">
        <v>4786</v>
      </c>
      <c r="K39" s="19">
        <v>10</v>
      </c>
      <c r="L39" s="19">
        <v>21895</v>
      </c>
      <c r="M39" s="19">
        <v>774</v>
      </c>
      <c r="N39" s="19">
        <v>1311</v>
      </c>
      <c r="O39" s="19">
        <v>1328</v>
      </c>
      <c r="P39" s="19">
        <v>0</v>
      </c>
      <c r="Q39" s="19">
        <v>3264</v>
      </c>
      <c r="R39" s="19">
        <v>57820</v>
      </c>
      <c r="S39" s="19">
        <v>97</v>
      </c>
      <c r="T39" s="19">
        <v>1998</v>
      </c>
      <c r="U39" s="19">
        <v>0</v>
      </c>
      <c r="V39" s="19">
        <v>2479</v>
      </c>
      <c r="W39" s="19">
        <v>0</v>
      </c>
      <c r="X39" s="19">
        <v>2946</v>
      </c>
      <c r="Y39" s="19">
        <v>8713</v>
      </c>
      <c r="Z39" s="19">
        <v>0</v>
      </c>
      <c r="AA39" s="19">
        <v>0</v>
      </c>
      <c r="AB39" s="19">
        <v>0</v>
      </c>
      <c r="AC39" s="19">
        <v>972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20" t="s">
        <v>276</v>
      </c>
      <c r="AK39" s="20" t="s">
        <v>276</v>
      </c>
      <c r="AL39" s="19">
        <v>3264</v>
      </c>
      <c r="AM39" s="20" t="s">
        <v>276</v>
      </c>
      <c r="AN39" s="20" t="s">
        <v>276</v>
      </c>
      <c r="AO39" s="19">
        <v>1998</v>
      </c>
      <c r="AP39" s="20" t="s">
        <v>276</v>
      </c>
      <c r="AQ39" s="19">
        <v>2479</v>
      </c>
      <c r="AR39" s="20" t="s">
        <v>276</v>
      </c>
      <c r="AS39" s="19">
        <v>0</v>
      </c>
      <c r="AT39" s="19">
        <v>13419</v>
      </c>
      <c r="AU39" s="19">
        <v>0</v>
      </c>
      <c r="AV39" s="19">
        <v>0</v>
      </c>
      <c r="AW39" s="19">
        <v>0</v>
      </c>
      <c r="AX39" s="19">
        <v>7991</v>
      </c>
      <c r="AY39" s="19">
        <v>385</v>
      </c>
      <c r="AZ39" s="19">
        <v>1147</v>
      </c>
      <c r="BA39" s="19">
        <v>0</v>
      </c>
      <c r="BB39" s="19">
        <v>3152</v>
      </c>
      <c r="BC39" s="19">
        <v>10</v>
      </c>
      <c r="BD39" s="19">
        <v>0</v>
      </c>
      <c r="BE39" s="19" t="s">
        <v>276</v>
      </c>
      <c r="BF39" s="19" t="s">
        <v>276</v>
      </c>
      <c r="BG39" s="20" t="s">
        <v>276</v>
      </c>
      <c r="BH39" s="20" t="s">
        <v>276</v>
      </c>
      <c r="BI39" s="20" t="s">
        <v>276</v>
      </c>
      <c r="BJ39" s="20" t="s">
        <v>276</v>
      </c>
      <c r="BK39" s="20" t="s">
        <v>276</v>
      </c>
      <c r="BL39" s="20" t="s">
        <v>276</v>
      </c>
      <c r="BM39" s="20" t="s">
        <v>276</v>
      </c>
      <c r="BN39" s="19">
        <v>734</v>
      </c>
      <c r="BO39" s="19">
        <v>1328</v>
      </c>
      <c r="BP39" s="19" t="s">
        <v>276</v>
      </c>
      <c r="BQ39" s="19" t="s">
        <v>276</v>
      </c>
      <c r="BR39" s="19" t="s">
        <v>276</v>
      </c>
      <c r="BS39" s="19" t="s">
        <v>276</v>
      </c>
      <c r="BT39" s="19" t="s">
        <v>276</v>
      </c>
      <c r="BU39" s="19" t="s">
        <v>276</v>
      </c>
      <c r="BV39" s="19" t="s">
        <v>276</v>
      </c>
      <c r="BW39" s="19" t="s">
        <v>276</v>
      </c>
      <c r="BX39" s="19" t="s">
        <v>276</v>
      </c>
      <c r="BY39" s="19" t="s">
        <v>276</v>
      </c>
      <c r="BZ39" s="19">
        <v>1328</v>
      </c>
      <c r="CA39" s="19" t="s">
        <v>276</v>
      </c>
      <c r="CB39" s="20" t="s">
        <v>276</v>
      </c>
      <c r="CC39" s="20" t="s">
        <v>276</v>
      </c>
      <c r="CD39" s="20" t="s">
        <v>276</v>
      </c>
      <c r="CE39" s="20" t="s">
        <v>276</v>
      </c>
      <c r="CF39" s="20" t="s">
        <v>276</v>
      </c>
      <c r="CG39" s="20" t="s">
        <v>276</v>
      </c>
      <c r="CH39" s="20" t="s">
        <v>276</v>
      </c>
      <c r="CI39" s="19">
        <v>0</v>
      </c>
      <c r="CJ39" s="19">
        <v>0</v>
      </c>
      <c r="CK39" s="19" t="s">
        <v>276</v>
      </c>
      <c r="CL39" s="19" t="s">
        <v>276</v>
      </c>
      <c r="CM39" s="19" t="s">
        <v>276</v>
      </c>
      <c r="CN39" s="19" t="s">
        <v>276</v>
      </c>
      <c r="CO39" s="19" t="s">
        <v>276</v>
      </c>
      <c r="CP39" s="19" t="s">
        <v>276</v>
      </c>
      <c r="CQ39" s="19" t="s">
        <v>276</v>
      </c>
      <c r="CR39" s="19" t="s">
        <v>276</v>
      </c>
      <c r="CS39" s="19" t="s">
        <v>276</v>
      </c>
      <c r="CT39" s="19" t="s">
        <v>276</v>
      </c>
      <c r="CU39" s="19" t="s">
        <v>276</v>
      </c>
      <c r="CV39" s="19">
        <v>0</v>
      </c>
      <c r="CW39" s="20" t="s">
        <v>276</v>
      </c>
      <c r="CX39" s="20" t="s">
        <v>276</v>
      </c>
      <c r="CY39" s="20" t="s">
        <v>276</v>
      </c>
      <c r="CZ39" s="20" t="s">
        <v>276</v>
      </c>
      <c r="DA39" s="20" t="s">
        <v>276</v>
      </c>
      <c r="DB39" s="20" t="s">
        <v>276</v>
      </c>
      <c r="DC39" s="20" t="s">
        <v>276</v>
      </c>
      <c r="DD39" s="19">
        <v>0</v>
      </c>
      <c r="DE39" s="19">
        <v>0</v>
      </c>
      <c r="DF39" s="19" t="s">
        <v>276</v>
      </c>
      <c r="DG39" s="19" t="s">
        <v>276</v>
      </c>
      <c r="DH39" s="19" t="s">
        <v>276</v>
      </c>
      <c r="DI39" s="19" t="s">
        <v>276</v>
      </c>
      <c r="DJ39" s="19" t="s">
        <v>276</v>
      </c>
      <c r="DK39" s="19" t="s">
        <v>276</v>
      </c>
      <c r="DL39" s="19" t="s">
        <v>276</v>
      </c>
      <c r="DM39" s="19" t="s">
        <v>276</v>
      </c>
      <c r="DN39" s="19" t="s">
        <v>276</v>
      </c>
      <c r="DO39" s="19" t="s">
        <v>276</v>
      </c>
      <c r="DP39" s="19">
        <v>0</v>
      </c>
      <c r="DQ39" s="19" t="s">
        <v>276</v>
      </c>
      <c r="DR39" s="20" t="s">
        <v>276</v>
      </c>
      <c r="DS39" s="20" t="s">
        <v>276</v>
      </c>
      <c r="DT39" s="19">
        <v>0</v>
      </c>
      <c r="DU39" s="20" t="s">
        <v>276</v>
      </c>
      <c r="DV39" s="20" t="s">
        <v>276</v>
      </c>
      <c r="DW39" s="20" t="s">
        <v>276</v>
      </c>
      <c r="DX39" s="20" t="s">
        <v>276</v>
      </c>
      <c r="DY39" s="19">
        <v>0</v>
      </c>
      <c r="DZ39" s="19">
        <v>57918</v>
      </c>
      <c r="EA39" s="19">
        <v>0</v>
      </c>
      <c r="EB39" s="19" t="s">
        <v>276</v>
      </c>
      <c r="EC39" s="19" t="s">
        <v>276</v>
      </c>
      <c r="ED39" s="19">
        <v>0</v>
      </c>
      <c r="EE39" s="19" t="s">
        <v>276</v>
      </c>
      <c r="EF39" s="19" t="s">
        <v>276</v>
      </c>
      <c r="EG39" s="19" t="s">
        <v>276</v>
      </c>
      <c r="EH39" s="19">
        <v>0</v>
      </c>
      <c r="EI39" s="19">
        <v>0</v>
      </c>
      <c r="EJ39" s="19" t="s">
        <v>276</v>
      </c>
      <c r="EK39" s="20" t="s">
        <v>276</v>
      </c>
      <c r="EL39" s="20" t="s">
        <v>276</v>
      </c>
      <c r="EM39" s="20" t="s">
        <v>276</v>
      </c>
      <c r="EN39" s="19">
        <v>57820</v>
      </c>
      <c r="EO39" s="19">
        <v>97</v>
      </c>
      <c r="EP39" s="20" t="s">
        <v>276</v>
      </c>
      <c r="EQ39" s="20" t="s">
        <v>276</v>
      </c>
      <c r="ER39" s="20" t="s">
        <v>276</v>
      </c>
      <c r="ES39" s="19">
        <v>0</v>
      </c>
      <c r="ET39" s="19">
        <v>1</v>
      </c>
      <c r="EU39" s="19">
        <v>74578</v>
      </c>
      <c r="EV39" s="19">
        <v>28300</v>
      </c>
      <c r="EW39" s="19">
        <v>20</v>
      </c>
      <c r="EX39" s="19">
        <v>100</v>
      </c>
      <c r="EY39" s="19">
        <v>9378</v>
      </c>
      <c r="EZ39" s="19">
        <v>10102</v>
      </c>
      <c r="FA39" s="19">
        <v>3639</v>
      </c>
      <c r="FB39" s="19">
        <v>10</v>
      </c>
      <c r="FC39" s="19">
        <v>18743</v>
      </c>
      <c r="FD39" s="19">
        <v>764</v>
      </c>
      <c r="FE39" s="19">
        <v>1311</v>
      </c>
      <c r="FF39" s="19">
        <v>0</v>
      </c>
      <c r="FG39" s="19">
        <v>0</v>
      </c>
      <c r="FH39" s="20" t="s">
        <v>276</v>
      </c>
      <c r="FI39" s="20" t="s">
        <v>276</v>
      </c>
      <c r="FJ39" s="20" t="s">
        <v>276</v>
      </c>
      <c r="FK39" s="19">
        <v>0</v>
      </c>
      <c r="FL39" s="19">
        <v>0</v>
      </c>
      <c r="FM39" s="19">
        <v>0</v>
      </c>
      <c r="FN39" s="19">
        <v>0</v>
      </c>
      <c r="FO39" s="19">
        <v>2211</v>
      </c>
    </row>
    <row r="40" spans="1:171" ht="13.5" customHeight="1">
      <c r="A40" s="17" t="s">
        <v>126</v>
      </c>
      <c r="B40" s="18" t="s">
        <v>127</v>
      </c>
      <c r="C40" s="17" t="s">
        <v>59</v>
      </c>
      <c r="D40" s="19">
        <v>125175</v>
      </c>
      <c r="E40" s="19">
        <v>1260</v>
      </c>
      <c r="F40" s="19">
        <v>31</v>
      </c>
      <c r="G40" s="19">
        <v>622</v>
      </c>
      <c r="H40" s="19">
        <v>10399</v>
      </c>
      <c r="I40" s="19">
        <v>6299</v>
      </c>
      <c r="J40" s="19">
        <v>2521</v>
      </c>
      <c r="K40" s="19">
        <v>10</v>
      </c>
      <c r="L40" s="19">
        <v>11014</v>
      </c>
      <c r="M40" s="19">
        <v>2804</v>
      </c>
      <c r="N40" s="19">
        <v>71</v>
      </c>
      <c r="O40" s="19">
        <v>0</v>
      </c>
      <c r="P40" s="19">
        <v>0</v>
      </c>
      <c r="Q40" s="19">
        <v>712</v>
      </c>
      <c r="R40" s="19">
        <v>6315</v>
      </c>
      <c r="S40" s="19">
        <v>0</v>
      </c>
      <c r="T40" s="19">
        <v>34388</v>
      </c>
      <c r="U40" s="19">
        <v>0</v>
      </c>
      <c r="V40" s="19">
        <v>0</v>
      </c>
      <c r="W40" s="19">
        <v>54</v>
      </c>
      <c r="X40" s="19">
        <v>48675</v>
      </c>
      <c r="Y40" s="19">
        <v>79740</v>
      </c>
      <c r="Z40" s="19">
        <v>0</v>
      </c>
      <c r="AA40" s="19">
        <v>0</v>
      </c>
      <c r="AB40" s="19">
        <v>0</v>
      </c>
      <c r="AC40" s="19">
        <v>54</v>
      </c>
      <c r="AD40" s="19">
        <v>0</v>
      </c>
      <c r="AE40" s="19">
        <v>0</v>
      </c>
      <c r="AF40" s="19">
        <v>0</v>
      </c>
      <c r="AG40" s="19">
        <v>0</v>
      </c>
      <c r="AH40" s="19">
        <v>233</v>
      </c>
      <c r="AI40" s="19">
        <v>0</v>
      </c>
      <c r="AJ40" s="20" t="s">
        <v>276</v>
      </c>
      <c r="AK40" s="20" t="s">
        <v>276</v>
      </c>
      <c r="AL40" s="19">
        <v>712</v>
      </c>
      <c r="AM40" s="20" t="s">
        <v>276</v>
      </c>
      <c r="AN40" s="20" t="s">
        <v>276</v>
      </c>
      <c r="AO40" s="19">
        <v>34388</v>
      </c>
      <c r="AP40" s="20" t="s">
        <v>276</v>
      </c>
      <c r="AQ40" s="19">
        <v>0</v>
      </c>
      <c r="AR40" s="20" t="s">
        <v>276</v>
      </c>
      <c r="AS40" s="19">
        <v>44353</v>
      </c>
      <c r="AT40" s="19">
        <v>3184</v>
      </c>
      <c r="AU40" s="19">
        <v>0</v>
      </c>
      <c r="AV40" s="19">
        <v>0</v>
      </c>
      <c r="AW40" s="19">
        <v>0</v>
      </c>
      <c r="AX40" s="19">
        <v>3003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5</v>
      </c>
      <c r="BE40" s="19" t="s">
        <v>276</v>
      </c>
      <c r="BF40" s="19" t="s">
        <v>276</v>
      </c>
      <c r="BG40" s="20" t="s">
        <v>276</v>
      </c>
      <c r="BH40" s="20" t="s">
        <v>276</v>
      </c>
      <c r="BI40" s="20" t="s">
        <v>276</v>
      </c>
      <c r="BJ40" s="20" t="s">
        <v>276</v>
      </c>
      <c r="BK40" s="20" t="s">
        <v>276</v>
      </c>
      <c r="BL40" s="20" t="s">
        <v>276</v>
      </c>
      <c r="BM40" s="20" t="s">
        <v>276</v>
      </c>
      <c r="BN40" s="19">
        <v>176</v>
      </c>
      <c r="BO40" s="19">
        <v>0</v>
      </c>
      <c r="BP40" s="19" t="s">
        <v>276</v>
      </c>
      <c r="BQ40" s="19" t="s">
        <v>276</v>
      </c>
      <c r="BR40" s="19" t="s">
        <v>276</v>
      </c>
      <c r="BS40" s="19" t="s">
        <v>276</v>
      </c>
      <c r="BT40" s="19" t="s">
        <v>276</v>
      </c>
      <c r="BU40" s="19" t="s">
        <v>276</v>
      </c>
      <c r="BV40" s="19" t="s">
        <v>276</v>
      </c>
      <c r="BW40" s="19" t="s">
        <v>276</v>
      </c>
      <c r="BX40" s="19" t="s">
        <v>276</v>
      </c>
      <c r="BY40" s="19" t="s">
        <v>276</v>
      </c>
      <c r="BZ40" s="19">
        <v>0</v>
      </c>
      <c r="CA40" s="19" t="s">
        <v>276</v>
      </c>
      <c r="CB40" s="20" t="s">
        <v>276</v>
      </c>
      <c r="CC40" s="20" t="s">
        <v>276</v>
      </c>
      <c r="CD40" s="20" t="s">
        <v>276</v>
      </c>
      <c r="CE40" s="20" t="s">
        <v>276</v>
      </c>
      <c r="CF40" s="20" t="s">
        <v>276</v>
      </c>
      <c r="CG40" s="20" t="s">
        <v>276</v>
      </c>
      <c r="CH40" s="20" t="s">
        <v>276</v>
      </c>
      <c r="CI40" s="19">
        <v>0</v>
      </c>
      <c r="CJ40" s="19">
        <v>0</v>
      </c>
      <c r="CK40" s="19" t="s">
        <v>276</v>
      </c>
      <c r="CL40" s="19" t="s">
        <v>276</v>
      </c>
      <c r="CM40" s="19" t="s">
        <v>276</v>
      </c>
      <c r="CN40" s="19" t="s">
        <v>276</v>
      </c>
      <c r="CO40" s="19" t="s">
        <v>276</v>
      </c>
      <c r="CP40" s="19" t="s">
        <v>276</v>
      </c>
      <c r="CQ40" s="19" t="s">
        <v>276</v>
      </c>
      <c r="CR40" s="19" t="s">
        <v>276</v>
      </c>
      <c r="CS40" s="19" t="s">
        <v>276</v>
      </c>
      <c r="CT40" s="19" t="s">
        <v>276</v>
      </c>
      <c r="CU40" s="19" t="s">
        <v>276</v>
      </c>
      <c r="CV40" s="19">
        <v>0</v>
      </c>
      <c r="CW40" s="20" t="s">
        <v>276</v>
      </c>
      <c r="CX40" s="20" t="s">
        <v>276</v>
      </c>
      <c r="CY40" s="20" t="s">
        <v>276</v>
      </c>
      <c r="CZ40" s="20" t="s">
        <v>276</v>
      </c>
      <c r="DA40" s="20" t="s">
        <v>276</v>
      </c>
      <c r="DB40" s="20" t="s">
        <v>276</v>
      </c>
      <c r="DC40" s="20" t="s">
        <v>276</v>
      </c>
      <c r="DD40" s="19">
        <v>0</v>
      </c>
      <c r="DE40" s="19">
        <v>3162</v>
      </c>
      <c r="DF40" s="19" t="s">
        <v>276</v>
      </c>
      <c r="DG40" s="19" t="s">
        <v>276</v>
      </c>
      <c r="DH40" s="19" t="s">
        <v>276</v>
      </c>
      <c r="DI40" s="19" t="s">
        <v>276</v>
      </c>
      <c r="DJ40" s="19" t="s">
        <v>276</v>
      </c>
      <c r="DK40" s="19" t="s">
        <v>276</v>
      </c>
      <c r="DL40" s="19" t="s">
        <v>276</v>
      </c>
      <c r="DM40" s="19" t="s">
        <v>276</v>
      </c>
      <c r="DN40" s="19" t="s">
        <v>276</v>
      </c>
      <c r="DO40" s="19" t="s">
        <v>276</v>
      </c>
      <c r="DP40" s="19">
        <v>0</v>
      </c>
      <c r="DQ40" s="19" t="s">
        <v>276</v>
      </c>
      <c r="DR40" s="20" t="s">
        <v>276</v>
      </c>
      <c r="DS40" s="20" t="s">
        <v>276</v>
      </c>
      <c r="DT40" s="19">
        <v>0</v>
      </c>
      <c r="DU40" s="20" t="s">
        <v>276</v>
      </c>
      <c r="DV40" s="20" t="s">
        <v>276</v>
      </c>
      <c r="DW40" s="20" t="s">
        <v>276</v>
      </c>
      <c r="DX40" s="20" t="s">
        <v>276</v>
      </c>
      <c r="DY40" s="19">
        <v>3162</v>
      </c>
      <c r="DZ40" s="19">
        <v>6329</v>
      </c>
      <c r="EA40" s="19">
        <v>0</v>
      </c>
      <c r="EB40" s="19" t="s">
        <v>276</v>
      </c>
      <c r="EC40" s="19" t="s">
        <v>276</v>
      </c>
      <c r="ED40" s="19">
        <v>0</v>
      </c>
      <c r="EE40" s="19" t="s">
        <v>276</v>
      </c>
      <c r="EF40" s="19" t="s">
        <v>276</v>
      </c>
      <c r="EG40" s="19" t="s">
        <v>276</v>
      </c>
      <c r="EH40" s="19">
        <v>0</v>
      </c>
      <c r="EI40" s="19">
        <v>0</v>
      </c>
      <c r="EJ40" s="19" t="s">
        <v>276</v>
      </c>
      <c r="EK40" s="20" t="s">
        <v>276</v>
      </c>
      <c r="EL40" s="20" t="s">
        <v>276</v>
      </c>
      <c r="EM40" s="20" t="s">
        <v>276</v>
      </c>
      <c r="EN40" s="19">
        <v>6315</v>
      </c>
      <c r="EO40" s="19">
        <v>0</v>
      </c>
      <c r="EP40" s="20" t="s">
        <v>276</v>
      </c>
      <c r="EQ40" s="20" t="s">
        <v>276</v>
      </c>
      <c r="ER40" s="20" t="s">
        <v>276</v>
      </c>
      <c r="ES40" s="19">
        <v>14</v>
      </c>
      <c r="ET40" s="19">
        <v>0</v>
      </c>
      <c r="EU40" s="19">
        <v>32760</v>
      </c>
      <c r="EV40" s="19">
        <v>1260</v>
      </c>
      <c r="EW40" s="19">
        <v>31</v>
      </c>
      <c r="EX40" s="19">
        <v>622</v>
      </c>
      <c r="EY40" s="19">
        <v>7342</v>
      </c>
      <c r="EZ40" s="19">
        <v>6299</v>
      </c>
      <c r="FA40" s="19">
        <v>2521</v>
      </c>
      <c r="FB40" s="19">
        <v>10</v>
      </c>
      <c r="FC40" s="19">
        <v>11014</v>
      </c>
      <c r="FD40" s="19">
        <v>2571</v>
      </c>
      <c r="FE40" s="19">
        <v>66</v>
      </c>
      <c r="FF40" s="19">
        <v>0</v>
      </c>
      <c r="FG40" s="19">
        <v>0</v>
      </c>
      <c r="FH40" s="20" t="s">
        <v>276</v>
      </c>
      <c r="FI40" s="20" t="s">
        <v>276</v>
      </c>
      <c r="FJ40" s="20" t="s">
        <v>276</v>
      </c>
      <c r="FK40" s="19">
        <v>0</v>
      </c>
      <c r="FL40" s="19">
        <v>0</v>
      </c>
      <c r="FM40" s="19">
        <v>0</v>
      </c>
      <c r="FN40" s="19">
        <v>40</v>
      </c>
      <c r="FO40" s="19">
        <v>984</v>
      </c>
    </row>
    <row r="41" spans="1:171" ht="13.5" customHeight="1">
      <c r="A41" s="17" t="s">
        <v>128</v>
      </c>
      <c r="B41" s="18" t="s">
        <v>129</v>
      </c>
      <c r="C41" s="17" t="s">
        <v>59</v>
      </c>
      <c r="D41" s="19">
        <v>22885</v>
      </c>
      <c r="E41" s="19">
        <v>1197</v>
      </c>
      <c r="F41" s="19">
        <v>6</v>
      </c>
      <c r="G41" s="19">
        <v>21</v>
      </c>
      <c r="H41" s="19">
        <v>5468</v>
      </c>
      <c r="I41" s="19">
        <v>2423</v>
      </c>
      <c r="J41" s="19">
        <v>1158</v>
      </c>
      <c r="K41" s="19">
        <v>80</v>
      </c>
      <c r="L41" s="19">
        <v>5702</v>
      </c>
      <c r="M41" s="19">
        <v>988</v>
      </c>
      <c r="N41" s="19">
        <v>101</v>
      </c>
      <c r="O41" s="19">
        <v>0</v>
      </c>
      <c r="P41" s="19">
        <v>0</v>
      </c>
      <c r="Q41" s="19">
        <v>3959</v>
      </c>
      <c r="R41" s="19">
        <v>813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969</v>
      </c>
      <c r="Y41" s="19">
        <v>4533</v>
      </c>
      <c r="Z41" s="19">
        <v>0</v>
      </c>
      <c r="AA41" s="19">
        <v>0</v>
      </c>
      <c r="AB41" s="19">
        <v>0</v>
      </c>
      <c r="AC41" s="19">
        <v>304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20" t="s">
        <v>276</v>
      </c>
      <c r="AK41" s="20" t="s">
        <v>276</v>
      </c>
      <c r="AL41" s="19">
        <v>3959</v>
      </c>
      <c r="AM41" s="20" t="s">
        <v>276</v>
      </c>
      <c r="AN41" s="20" t="s">
        <v>276</v>
      </c>
      <c r="AO41" s="19">
        <v>0</v>
      </c>
      <c r="AP41" s="20" t="s">
        <v>276</v>
      </c>
      <c r="AQ41" s="19">
        <v>0</v>
      </c>
      <c r="AR41" s="20" t="s">
        <v>276</v>
      </c>
      <c r="AS41" s="19">
        <v>270</v>
      </c>
      <c r="AT41" s="19">
        <v>5676</v>
      </c>
      <c r="AU41" s="19">
        <v>81</v>
      </c>
      <c r="AV41" s="19">
        <v>0</v>
      </c>
      <c r="AW41" s="19">
        <v>0</v>
      </c>
      <c r="AX41" s="19">
        <v>3523</v>
      </c>
      <c r="AY41" s="19">
        <v>536</v>
      </c>
      <c r="AZ41" s="19">
        <v>450</v>
      </c>
      <c r="BA41" s="19">
        <v>1</v>
      </c>
      <c r="BB41" s="19">
        <v>737</v>
      </c>
      <c r="BC41" s="19">
        <v>0</v>
      </c>
      <c r="BD41" s="19">
        <v>0</v>
      </c>
      <c r="BE41" s="19" t="s">
        <v>276</v>
      </c>
      <c r="BF41" s="19" t="s">
        <v>276</v>
      </c>
      <c r="BG41" s="20" t="s">
        <v>276</v>
      </c>
      <c r="BH41" s="20" t="s">
        <v>276</v>
      </c>
      <c r="BI41" s="20" t="s">
        <v>276</v>
      </c>
      <c r="BJ41" s="20" t="s">
        <v>276</v>
      </c>
      <c r="BK41" s="20" t="s">
        <v>276</v>
      </c>
      <c r="BL41" s="20" t="s">
        <v>276</v>
      </c>
      <c r="BM41" s="20" t="s">
        <v>276</v>
      </c>
      <c r="BN41" s="19">
        <v>348</v>
      </c>
      <c r="BO41" s="19">
        <v>0</v>
      </c>
      <c r="BP41" s="19" t="s">
        <v>276</v>
      </c>
      <c r="BQ41" s="19" t="s">
        <v>276</v>
      </c>
      <c r="BR41" s="19" t="s">
        <v>276</v>
      </c>
      <c r="BS41" s="19" t="s">
        <v>276</v>
      </c>
      <c r="BT41" s="19" t="s">
        <v>276</v>
      </c>
      <c r="BU41" s="19" t="s">
        <v>276</v>
      </c>
      <c r="BV41" s="19" t="s">
        <v>276</v>
      </c>
      <c r="BW41" s="19" t="s">
        <v>276</v>
      </c>
      <c r="BX41" s="19" t="s">
        <v>276</v>
      </c>
      <c r="BY41" s="19" t="s">
        <v>276</v>
      </c>
      <c r="BZ41" s="19">
        <v>0</v>
      </c>
      <c r="CA41" s="19" t="s">
        <v>276</v>
      </c>
      <c r="CB41" s="20" t="s">
        <v>276</v>
      </c>
      <c r="CC41" s="20" t="s">
        <v>276</v>
      </c>
      <c r="CD41" s="20" t="s">
        <v>276</v>
      </c>
      <c r="CE41" s="20" t="s">
        <v>276</v>
      </c>
      <c r="CF41" s="20" t="s">
        <v>276</v>
      </c>
      <c r="CG41" s="20" t="s">
        <v>276</v>
      </c>
      <c r="CH41" s="20" t="s">
        <v>276</v>
      </c>
      <c r="CI41" s="19">
        <v>0</v>
      </c>
      <c r="CJ41" s="19">
        <v>0</v>
      </c>
      <c r="CK41" s="19" t="s">
        <v>276</v>
      </c>
      <c r="CL41" s="19" t="s">
        <v>276</v>
      </c>
      <c r="CM41" s="19" t="s">
        <v>276</v>
      </c>
      <c r="CN41" s="19" t="s">
        <v>276</v>
      </c>
      <c r="CO41" s="19" t="s">
        <v>276</v>
      </c>
      <c r="CP41" s="19" t="s">
        <v>276</v>
      </c>
      <c r="CQ41" s="19" t="s">
        <v>276</v>
      </c>
      <c r="CR41" s="19" t="s">
        <v>276</v>
      </c>
      <c r="CS41" s="19" t="s">
        <v>276</v>
      </c>
      <c r="CT41" s="19" t="s">
        <v>276</v>
      </c>
      <c r="CU41" s="19" t="s">
        <v>276</v>
      </c>
      <c r="CV41" s="19">
        <v>0</v>
      </c>
      <c r="CW41" s="20" t="s">
        <v>276</v>
      </c>
      <c r="CX41" s="20" t="s">
        <v>276</v>
      </c>
      <c r="CY41" s="20" t="s">
        <v>276</v>
      </c>
      <c r="CZ41" s="20" t="s">
        <v>276</v>
      </c>
      <c r="DA41" s="20" t="s">
        <v>276</v>
      </c>
      <c r="DB41" s="20" t="s">
        <v>276</v>
      </c>
      <c r="DC41" s="20" t="s">
        <v>276</v>
      </c>
      <c r="DD41" s="19">
        <v>0</v>
      </c>
      <c r="DE41" s="19">
        <v>0</v>
      </c>
      <c r="DF41" s="19" t="s">
        <v>276</v>
      </c>
      <c r="DG41" s="19" t="s">
        <v>276</v>
      </c>
      <c r="DH41" s="19" t="s">
        <v>276</v>
      </c>
      <c r="DI41" s="19" t="s">
        <v>276</v>
      </c>
      <c r="DJ41" s="19" t="s">
        <v>276</v>
      </c>
      <c r="DK41" s="19" t="s">
        <v>276</v>
      </c>
      <c r="DL41" s="19" t="s">
        <v>276</v>
      </c>
      <c r="DM41" s="19" t="s">
        <v>276</v>
      </c>
      <c r="DN41" s="19" t="s">
        <v>276</v>
      </c>
      <c r="DO41" s="19" t="s">
        <v>276</v>
      </c>
      <c r="DP41" s="19">
        <v>0</v>
      </c>
      <c r="DQ41" s="19" t="s">
        <v>276</v>
      </c>
      <c r="DR41" s="20" t="s">
        <v>276</v>
      </c>
      <c r="DS41" s="20" t="s">
        <v>276</v>
      </c>
      <c r="DT41" s="19">
        <v>0</v>
      </c>
      <c r="DU41" s="20" t="s">
        <v>276</v>
      </c>
      <c r="DV41" s="20" t="s">
        <v>276</v>
      </c>
      <c r="DW41" s="20" t="s">
        <v>276</v>
      </c>
      <c r="DX41" s="20" t="s">
        <v>276</v>
      </c>
      <c r="DY41" s="19">
        <v>0</v>
      </c>
      <c r="DZ41" s="19">
        <v>942</v>
      </c>
      <c r="EA41" s="19">
        <v>0</v>
      </c>
      <c r="EB41" s="19" t="s">
        <v>276</v>
      </c>
      <c r="EC41" s="19" t="s">
        <v>276</v>
      </c>
      <c r="ED41" s="19">
        <v>0</v>
      </c>
      <c r="EE41" s="19" t="s">
        <v>276</v>
      </c>
      <c r="EF41" s="19" t="s">
        <v>276</v>
      </c>
      <c r="EG41" s="19" t="s">
        <v>276</v>
      </c>
      <c r="EH41" s="19">
        <v>119</v>
      </c>
      <c r="EI41" s="19">
        <v>0</v>
      </c>
      <c r="EJ41" s="19" t="s">
        <v>276</v>
      </c>
      <c r="EK41" s="20" t="s">
        <v>276</v>
      </c>
      <c r="EL41" s="20" t="s">
        <v>276</v>
      </c>
      <c r="EM41" s="20" t="s">
        <v>276</v>
      </c>
      <c r="EN41" s="19">
        <v>813</v>
      </c>
      <c r="EO41" s="19">
        <v>0</v>
      </c>
      <c r="EP41" s="20" t="s">
        <v>276</v>
      </c>
      <c r="EQ41" s="20" t="s">
        <v>276</v>
      </c>
      <c r="ER41" s="20" t="s">
        <v>276</v>
      </c>
      <c r="ES41" s="19">
        <v>0</v>
      </c>
      <c r="ET41" s="19">
        <v>10</v>
      </c>
      <c r="EU41" s="19">
        <v>11734</v>
      </c>
      <c r="EV41" s="19">
        <v>1116</v>
      </c>
      <c r="EW41" s="19">
        <v>6</v>
      </c>
      <c r="EX41" s="19">
        <v>21</v>
      </c>
      <c r="EY41" s="19">
        <v>1641</v>
      </c>
      <c r="EZ41" s="19">
        <v>1887</v>
      </c>
      <c r="FA41" s="19">
        <v>708</v>
      </c>
      <c r="FB41" s="19">
        <v>79</v>
      </c>
      <c r="FC41" s="19">
        <v>4846</v>
      </c>
      <c r="FD41" s="19">
        <v>988</v>
      </c>
      <c r="FE41" s="19">
        <v>101</v>
      </c>
      <c r="FF41" s="19">
        <v>0</v>
      </c>
      <c r="FG41" s="19">
        <v>0</v>
      </c>
      <c r="FH41" s="20" t="s">
        <v>276</v>
      </c>
      <c r="FI41" s="20" t="s">
        <v>276</v>
      </c>
      <c r="FJ41" s="20" t="s">
        <v>276</v>
      </c>
      <c r="FK41" s="19">
        <v>0</v>
      </c>
      <c r="FL41" s="19">
        <v>0</v>
      </c>
      <c r="FM41" s="19">
        <v>0</v>
      </c>
      <c r="FN41" s="19">
        <v>0</v>
      </c>
      <c r="FO41" s="19">
        <v>341</v>
      </c>
    </row>
    <row r="42" spans="1:171" ht="13.5" customHeight="1">
      <c r="A42" s="17" t="s">
        <v>130</v>
      </c>
      <c r="B42" s="18" t="s">
        <v>131</v>
      </c>
      <c r="C42" s="17" t="s">
        <v>59</v>
      </c>
      <c r="D42" s="19">
        <v>46535</v>
      </c>
      <c r="E42" s="19">
        <v>11438</v>
      </c>
      <c r="F42" s="19">
        <v>19</v>
      </c>
      <c r="G42" s="19">
        <v>230</v>
      </c>
      <c r="H42" s="19">
        <v>4171</v>
      </c>
      <c r="I42" s="19">
        <v>3534</v>
      </c>
      <c r="J42" s="19">
        <v>1528</v>
      </c>
      <c r="K42" s="19">
        <v>5</v>
      </c>
      <c r="L42" s="19">
        <v>5998</v>
      </c>
      <c r="M42" s="19">
        <v>454</v>
      </c>
      <c r="N42" s="19">
        <v>1832</v>
      </c>
      <c r="O42" s="19">
        <v>0</v>
      </c>
      <c r="P42" s="19">
        <v>0</v>
      </c>
      <c r="Q42" s="19">
        <v>2436</v>
      </c>
      <c r="R42" s="19">
        <v>6309</v>
      </c>
      <c r="S42" s="19">
        <v>0</v>
      </c>
      <c r="T42" s="19">
        <v>3049</v>
      </c>
      <c r="U42" s="19">
        <v>0</v>
      </c>
      <c r="V42" s="19">
        <v>358</v>
      </c>
      <c r="W42" s="19">
        <v>10</v>
      </c>
      <c r="X42" s="19">
        <v>5164</v>
      </c>
      <c r="Y42" s="19">
        <v>8735</v>
      </c>
      <c r="Z42" s="19">
        <v>0</v>
      </c>
      <c r="AA42" s="19">
        <v>0</v>
      </c>
      <c r="AB42" s="19">
        <v>0</v>
      </c>
      <c r="AC42" s="19">
        <v>265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20" t="s">
        <v>276</v>
      </c>
      <c r="AK42" s="20" t="s">
        <v>276</v>
      </c>
      <c r="AL42" s="19">
        <v>2436</v>
      </c>
      <c r="AM42" s="20" t="s">
        <v>276</v>
      </c>
      <c r="AN42" s="20" t="s">
        <v>276</v>
      </c>
      <c r="AO42" s="19">
        <v>3049</v>
      </c>
      <c r="AP42" s="20" t="s">
        <v>276</v>
      </c>
      <c r="AQ42" s="19">
        <v>358</v>
      </c>
      <c r="AR42" s="20" t="s">
        <v>276</v>
      </c>
      <c r="AS42" s="19">
        <v>2627</v>
      </c>
      <c r="AT42" s="19">
        <v>1255</v>
      </c>
      <c r="AU42" s="19">
        <v>0</v>
      </c>
      <c r="AV42" s="19">
        <v>0</v>
      </c>
      <c r="AW42" s="19">
        <v>0</v>
      </c>
      <c r="AX42" s="19">
        <v>919</v>
      </c>
      <c r="AY42" s="19">
        <v>0</v>
      </c>
      <c r="AZ42" s="19">
        <v>0</v>
      </c>
      <c r="BA42" s="19">
        <v>0</v>
      </c>
      <c r="BB42" s="19">
        <v>0</v>
      </c>
      <c r="BC42" s="19">
        <v>107</v>
      </c>
      <c r="BD42" s="19">
        <v>0</v>
      </c>
      <c r="BE42" s="19" t="s">
        <v>276</v>
      </c>
      <c r="BF42" s="19" t="s">
        <v>276</v>
      </c>
      <c r="BG42" s="20" t="s">
        <v>276</v>
      </c>
      <c r="BH42" s="20" t="s">
        <v>276</v>
      </c>
      <c r="BI42" s="20" t="s">
        <v>276</v>
      </c>
      <c r="BJ42" s="20" t="s">
        <v>276</v>
      </c>
      <c r="BK42" s="20" t="s">
        <v>276</v>
      </c>
      <c r="BL42" s="20" t="s">
        <v>276</v>
      </c>
      <c r="BM42" s="20" t="s">
        <v>276</v>
      </c>
      <c r="BN42" s="19">
        <v>229</v>
      </c>
      <c r="BO42" s="19">
        <v>602</v>
      </c>
      <c r="BP42" s="19" t="s">
        <v>276</v>
      </c>
      <c r="BQ42" s="19" t="s">
        <v>276</v>
      </c>
      <c r="BR42" s="19" t="s">
        <v>276</v>
      </c>
      <c r="BS42" s="19" t="s">
        <v>276</v>
      </c>
      <c r="BT42" s="19" t="s">
        <v>276</v>
      </c>
      <c r="BU42" s="19" t="s">
        <v>276</v>
      </c>
      <c r="BV42" s="19" t="s">
        <v>276</v>
      </c>
      <c r="BW42" s="19" t="s">
        <v>276</v>
      </c>
      <c r="BX42" s="19" t="s">
        <v>276</v>
      </c>
      <c r="BY42" s="19" t="s">
        <v>276</v>
      </c>
      <c r="BZ42" s="19">
        <v>0</v>
      </c>
      <c r="CA42" s="19" t="s">
        <v>276</v>
      </c>
      <c r="CB42" s="20" t="s">
        <v>276</v>
      </c>
      <c r="CC42" s="20" t="s">
        <v>276</v>
      </c>
      <c r="CD42" s="20" t="s">
        <v>276</v>
      </c>
      <c r="CE42" s="20" t="s">
        <v>276</v>
      </c>
      <c r="CF42" s="20" t="s">
        <v>276</v>
      </c>
      <c r="CG42" s="20" t="s">
        <v>276</v>
      </c>
      <c r="CH42" s="20" t="s">
        <v>276</v>
      </c>
      <c r="CI42" s="19">
        <v>602</v>
      </c>
      <c r="CJ42" s="19">
        <v>0</v>
      </c>
      <c r="CK42" s="19" t="s">
        <v>276</v>
      </c>
      <c r="CL42" s="19" t="s">
        <v>276</v>
      </c>
      <c r="CM42" s="19" t="s">
        <v>276</v>
      </c>
      <c r="CN42" s="19" t="s">
        <v>276</v>
      </c>
      <c r="CO42" s="19" t="s">
        <v>276</v>
      </c>
      <c r="CP42" s="19" t="s">
        <v>276</v>
      </c>
      <c r="CQ42" s="19" t="s">
        <v>276</v>
      </c>
      <c r="CR42" s="19" t="s">
        <v>276</v>
      </c>
      <c r="CS42" s="19" t="s">
        <v>276</v>
      </c>
      <c r="CT42" s="19" t="s">
        <v>276</v>
      </c>
      <c r="CU42" s="19" t="s">
        <v>276</v>
      </c>
      <c r="CV42" s="19">
        <v>0</v>
      </c>
      <c r="CW42" s="20" t="s">
        <v>276</v>
      </c>
      <c r="CX42" s="20" t="s">
        <v>276</v>
      </c>
      <c r="CY42" s="20" t="s">
        <v>276</v>
      </c>
      <c r="CZ42" s="20" t="s">
        <v>276</v>
      </c>
      <c r="DA42" s="20" t="s">
        <v>276</v>
      </c>
      <c r="DB42" s="20" t="s">
        <v>276</v>
      </c>
      <c r="DC42" s="20" t="s">
        <v>276</v>
      </c>
      <c r="DD42" s="19">
        <v>0</v>
      </c>
      <c r="DE42" s="19">
        <v>0</v>
      </c>
      <c r="DF42" s="19" t="s">
        <v>276</v>
      </c>
      <c r="DG42" s="19" t="s">
        <v>276</v>
      </c>
      <c r="DH42" s="19" t="s">
        <v>276</v>
      </c>
      <c r="DI42" s="19" t="s">
        <v>276</v>
      </c>
      <c r="DJ42" s="19" t="s">
        <v>276</v>
      </c>
      <c r="DK42" s="19" t="s">
        <v>276</v>
      </c>
      <c r="DL42" s="19" t="s">
        <v>276</v>
      </c>
      <c r="DM42" s="19" t="s">
        <v>276</v>
      </c>
      <c r="DN42" s="19" t="s">
        <v>276</v>
      </c>
      <c r="DO42" s="19" t="s">
        <v>276</v>
      </c>
      <c r="DP42" s="19">
        <v>0</v>
      </c>
      <c r="DQ42" s="19" t="s">
        <v>276</v>
      </c>
      <c r="DR42" s="20" t="s">
        <v>276</v>
      </c>
      <c r="DS42" s="20" t="s">
        <v>276</v>
      </c>
      <c r="DT42" s="19">
        <v>0</v>
      </c>
      <c r="DU42" s="20" t="s">
        <v>276</v>
      </c>
      <c r="DV42" s="20" t="s">
        <v>276</v>
      </c>
      <c r="DW42" s="20" t="s">
        <v>276</v>
      </c>
      <c r="DX42" s="20" t="s">
        <v>276</v>
      </c>
      <c r="DY42" s="19">
        <v>0</v>
      </c>
      <c r="DZ42" s="19">
        <v>7346</v>
      </c>
      <c r="EA42" s="19">
        <v>0</v>
      </c>
      <c r="EB42" s="19" t="s">
        <v>276</v>
      </c>
      <c r="EC42" s="19" t="s">
        <v>276</v>
      </c>
      <c r="ED42" s="19">
        <v>0</v>
      </c>
      <c r="EE42" s="19" t="s">
        <v>276</v>
      </c>
      <c r="EF42" s="19" t="s">
        <v>276</v>
      </c>
      <c r="EG42" s="19" t="s">
        <v>276</v>
      </c>
      <c r="EH42" s="19">
        <v>686</v>
      </c>
      <c r="EI42" s="19">
        <v>347</v>
      </c>
      <c r="EJ42" s="19" t="s">
        <v>276</v>
      </c>
      <c r="EK42" s="20" t="s">
        <v>276</v>
      </c>
      <c r="EL42" s="20" t="s">
        <v>276</v>
      </c>
      <c r="EM42" s="20" t="s">
        <v>276</v>
      </c>
      <c r="EN42" s="19">
        <v>6309</v>
      </c>
      <c r="EO42" s="19">
        <v>0</v>
      </c>
      <c r="EP42" s="20" t="s">
        <v>276</v>
      </c>
      <c r="EQ42" s="20" t="s">
        <v>276</v>
      </c>
      <c r="ER42" s="20" t="s">
        <v>276</v>
      </c>
      <c r="ES42" s="19">
        <v>4</v>
      </c>
      <c r="ET42" s="19">
        <v>0</v>
      </c>
      <c r="EU42" s="19">
        <v>28597</v>
      </c>
      <c r="EV42" s="19">
        <v>11438</v>
      </c>
      <c r="EW42" s="19">
        <v>19</v>
      </c>
      <c r="EX42" s="19">
        <v>230</v>
      </c>
      <c r="EY42" s="19">
        <v>2987</v>
      </c>
      <c r="EZ42" s="19">
        <v>3534</v>
      </c>
      <c r="FA42" s="19">
        <v>1528</v>
      </c>
      <c r="FB42" s="19">
        <v>5</v>
      </c>
      <c r="FC42" s="19">
        <v>5312</v>
      </c>
      <c r="FD42" s="19">
        <v>0</v>
      </c>
      <c r="FE42" s="19">
        <v>1832</v>
      </c>
      <c r="FF42" s="19">
        <v>0</v>
      </c>
      <c r="FG42" s="19">
        <v>0</v>
      </c>
      <c r="FH42" s="20" t="s">
        <v>276</v>
      </c>
      <c r="FI42" s="20" t="s">
        <v>276</v>
      </c>
      <c r="FJ42" s="20" t="s">
        <v>276</v>
      </c>
      <c r="FK42" s="19">
        <v>0</v>
      </c>
      <c r="FL42" s="19">
        <v>0</v>
      </c>
      <c r="FM42" s="19">
        <v>0</v>
      </c>
      <c r="FN42" s="19">
        <v>6</v>
      </c>
      <c r="FO42" s="19">
        <v>1706</v>
      </c>
    </row>
    <row r="43" spans="1:171" ht="13.5" customHeight="1">
      <c r="A43" s="17" t="s">
        <v>132</v>
      </c>
      <c r="B43" s="18" t="s">
        <v>133</v>
      </c>
      <c r="C43" s="17" t="s">
        <v>59</v>
      </c>
      <c r="D43" s="19">
        <v>51048</v>
      </c>
      <c r="E43" s="19">
        <v>9023</v>
      </c>
      <c r="F43" s="19">
        <v>48</v>
      </c>
      <c r="G43" s="19">
        <v>164</v>
      </c>
      <c r="H43" s="19">
        <v>9107</v>
      </c>
      <c r="I43" s="19">
        <v>7482</v>
      </c>
      <c r="J43" s="19">
        <v>3007</v>
      </c>
      <c r="K43" s="19">
        <v>14</v>
      </c>
      <c r="L43" s="19">
        <v>8177</v>
      </c>
      <c r="M43" s="19">
        <v>41</v>
      </c>
      <c r="N43" s="19">
        <v>228</v>
      </c>
      <c r="O43" s="19">
        <v>684</v>
      </c>
      <c r="P43" s="19">
        <v>0</v>
      </c>
      <c r="Q43" s="19">
        <v>4084</v>
      </c>
      <c r="R43" s="19">
        <v>0</v>
      </c>
      <c r="S43" s="19">
        <v>6</v>
      </c>
      <c r="T43" s="19">
        <v>5434</v>
      </c>
      <c r="U43" s="19">
        <v>0</v>
      </c>
      <c r="V43" s="19">
        <v>0</v>
      </c>
      <c r="W43" s="19">
        <v>43</v>
      </c>
      <c r="X43" s="19">
        <v>3506</v>
      </c>
      <c r="Y43" s="19">
        <v>10399</v>
      </c>
      <c r="Z43" s="19">
        <v>172</v>
      </c>
      <c r="AA43" s="19">
        <v>0</v>
      </c>
      <c r="AB43" s="19">
        <v>0</v>
      </c>
      <c r="AC43" s="19">
        <v>523</v>
      </c>
      <c r="AD43" s="19">
        <v>0</v>
      </c>
      <c r="AE43" s="19">
        <v>0</v>
      </c>
      <c r="AF43" s="19">
        <v>0</v>
      </c>
      <c r="AG43" s="19">
        <v>0</v>
      </c>
      <c r="AH43" s="19">
        <v>3</v>
      </c>
      <c r="AI43" s="19">
        <v>0</v>
      </c>
      <c r="AJ43" s="20" t="s">
        <v>276</v>
      </c>
      <c r="AK43" s="20" t="s">
        <v>276</v>
      </c>
      <c r="AL43" s="19">
        <v>4084</v>
      </c>
      <c r="AM43" s="20" t="s">
        <v>276</v>
      </c>
      <c r="AN43" s="20" t="s">
        <v>276</v>
      </c>
      <c r="AO43" s="19">
        <v>5434</v>
      </c>
      <c r="AP43" s="20" t="s">
        <v>276</v>
      </c>
      <c r="AQ43" s="19">
        <v>0</v>
      </c>
      <c r="AR43" s="20" t="s">
        <v>276</v>
      </c>
      <c r="AS43" s="19">
        <v>183</v>
      </c>
      <c r="AT43" s="19">
        <v>5672</v>
      </c>
      <c r="AU43" s="19">
        <v>0</v>
      </c>
      <c r="AV43" s="19">
        <v>0</v>
      </c>
      <c r="AW43" s="19">
        <v>0</v>
      </c>
      <c r="AX43" s="19">
        <v>5373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 t="s">
        <v>276</v>
      </c>
      <c r="BF43" s="19" t="s">
        <v>276</v>
      </c>
      <c r="BG43" s="20" t="s">
        <v>276</v>
      </c>
      <c r="BH43" s="20" t="s">
        <v>276</v>
      </c>
      <c r="BI43" s="20" t="s">
        <v>276</v>
      </c>
      <c r="BJ43" s="20" t="s">
        <v>276</v>
      </c>
      <c r="BK43" s="20" t="s">
        <v>276</v>
      </c>
      <c r="BL43" s="20" t="s">
        <v>276</v>
      </c>
      <c r="BM43" s="20" t="s">
        <v>276</v>
      </c>
      <c r="BN43" s="19">
        <v>299</v>
      </c>
      <c r="BO43" s="19">
        <v>1933</v>
      </c>
      <c r="BP43" s="19" t="s">
        <v>276</v>
      </c>
      <c r="BQ43" s="19" t="s">
        <v>276</v>
      </c>
      <c r="BR43" s="19" t="s">
        <v>276</v>
      </c>
      <c r="BS43" s="19" t="s">
        <v>276</v>
      </c>
      <c r="BT43" s="19" t="s">
        <v>276</v>
      </c>
      <c r="BU43" s="19" t="s">
        <v>276</v>
      </c>
      <c r="BV43" s="19" t="s">
        <v>276</v>
      </c>
      <c r="BW43" s="19" t="s">
        <v>276</v>
      </c>
      <c r="BX43" s="19" t="s">
        <v>276</v>
      </c>
      <c r="BY43" s="19" t="s">
        <v>276</v>
      </c>
      <c r="BZ43" s="19">
        <v>684</v>
      </c>
      <c r="CA43" s="19" t="s">
        <v>276</v>
      </c>
      <c r="CB43" s="20" t="s">
        <v>276</v>
      </c>
      <c r="CC43" s="20" t="s">
        <v>276</v>
      </c>
      <c r="CD43" s="20" t="s">
        <v>276</v>
      </c>
      <c r="CE43" s="20" t="s">
        <v>276</v>
      </c>
      <c r="CF43" s="20" t="s">
        <v>276</v>
      </c>
      <c r="CG43" s="20" t="s">
        <v>276</v>
      </c>
      <c r="CH43" s="20" t="s">
        <v>276</v>
      </c>
      <c r="CI43" s="19">
        <v>1249</v>
      </c>
      <c r="CJ43" s="19">
        <v>0</v>
      </c>
      <c r="CK43" s="19" t="s">
        <v>276</v>
      </c>
      <c r="CL43" s="19" t="s">
        <v>276</v>
      </c>
      <c r="CM43" s="19" t="s">
        <v>276</v>
      </c>
      <c r="CN43" s="19" t="s">
        <v>276</v>
      </c>
      <c r="CO43" s="19" t="s">
        <v>276</v>
      </c>
      <c r="CP43" s="19" t="s">
        <v>276</v>
      </c>
      <c r="CQ43" s="19" t="s">
        <v>276</v>
      </c>
      <c r="CR43" s="19" t="s">
        <v>276</v>
      </c>
      <c r="CS43" s="19" t="s">
        <v>276</v>
      </c>
      <c r="CT43" s="19" t="s">
        <v>276</v>
      </c>
      <c r="CU43" s="19" t="s">
        <v>276</v>
      </c>
      <c r="CV43" s="19">
        <v>0</v>
      </c>
      <c r="CW43" s="20" t="s">
        <v>276</v>
      </c>
      <c r="CX43" s="20" t="s">
        <v>276</v>
      </c>
      <c r="CY43" s="20" t="s">
        <v>276</v>
      </c>
      <c r="CZ43" s="20" t="s">
        <v>276</v>
      </c>
      <c r="DA43" s="20" t="s">
        <v>276</v>
      </c>
      <c r="DB43" s="20" t="s">
        <v>276</v>
      </c>
      <c r="DC43" s="20" t="s">
        <v>276</v>
      </c>
      <c r="DD43" s="19">
        <v>0</v>
      </c>
      <c r="DE43" s="19">
        <v>0</v>
      </c>
      <c r="DF43" s="19" t="s">
        <v>276</v>
      </c>
      <c r="DG43" s="19" t="s">
        <v>276</v>
      </c>
      <c r="DH43" s="19" t="s">
        <v>276</v>
      </c>
      <c r="DI43" s="19" t="s">
        <v>276</v>
      </c>
      <c r="DJ43" s="19" t="s">
        <v>276</v>
      </c>
      <c r="DK43" s="19" t="s">
        <v>276</v>
      </c>
      <c r="DL43" s="19" t="s">
        <v>276</v>
      </c>
      <c r="DM43" s="19" t="s">
        <v>276</v>
      </c>
      <c r="DN43" s="19" t="s">
        <v>276</v>
      </c>
      <c r="DO43" s="19" t="s">
        <v>276</v>
      </c>
      <c r="DP43" s="19">
        <v>0</v>
      </c>
      <c r="DQ43" s="19" t="s">
        <v>276</v>
      </c>
      <c r="DR43" s="20" t="s">
        <v>276</v>
      </c>
      <c r="DS43" s="20" t="s">
        <v>276</v>
      </c>
      <c r="DT43" s="19">
        <v>0</v>
      </c>
      <c r="DU43" s="20" t="s">
        <v>276</v>
      </c>
      <c r="DV43" s="20" t="s">
        <v>276</v>
      </c>
      <c r="DW43" s="20" t="s">
        <v>276</v>
      </c>
      <c r="DX43" s="20" t="s">
        <v>276</v>
      </c>
      <c r="DY43" s="19">
        <v>0</v>
      </c>
      <c r="DZ43" s="19">
        <v>31</v>
      </c>
      <c r="EA43" s="19">
        <v>0</v>
      </c>
      <c r="EB43" s="19" t="s">
        <v>276</v>
      </c>
      <c r="EC43" s="19" t="s">
        <v>276</v>
      </c>
      <c r="ED43" s="19">
        <v>0</v>
      </c>
      <c r="EE43" s="19" t="s">
        <v>276</v>
      </c>
      <c r="EF43" s="19" t="s">
        <v>276</v>
      </c>
      <c r="EG43" s="19" t="s">
        <v>276</v>
      </c>
      <c r="EH43" s="19">
        <v>0</v>
      </c>
      <c r="EI43" s="19">
        <v>0</v>
      </c>
      <c r="EJ43" s="19" t="s">
        <v>276</v>
      </c>
      <c r="EK43" s="20" t="s">
        <v>276</v>
      </c>
      <c r="EL43" s="20" t="s">
        <v>276</v>
      </c>
      <c r="EM43" s="20" t="s">
        <v>276</v>
      </c>
      <c r="EN43" s="19">
        <v>0</v>
      </c>
      <c r="EO43" s="19">
        <v>6</v>
      </c>
      <c r="EP43" s="20" t="s">
        <v>276</v>
      </c>
      <c r="EQ43" s="20" t="s">
        <v>276</v>
      </c>
      <c r="ER43" s="20" t="s">
        <v>276</v>
      </c>
      <c r="ES43" s="19">
        <v>25</v>
      </c>
      <c r="ET43" s="19">
        <v>0</v>
      </c>
      <c r="EU43" s="19">
        <v>33013</v>
      </c>
      <c r="EV43" s="19">
        <v>8851</v>
      </c>
      <c r="EW43" s="19">
        <v>48</v>
      </c>
      <c r="EX43" s="19">
        <v>164</v>
      </c>
      <c r="EY43" s="19">
        <v>3211</v>
      </c>
      <c r="EZ43" s="19">
        <v>7482</v>
      </c>
      <c r="FA43" s="19">
        <v>3007</v>
      </c>
      <c r="FB43" s="19">
        <v>14</v>
      </c>
      <c r="FC43" s="19">
        <v>8177</v>
      </c>
      <c r="FD43" s="19">
        <v>38</v>
      </c>
      <c r="FE43" s="19">
        <v>228</v>
      </c>
      <c r="FF43" s="19">
        <v>0</v>
      </c>
      <c r="FG43" s="19">
        <v>0</v>
      </c>
      <c r="FH43" s="20" t="s">
        <v>276</v>
      </c>
      <c r="FI43" s="20" t="s">
        <v>276</v>
      </c>
      <c r="FJ43" s="20" t="s">
        <v>276</v>
      </c>
      <c r="FK43" s="19">
        <v>0</v>
      </c>
      <c r="FL43" s="19">
        <v>0</v>
      </c>
      <c r="FM43" s="19">
        <v>0</v>
      </c>
      <c r="FN43" s="19">
        <v>18</v>
      </c>
      <c r="FO43" s="19">
        <v>1775</v>
      </c>
    </row>
    <row r="44" spans="1:171" ht="13.5" customHeight="1">
      <c r="A44" s="17" t="s">
        <v>134</v>
      </c>
      <c r="B44" s="18" t="s">
        <v>135</v>
      </c>
      <c r="C44" s="17" t="s">
        <v>59</v>
      </c>
      <c r="D44" s="19">
        <v>43185</v>
      </c>
      <c r="E44" s="19">
        <v>3681</v>
      </c>
      <c r="F44" s="19">
        <v>7</v>
      </c>
      <c r="G44" s="19">
        <v>115</v>
      </c>
      <c r="H44" s="19">
        <v>5896</v>
      </c>
      <c r="I44" s="19">
        <v>3004</v>
      </c>
      <c r="J44" s="19">
        <v>643</v>
      </c>
      <c r="K44" s="19">
        <v>3</v>
      </c>
      <c r="L44" s="19">
        <v>2796</v>
      </c>
      <c r="M44" s="19">
        <v>686</v>
      </c>
      <c r="N44" s="19">
        <v>619</v>
      </c>
      <c r="O44" s="19">
        <v>10</v>
      </c>
      <c r="P44" s="19">
        <v>0</v>
      </c>
      <c r="Q44" s="19">
        <v>4401</v>
      </c>
      <c r="R44" s="19">
        <v>5869</v>
      </c>
      <c r="S44" s="19">
        <v>0</v>
      </c>
      <c r="T44" s="19">
        <v>11668</v>
      </c>
      <c r="U44" s="19">
        <v>0</v>
      </c>
      <c r="V44" s="19">
        <v>918</v>
      </c>
      <c r="W44" s="19">
        <v>0</v>
      </c>
      <c r="X44" s="19">
        <v>2869</v>
      </c>
      <c r="Y44" s="19">
        <v>17755</v>
      </c>
      <c r="Z44" s="19">
        <v>0</v>
      </c>
      <c r="AA44" s="19">
        <v>0</v>
      </c>
      <c r="AB44" s="19">
        <v>0</v>
      </c>
      <c r="AC44" s="19">
        <v>677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20" t="s">
        <v>276</v>
      </c>
      <c r="AK44" s="20" t="s">
        <v>276</v>
      </c>
      <c r="AL44" s="19">
        <v>4401</v>
      </c>
      <c r="AM44" s="20" t="s">
        <v>276</v>
      </c>
      <c r="AN44" s="20" t="s">
        <v>276</v>
      </c>
      <c r="AO44" s="19">
        <v>11373</v>
      </c>
      <c r="AP44" s="20" t="s">
        <v>276</v>
      </c>
      <c r="AQ44" s="19">
        <v>918</v>
      </c>
      <c r="AR44" s="20" t="s">
        <v>276</v>
      </c>
      <c r="AS44" s="19">
        <v>386</v>
      </c>
      <c r="AT44" s="19">
        <v>2131</v>
      </c>
      <c r="AU44" s="19">
        <v>0</v>
      </c>
      <c r="AV44" s="19">
        <v>0</v>
      </c>
      <c r="AW44" s="19">
        <v>0</v>
      </c>
      <c r="AX44" s="19">
        <v>859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 t="s">
        <v>276</v>
      </c>
      <c r="BF44" s="19" t="s">
        <v>276</v>
      </c>
      <c r="BG44" s="20" t="s">
        <v>276</v>
      </c>
      <c r="BH44" s="20" t="s">
        <v>276</v>
      </c>
      <c r="BI44" s="20" t="s">
        <v>276</v>
      </c>
      <c r="BJ44" s="20" t="s">
        <v>276</v>
      </c>
      <c r="BK44" s="20" t="s">
        <v>276</v>
      </c>
      <c r="BL44" s="20" t="s">
        <v>276</v>
      </c>
      <c r="BM44" s="20" t="s">
        <v>276</v>
      </c>
      <c r="BN44" s="19">
        <v>1272</v>
      </c>
      <c r="BO44" s="19">
        <v>0</v>
      </c>
      <c r="BP44" s="19" t="s">
        <v>276</v>
      </c>
      <c r="BQ44" s="19" t="s">
        <v>276</v>
      </c>
      <c r="BR44" s="19" t="s">
        <v>276</v>
      </c>
      <c r="BS44" s="19" t="s">
        <v>276</v>
      </c>
      <c r="BT44" s="19" t="s">
        <v>276</v>
      </c>
      <c r="BU44" s="19" t="s">
        <v>276</v>
      </c>
      <c r="BV44" s="19" t="s">
        <v>276</v>
      </c>
      <c r="BW44" s="19" t="s">
        <v>276</v>
      </c>
      <c r="BX44" s="19" t="s">
        <v>276</v>
      </c>
      <c r="BY44" s="19" t="s">
        <v>276</v>
      </c>
      <c r="BZ44" s="19">
        <v>0</v>
      </c>
      <c r="CA44" s="19" t="s">
        <v>276</v>
      </c>
      <c r="CB44" s="20" t="s">
        <v>276</v>
      </c>
      <c r="CC44" s="20" t="s">
        <v>276</v>
      </c>
      <c r="CD44" s="20" t="s">
        <v>276</v>
      </c>
      <c r="CE44" s="20" t="s">
        <v>276</v>
      </c>
      <c r="CF44" s="20" t="s">
        <v>276</v>
      </c>
      <c r="CG44" s="20" t="s">
        <v>276</v>
      </c>
      <c r="CH44" s="20" t="s">
        <v>276</v>
      </c>
      <c r="CI44" s="19">
        <v>0</v>
      </c>
      <c r="CJ44" s="19">
        <v>0</v>
      </c>
      <c r="CK44" s="19" t="s">
        <v>276</v>
      </c>
      <c r="CL44" s="19" t="s">
        <v>276</v>
      </c>
      <c r="CM44" s="19" t="s">
        <v>276</v>
      </c>
      <c r="CN44" s="19" t="s">
        <v>276</v>
      </c>
      <c r="CO44" s="19" t="s">
        <v>276</v>
      </c>
      <c r="CP44" s="19" t="s">
        <v>276</v>
      </c>
      <c r="CQ44" s="19" t="s">
        <v>276</v>
      </c>
      <c r="CR44" s="19" t="s">
        <v>276</v>
      </c>
      <c r="CS44" s="19" t="s">
        <v>276</v>
      </c>
      <c r="CT44" s="19" t="s">
        <v>276</v>
      </c>
      <c r="CU44" s="19" t="s">
        <v>276</v>
      </c>
      <c r="CV44" s="19">
        <v>0</v>
      </c>
      <c r="CW44" s="20" t="s">
        <v>276</v>
      </c>
      <c r="CX44" s="20" t="s">
        <v>276</v>
      </c>
      <c r="CY44" s="20" t="s">
        <v>276</v>
      </c>
      <c r="CZ44" s="20" t="s">
        <v>276</v>
      </c>
      <c r="DA44" s="20" t="s">
        <v>276</v>
      </c>
      <c r="DB44" s="20" t="s">
        <v>276</v>
      </c>
      <c r="DC44" s="20" t="s">
        <v>276</v>
      </c>
      <c r="DD44" s="19">
        <v>0</v>
      </c>
      <c r="DE44" s="19">
        <v>0</v>
      </c>
      <c r="DF44" s="19" t="s">
        <v>276</v>
      </c>
      <c r="DG44" s="19" t="s">
        <v>276</v>
      </c>
      <c r="DH44" s="19" t="s">
        <v>276</v>
      </c>
      <c r="DI44" s="19" t="s">
        <v>276</v>
      </c>
      <c r="DJ44" s="19" t="s">
        <v>276</v>
      </c>
      <c r="DK44" s="19" t="s">
        <v>276</v>
      </c>
      <c r="DL44" s="19" t="s">
        <v>276</v>
      </c>
      <c r="DM44" s="19" t="s">
        <v>276</v>
      </c>
      <c r="DN44" s="19" t="s">
        <v>276</v>
      </c>
      <c r="DO44" s="19" t="s">
        <v>276</v>
      </c>
      <c r="DP44" s="19">
        <v>0</v>
      </c>
      <c r="DQ44" s="19" t="s">
        <v>276</v>
      </c>
      <c r="DR44" s="20" t="s">
        <v>276</v>
      </c>
      <c r="DS44" s="20" t="s">
        <v>276</v>
      </c>
      <c r="DT44" s="19">
        <v>0</v>
      </c>
      <c r="DU44" s="20" t="s">
        <v>276</v>
      </c>
      <c r="DV44" s="20" t="s">
        <v>276</v>
      </c>
      <c r="DW44" s="20" t="s">
        <v>276</v>
      </c>
      <c r="DX44" s="20" t="s">
        <v>276</v>
      </c>
      <c r="DY44" s="19">
        <v>0</v>
      </c>
      <c r="DZ44" s="19">
        <v>5869</v>
      </c>
      <c r="EA44" s="19">
        <v>0</v>
      </c>
      <c r="EB44" s="19" t="s">
        <v>276</v>
      </c>
      <c r="EC44" s="19" t="s">
        <v>276</v>
      </c>
      <c r="ED44" s="19">
        <v>0</v>
      </c>
      <c r="EE44" s="19" t="s">
        <v>276</v>
      </c>
      <c r="EF44" s="19" t="s">
        <v>276</v>
      </c>
      <c r="EG44" s="19" t="s">
        <v>276</v>
      </c>
      <c r="EH44" s="19">
        <v>0</v>
      </c>
      <c r="EI44" s="19">
        <v>0</v>
      </c>
      <c r="EJ44" s="19" t="s">
        <v>276</v>
      </c>
      <c r="EK44" s="20" t="s">
        <v>276</v>
      </c>
      <c r="EL44" s="20" t="s">
        <v>276</v>
      </c>
      <c r="EM44" s="20" t="s">
        <v>276</v>
      </c>
      <c r="EN44" s="19">
        <v>5869</v>
      </c>
      <c r="EO44" s="19">
        <v>0</v>
      </c>
      <c r="EP44" s="20" t="s">
        <v>276</v>
      </c>
      <c r="EQ44" s="20" t="s">
        <v>276</v>
      </c>
      <c r="ER44" s="20" t="s">
        <v>276</v>
      </c>
      <c r="ES44" s="19">
        <v>0</v>
      </c>
      <c r="ET44" s="19">
        <v>0</v>
      </c>
      <c r="EU44" s="19">
        <v>17430</v>
      </c>
      <c r="EV44" s="19">
        <v>3681</v>
      </c>
      <c r="EW44" s="19">
        <v>7</v>
      </c>
      <c r="EX44" s="19">
        <v>115</v>
      </c>
      <c r="EY44" s="19">
        <v>4360</v>
      </c>
      <c r="EZ44" s="19">
        <v>3004</v>
      </c>
      <c r="FA44" s="19">
        <v>643</v>
      </c>
      <c r="FB44" s="19">
        <v>3</v>
      </c>
      <c r="FC44" s="19">
        <v>2796</v>
      </c>
      <c r="FD44" s="19">
        <v>686</v>
      </c>
      <c r="FE44" s="19">
        <v>619</v>
      </c>
      <c r="FF44" s="19">
        <v>10</v>
      </c>
      <c r="FG44" s="19">
        <v>0</v>
      </c>
      <c r="FH44" s="20" t="s">
        <v>276</v>
      </c>
      <c r="FI44" s="20" t="s">
        <v>276</v>
      </c>
      <c r="FJ44" s="20" t="s">
        <v>276</v>
      </c>
      <c r="FK44" s="19">
        <v>295</v>
      </c>
      <c r="FL44" s="19">
        <v>0</v>
      </c>
      <c r="FM44" s="19">
        <v>0</v>
      </c>
      <c r="FN44" s="19">
        <v>0</v>
      </c>
      <c r="FO44" s="19">
        <v>1211</v>
      </c>
    </row>
    <row r="45" spans="1:171" ht="13.5" customHeight="1">
      <c r="A45" s="17" t="s">
        <v>136</v>
      </c>
      <c r="B45" s="18" t="s">
        <v>137</v>
      </c>
      <c r="C45" s="17" t="s">
        <v>59</v>
      </c>
      <c r="D45" s="19">
        <v>207812.63653277728</v>
      </c>
      <c r="E45" s="19">
        <v>4216</v>
      </c>
      <c r="F45" s="19">
        <v>229.16</v>
      </c>
      <c r="G45" s="19">
        <v>656</v>
      </c>
      <c r="H45" s="19">
        <v>30452.6499800811</v>
      </c>
      <c r="I45" s="19">
        <v>15325.51</v>
      </c>
      <c r="J45" s="19">
        <v>9376.0846054837202</v>
      </c>
      <c r="K45" s="19">
        <v>60.224999999999994</v>
      </c>
      <c r="L45" s="19">
        <v>8500.0733243721079</v>
      </c>
      <c r="M45" s="19">
        <v>525</v>
      </c>
      <c r="N45" s="19">
        <v>800</v>
      </c>
      <c r="O45" s="19">
        <v>1612</v>
      </c>
      <c r="P45" s="19">
        <v>0</v>
      </c>
      <c r="Q45" s="19">
        <v>32983.933622840363</v>
      </c>
      <c r="R45" s="19">
        <v>74984</v>
      </c>
      <c r="S45" s="19">
        <v>56</v>
      </c>
      <c r="T45" s="19">
        <v>11385</v>
      </c>
      <c r="U45" s="19">
        <v>66</v>
      </c>
      <c r="V45" s="19">
        <v>7055</v>
      </c>
      <c r="W45" s="19">
        <v>0</v>
      </c>
      <c r="X45" s="19">
        <v>9530</v>
      </c>
      <c r="Y45" s="19">
        <v>55779.933622840363</v>
      </c>
      <c r="Z45" s="19">
        <v>47</v>
      </c>
      <c r="AA45" s="19">
        <v>0</v>
      </c>
      <c r="AB45" s="19">
        <v>541</v>
      </c>
      <c r="AC45" s="19">
        <v>2666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20" t="s">
        <v>276</v>
      </c>
      <c r="AK45" s="20" t="s">
        <v>276</v>
      </c>
      <c r="AL45" s="19">
        <v>32983.933622840363</v>
      </c>
      <c r="AM45" s="20" t="s">
        <v>276</v>
      </c>
      <c r="AN45" s="20" t="s">
        <v>276</v>
      </c>
      <c r="AO45" s="19">
        <v>11385</v>
      </c>
      <c r="AP45" s="20" t="s">
        <v>276</v>
      </c>
      <c r="AQ45" s="19">
        <v>7055</v>
      </c>
      <c r="AR45" s="20" t="s">
        <v>276</v>
      </c>
      <c r="AS45" s="19">
        <v>1102</v>
      </c>
      <c r="AT45" s="19">
        <v>20406.999980081102</v>
      </c>
      <c r="AU45" s="19">
        <v>0</v>
      </c>
      <c r="AV45" s="19">
        <v>0</v>
      </c>
      <c r="AW45" s="19">
        <v>0</v>
      </c>
      <c r="AX45" s="19">
        <v>16212.999980081102</v>
      </c>
      <c r="AY45" s="19">
        <v>1055</v>
      </c>
      <c r="AZ45" s="19">
        <v>235</v>
      </c>
      <c r="BA45" s="19">
        <v>0</v>
      </c>
      <c r="BB45" s="19">
        <v>0</v>
      </c>
      <c r="BC45" s="19">
        <v>141</v>
      </c>
      <c r="BD45" s="19">
        <v>218</v>
      </c>
      <c r="BE45" s="19" t="s">
        <v>276</v>
      </c>
      <c r="BF45" s="19" t="s">
        <v>276</v>
      </c>
      <c r="BG45" s="20" t="s">
        <v>276</v>
      </c>
      <c r="BH45" s="20" t="s">
        <v>276</v>
      </c>
      <c r="BI45" s="20" t="s">
        <v>276</v>
      </c>
      <c r="BJ45" s="20" t="s">
        <v>276</v>
      </c>
      <c r="BK45" s="20" t="s">
        <v>276</v>
      </c>
      <c r="BL45" s="20" t="s">
        <v>276</v>
      </c>
      <c r="BM45" s="20" t="s">
        <v>276</v>
      </c>
      <c r="BN45" s="19">
        <v>2545</v>
      </c>
      <c r="BO45" s="19">
        <v>473</v>
      </c>
      <c r="BP45" s="19" t="s">
        <v>276</v>
      </c>
      <c r="BQ45" s="19" t="s">
        <v>276</v>
      </c>
      <c r="BR45" s="19" t="s">
        <v>276</v>
      </c>
      <c r="BS45" s="19" t="s">
        <v>276</v>
      </c>
      <c r="BT45" s="19" t="s">
        <v>276</v>
      </c>
      <c r="BU45" s="19" t="s">
        <v>276</v>
      </c>
      <c r="BV45" s="19" t="s">
        <v>276</v>
      </c>
      <c r="BW45" s="19" t="s">
        <v>276</v>
      </c>
      <c r="BX45" s="19" t="s">
        <v>276</v>
      </c>
      <c r="BY45" s="19" t="s">
        <v>276</v>
      </c>
      <c r="BZ45" s="19">
        <v>473</v>
      </c>
      <c r="CA45" s="19" t="s">
        <v>276</v>
      </c>
      <c r="CB45" s="20" t="s">
        <v>276</v>
      </c>
      <c r="CC45" s="20" t="s">
        <v>276</v>
      </c>
      <c r="CD45" s="20" t="s">
        <v>276</v>
      </c>
      <c r="CE45" s="20" t="s">
        <v>276</v>
      </c>
      <c r="CF45" s="20" t="s">
        <v>276</v>
      </c>
      <c r="CG45" s="20" t="s">
        <v>276</v>
      </c>
      <c r="CH45" s="20" t="s">
        <v>276</v>
      </c>
      <c r="CI45" s="19">
        <v>0</v>
      </c>
      <c r="CJ45" s="19">
        <v>0</v>
      </c>
      <c r="CK45" s="19" t="s">
        <v>276</v>
      </c>
      <c r="CL45" s="19" t="s">
        <v>276</v>
      </c>
      <c r="CM45" s="19" t="s">
        <v>276</v>
      </c>
      <c r="CN45" s="19" t="s">
        <v>276</v>
      </c>
      <c r="CO45" s="19" t="s">
        <v>276</v>
      </c>
      <c r="CP45" s="19" t="s">
        <v>276</v>
      </c>
      <c r="CQ45" s="19" t="s">
        <v>276</v>
      </c>
      <c r="CR45" s="19" t="s">
        <v>276</v>
      </c>
      <c r="CS45" s="19" t="s">
        <v>276</v>
      </c>
      <c r="CT45" s="19" t="s">
        <v>276</v>
      </c>
      <c r="CU45" s="19" t="s">
        <v>276</v>
      </c>
      <c r="CV45" s="19">
        <v>0</v>
      </c>
      <c r="CW45" s="20" t="s">
        <v>276</v>
      </c>
      <c r="CX45" s="20" t="s">
        <v>276</v>
      </c>
      <c r="CY45" s="20" t="s">
        <v>276</v>
      </c>
      <c r="CZ45" s="20" t="s">
        <v>276</v>
      </c>
      <c r="DA45" s="20" t="s">
        <v>276</v>
      </c>
      <c r="DB45" s="20" t="s">
        <v>276</v>
      </c>
      <c r="DC45" s="20" t="s">
        <v>276</v>
      </c>
      <c r="DD45" s="19">
        <v>0</v>
      </c>
      <c r="DE45" s="19">
        <v>2663</v>
      </c>
      <c r="DF45" s="19" t="s">
        <v>276</v>
      </c>
      <c r="DG45" s="19" t="s">
        <v>276</v>
      </c>
      <c r="DH45" s="19" t="s">
        <v>276</v>
      </c>
      <c r="DI45" s="19" t="s">
        <v>276</v>
      </c>
      <c r="DJ45" s="19" t="s">
        <v>276</v>
      </c>
      <c r="DK45" s="19" t="s">
        <v>276</v>
      </c>
      <c r="DL45" s="19" t="s">
        <v>276</v>
      </c>
      <c r="DM45" s="19" t="s">
        <v>276</v>
      </c>
      <c r="DN45" s="19" t="s">
        <v>276</v>
      </c>
      <c r="DO45" s="19" t="s">
        <v>276</v>
      </c>
      <c r="DP45" s="19">
        <v>1139</v>
      </c>
      <c r="DQ45" s="19" t="s">
        <v>276</v>
      </c>
      <c r="DR45" s="20" t="s">
        <v>276</v>
      </c>
      <c r="DS45" s="20" t="s">
        <v>276</v>
      </c>
      <c r="DT45" s="19">
        <v>56</v>
      </c>
      <c r="DU45" s="20" t="s">
        <v>276</v>
      </c>
      <c r="DV45" s="20" t="s">
        <v>276</v>
      </c>
      <c r="DW45" s="20" t="s">
        <v>276</v>
      </c>
      <c r="DX45" s="20" t="s">
        <v>276</v>
      </c>
      <c r="DY45" s="19">
        <v>1468</v>
      </c>
      <c r="DZ45" s="19">
        <v>75934</v>
      </c>
      <c r="EA45" s="19">
        <v>26</v>
      </c>
      <c r="EB45" s="19" t="s">
        <v>276</v>
      </c>
      <c r="EC45" s="19" t="s">
        <v>276</v>
      </c>
      <c r="ED45" s="19">
        <v>230</v>
      </c>
      <c r="EE45" s="19" t="s">
        <v>276</v>
      </c>
      <c r="EF45" s="19" t="s">
        <v>276</v>
      </c>
      <c r="EG45" s="19" t="s">
        <v>276</v>
      </c>
      <c r="EH45" s="19">
        <v>0</v>
      </c>
      <c r="EI45" s="19">
        <v>72</v>
      </c>
      <c r="EJ45" s="19" t="s">
        <v>276</v>
      </c>
      <c r="EK45" s="20" t="s">
        <v>276</v>
      </c>
      <c r="EL45" s="20" t="s">
        <v>276</v>
      </c>
      <c r="EM45" s="20" t="s">
        <v>276</v>
      </c>
      <c r="EN45" s="19">
        <v>74984</v>
      </c>
      <c r="EO45" s="19">
        <v>0</v>
      </c>
      <c r="EP45" s="20" t="s">
        <v>276</v>
      </c>
      <c r="EQ45" s="20" t="s">
        <v>276</v>
      </c>
      <c r="ER45" s="20" t="s">
        <v>276</v>
      </c>
      <c r="ES45" s="19">
        <v>0</v>
      </c>
      <c r="ET45" s="19">
        <v>622</v>
      </c>
      <c r="EU45" s="19">
        <v>52555.702929855834</v>
      </c>
      <c r="EV45" s="19">
        <v>4143</v>
      </c>
      <c r="EW45" s="19">
        <v>229.16</v>
      </c>
      <c r="EX45" s="19">
        <v>115</v>
      </c>
      <c r="EY45" s="19">
        <v>11343.65</v>
      </c>
      <c r="EZ45" s="19">
        <v>14270.51</v>
      </c>
      <c r="FA45" s="19">
        <v>9141.0846054837202</v>
      </c>
      <c r="FB45" s="19">
        <v>60.224999999999994</v>
      </c>
      <c r="FC45" s="19">
        <v>8500.0733243721079</v>
      </c>
      <c r="FD45" s="19">
        <v>312</v>
      </c>
      <c r="FE45" s="19">
        <v>582</v>
      </c>
      <c r="FF45" s="19">
        <v>0</v>
      </c>
      <c r="FG45" s="19">
        <v>0</v>
      </c>
      <c r="FH45" s="20" t="s">
        <v>276</v>
      </c>
      <c r="FI45" s="20" t="s">
        <v>276</v>
      </c>
      <c r="FJ45" s="20" t="s">
        <v>276</v>
      </c>
      <c r="FK45" s="19">
        <v>0</v>
      </c>
      <c r="FL45" s="19">
        <v>66</v>
      </c>
      <c r="FM45" s="19">
        <v>0</v>
      </c>
      <c r="FN45" s="19">
        <v>0</v>
      </c>
      <c r="FO45" s="19">
        <v>3793</v>
      </c>
    </row>
    <row r="46" spans="1:171" ht="13.5" customHeight="1">
      <c r="A46" s="17" t="s">
        <v>138</v>
      </c>
      <c r="B46" s="18" t="s">
        <v>139</v>
      </c>
      <c r="C46" s="17" t="s">
        <v>59</v>
      </c>
      <c r="D46" s="19">
        <v>40782</v>
      </c>
      <c r="E46" s="19">
        <v>5028</v>
      </c>
      <c r="F46" s="19">
        <v>31</v>
      </c>
      <c r="G46" s="19">
        <v>33</v>
      </c>
      <c r="H46" s="19">
        <v>6131</v>
      </c>
      <c r="I46" s="19">
        <v>3633</v>
      </c>
      <c r="J46" s="19">
        <v>1622</v>
      </c>
      <c r="K46" s="19">
        <v>6</v>
      </c>
      <c r="L46" s="19">
        <v>416</v>
      </c>
      <c r="M46" s="19">
        <v>83</v>
      </c>
      <c r="N46" s="19">
        <v>683</v>
      </c>
      <c r="O46" s="19">
        <v>1688</v>
      </c>
      <c r="P46" s="19">
        <v>0</v>
      </c>
      <c r="Q46" s="19">
        <v>10756</v>
      </c>
      <c r="R46" s="19">
        <v>113</v>
      </c>
      <c r="S46" s="19">
        <v>430</v>
      </c>
      <c r="T46" s="19">
        <v>5954</v>
      </c>
      <c r="U46" s="19">
        <v>0</v>
      </c>
      <c r="V46" s="19">
        <v>1594</v>
      </c>
      <c r="W46" s="19">
        <v>143</v>
      </c>
      <c r="X46" s="19">
        <v>2438</v>
      </c>
      <c r="Y46" s="19">
        <v>19597</v>
      </c>
      <c r="Z46" s="19">
        <v>5</v>
      </c>
      <c r="AA46" s="19">
        <v>0</v>
      </c>
      <c r="AB46" s="19">
        <v>0</v>
      </c>
      <c r="AC46" s="19">
        <v>1125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20" t="s">
        <v>276</v>
      </c>
      <c r="AK46" s="20" t="s">
        <v>276</v>
      </c>
      <c r="AL46" s="19">
        <v>10756</v>
      </c>
      <c r="AM46" s="20" t="s">
        <v>276</v>
      </c>
      <c r="AN46" s="20" t="s">
        <v>276</v>
      </c>
      <c r="AO46" s="19">
        <v>5954</v>
      </c>
      <c r="AP46" s="20" t="s">
        <v>276</v>
      </c>
      <c r="AQ46" s="19">
        <v>1594</v>
      </c>
      <c r="AR46" s="20" t="s">
        <v>276</v>
      </c>
      <c r="AS46" s="19">
        <v>163</v>
      </c>
      <c r="AT46" s="19">
        <v>1449</v>
      </c>
      <c r="AU46" s="19">
        <v>0</v>
      </c>
      <c r="AV46" s="19">
        <v>0</v>
      </c>
      <c r="AW46" s="19">
        <v>0</v>
      </c>
      <c r="AX46" s="19">
        <v>1076</v>
      </c>
      <c r="AY46" s="19">
        <v>242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 t="s">
        <v>276</v>
      </c>
      <c r="BF46" s="19" t="s">
        <v>276</v>
      </c>
      <c r="BG46" s="20" t="s">
        <v>276</v>
      </c>
      <c r="BH46" s="20" t="s">
        <v>276</v>
      </c>
      <c r="BI46" s="20" t="s">
        <v>276</v>
      </c>
      <c r="BJ46" s="20" t="s">
        <v>276</v>
      </c>
      <c r="BK46" s="20" t="s">
        <v>276</v>
      </c>
      <c r="BL46" s="20" t="s">
        <v>276</v>
      </c>
      <c r="BM46" s="20" t="s">
        <v>276</v>
      </c>
      <c r="BN46" s="19">
        <v>131</v>
      </c>
      <c r="BO46" s="19">
        <v>1686</v>
      </c>
      <c r="BP46" s="19" t="s">
        <v>276</v>
      </c>
      <c r="BQ46" s="19" t="s">
        <v>276</v>
      </c>
      <c r="BR46" s="19" t="s">
        <v>276</v>
      </c>
      <c r="BS46" s="19" t="s">
        <v>276</v>
      </c>
      <c r="BT46" s="19" t="s">
        <v>276</v>
      </c>
      <c r="BU46" s="19" t="s">
        <v>276</v>
      </c>
      <c r="BV46" s="19" t="s">
        <v>276</v>
      </c>
      <c r="BW46" s="19" t="s">
        <v>276</v>
      </c>
      <c r="BX46" s="19" t="s">
        <v>276</v>
      </c>
      <c r="BY46" s="19" t="s">
        <v>276</v>
      </c>
      <c r="BZ46" s="19">
        <v>1686</v>
      </c>
      <c r="CA46" s="19" t="s">
        <v>276</v>
      </c>
      <c r="CB46" s="20" t="s">
        <v>276</v>
      </c>
      <c r="CC46" s="20" t="s">
        <v>276</v>
      </c>
      <c r="CD46" s="20" t="s">
        <v>276</v>
      </c>
      <c r="CE46" s="20" t="s">
        <v>276</v>
      </c>
      <c r="CF46" s="20" t="s">
        <v>276</v>
      </c>
      <c r="CG46" s="20" t="s">
        <v>276</v>
      </c>
      <c r="CH46" s="20" t="s">
        <v>276</v>
      </c>
      <c r="CI46" s="19">
        <v>0</v>
      </c>
      <c r="CJ46" s="19">
        <v>0</v>
      </c>
      <c r="CK46" s="19" t="s">
        <v>276</v>
      </c>
      <c r="CL46" s="19" t="s">
        <v>276</v>
      </c>
      <c r="CM46" s="19" t="s">
        <v>276</v>
      </c>
      <c r="CN46" s="19" t="s">
        <v>276</v>
      </c>
      <c r="CO46" s="19" t="s">
        <v>276</v>
      </c>
      <c r="CP46" s="19" t="s">
        <v>276</v>
      </c>
      <c r="CQ46" s="19" t="s">
        <v>276</v>
      </c>
      <c r="CR46" s="19" t="s">
        <v>276</v>
      </c>
      <c r="CS46" s="19" t="s">
        <v>276</v>
      </c>
      <c r="CT46" s="19" t="s">
        <v>276</v>
      </c>
      <c r="CU46" s="19" t="s">
        <v>276</v>
      </c>
      <c r="CV46" s="19">
        <v>0</v>
      </c>
      <c r="CW46" s="20" t="s">
        <v>276</v>
      </c>
      <c r="CX46" s="20" t="s">
        <v>276</v>
      </c>
      <c r="CY46" s="20" t="s">
        <v>276</v>
      </c>
      <c r="CZ46" s="20" t="s">
        <v>276</v>
      </c>
      <c r="DA46" s="20" t="s">
        <v>276</v>
      </c>
      <c r="DB46" s="20" t="s">
        <v>276</v>
      </c>
      <c r="DC46" s="20" t="s">
        <v>276</v>
      </c>
      <c r="DD46" s="19">
        <v>0</v>
      </c>
      <c r="DE46" s="19">
        <v>2</v>
      </c>
      <c r="DF46" s="19" t="s">
        <v>276</v>
      </c>
      <c r="DG46" s="19" t="s">
        <v>276</v>
      </c>
      <c r="DH46" s="19" t="s">
        <v>276</v>
      </c>
      <c r="DI46" s="19" t="s">
        <v>276</v>
      </c>
      <c r="DJ46" s="19" t="s">
        <v>276</v>
      </c>
      <c r="DK46" s="19" t="s">
        <v>276</v>
      </c>
      <c r="DL46" s="19" t="s">
        <v>276</v>
      </c>
      <c r="DM46" s="19" t="s">
        <v>276</v>
      </c>
      <c r="DN46" s="19" t="s">
        <v>276</v>
      </c>
      <c r="DO46" s="19" t="s">
        <v>276</v>
      </c>
      <c r="DP46" s="19">
        <v>2</v>
      </c>
      <c r="DQ46" s="19" t="s">
        <v>276</v>
      </c>
      <c r="DR46" s="20" t="s">
        <v>276</v>
      </c>
      <c r="DS46" s="20" t="s">
        <v>276</v>
      </c>
      <c r="DT46" s="19">
        <v>0</v>
      </c>
      <c r="DU46" s="20" t="s">
        <v>276</v>
      </c>
      <c r="DV46" s="20" t="s">
        <v>276</v>
      </c>
      <c r="DW46" s="20" t="s">
        <v>276</v>
      </c>
      <c r="DX46" s="20" t="s">
        <v>276</v>
      </c>
      <c r="DY46" s="19">
        <v>0</v>
      </c>
      <c r="DZ46" s="19">
        <v>664</v>
      </c>
      <c r="EA46" s="19">
        <v>0</v>
      </c>
      <c r="EB46" s="19" t="s">
        <v>276</v>
      </c>
      <c r="EC46" s="19" t="s">
        <v>276</v>
      </c>
      <c r="ED46" s="19">
        <v>0</v>
      </c>
      <c r="EE46" s="19" t="s">
        <v>276</v>
      </c>
      <c r="EF46" s="19" t="s">
        <v>276</v>
      </c>
      <c r="EG46" s="19" t="s">
        <v>276</v>
      </c>
      <c r="EH46" s="19">
        <v>0</v>
      </c>
      <c r="EI46" s="19">
        <v>0</v>
      </c>
      <c r="EJ46" s="19" t="s">
        <v>276</v>
      </c>
      <c r="EK46" s="20" t="s">
        <v>276</v>
      </c>
      <c r="EL46" s="20" t="s">
        <v>276</v>
      </c>
      <c r="EM46" s="20" t="s">
        <v>276</v>
      </c>
      <c r="EN46" s="19">
        <v>113</v>
      </c>
      <c r="EO46" s="19">
        <v>430</v>
      </c>
      <c r="EP46" s="20" t="s">
        <v>276</v>
      </c>
      <c r="EQ46" s="20" t="s">
        <v>276</v>
      </c>
      <c r="ER46" s="20" t="s">
        <v>276</v>
      </c>
      <c r="ES46" s="19">
        <v>121</v>
      </c>
      <c r="ET46" s="19">
        <v>0</v>
      </c>
      <c r="EU46" s="19">
        <v>17384</v>
      </c>
      <c r="EV46" s="19">
        <v>5023</v>
      </c>
      <c r="EW46" s="19">
        <v>31</v>
      </c>
      <c r="EX46" s="19">
        <v>33</v>
      </c>
      <c r="EY46" s="19">
        <v>3930</v>
      </c>
      <c r="EZ46" s="19">
        <v>3391</v>
      </c>
      <c r="FA46" s="19">
        <v>1622</v>
      </c>
      <c r="FB46" s="19">
        <v>6</v>
      </c>
      <c r="FC46" s="19">
        <v>416</v>
      </c>
      <c r="FD46" s="19">
        <v>83</v>
      </c>
      <c r="FE46" s="19">
        <v>683</v>
      </c>
      <c r="FF46" s="19">
        <v>0</v>
      </c>
      <c r="FG46" s="19">
        <v>0</v>
      </c>
      <c r="FH46" s="20" t="s">
        <v>276</v>
      </c>
      <c r="FI46" s="20" t="s">
        <v>276</v>
      </c>
      <c r="FJ46" s="20" t="s">
        <v>276</v>
      </c>
      <c r="FK46" s="19">
        <v>0</v>
      </c>
      <c r="FL46" s="19">
        <v>0</v>
      </c>
      <c r="FM46" s="19">
        <v>0</v>
      </c>
      <c r="FN46" s="19">
        <v>22</v>
      </c>
      <c r="FO46" s="19">
        <v>2144</v>
      </c>
    </row>
    <row r="47" spans="1:171" ht="13.5" customHeight="1">
      <c r="A47" s="17" t="s">
        <v>140</v>
      </c>
      <c r="B47" s="18" t="s">
        <v>141</v>
      </c>
      <c r="C47" s="17" t="s">
        <v>59</v>
      </c>
      <c r="D47" s="19">
        <v>57292</v>
      </c>
      <c r="E47" s="19">
        <v>7151</v>
      </c>
      <c r="F47" s="19">
        <v>18</v>
      </c>
      <c r="G47" s="19">
        <v>98</v>
      </c>
      <c r="H47" s="19">
        <v>8681</v>
      </c>
      <c r="I47" s="19">
        <v>6602</v>
      </c>
      <c r="J47" s="19">
        <v>3272</v>
      </c>
      <c r="K47" s="19">
        <v>46</v>
      </c>
      <c r="L47" s="19">
        <v>5611</v>
      </c>
      <c r="M47" s="19">
        <v>15</v>
      </c>
      <c r="N47" s="19">
        <v>27</v>
      </c>
      <c r="O47" s="19">
        <v>488</v>
      </c>
      <c r="P47" s="19">
        <v>0</v>
      </c>
      <c r="Q47" s="19">
        <v>7032</v>
      </c>
      <c r="R47" s="19">
        <v>344</v>
      </c>
      <c r="S47" s="19">
        <v>0</v>
      </c>
      <c r="T47" s="19">
        <v>12265</v>
      </c>
      <c r="U47" s="19">
        <v>0</v>
      </c>
      <c r="V47" s="19">
        <v>821</v>
      </c>
      <c r="W47" s="19">
        <v>23</v>
      </c>
      <c r="X47" s="19">
        <v>4798</v>
      </c>
      <c r="Y47" s="19">
        <v>24314</v>
      </c>
      <c r="Z47" s="19">
        <v>128</v>
      </c>
      <c r="AA47" s="19">
        <v>0</v>
      </c>
      <c r="AB47" s="19">
        <v>0</v>
      </c>
      <c r="AC47" s="19">
        <v>6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1</v>
      </c>
      <c r="AJ47" s="20" t="s">
        <v>276</v>
      </c>
      <c r="AK47" s="20" t="s">
        <v>276</v>
      </c>
      <c r="AL47" s="19">
        <v>7032</v>
      </c>
      <c r="AM47" s="20" t="s">
        <v>276</v>
      </c>
      <c r="AN47" s="20" t="s">
        <v>276</v>
      </c>
      <c r="AO47" s="19">
        <v>12265</v>
      </c>
      <c r="AP47" s="20" t="s">
        <v>276</v>
      </c>
      <c r="AQ47" s="19">
        <v>821</v>
      </c>
      <c r="AR47" s="20" t="s">
        <v>276</v>
      </c>
      <c r="AS47" s="19">
        <v>4061</v>
      </c>
      <c r="AT47" s="19">
        <v>2022</v>
      </c>
      <c r="AU47" s="19">
        <v>0</v>
      </c>
      <c r="AV47" s="19">
        <v>0</v>
      </c>
      <c r="AW47" s="19">
        <v>0</v>
      </c>
      <c r="AX47" s="19">
        <v>1631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 t="s">
        <v>276</v>
      </c>
      <c r="BF47" s="19" t="s">
        <v>276</v>
      </c>
      <c r="BG47" s="20" t="s">
        <v>276</v>
      </c>
      <c r="BH47" s="20" t="s">
        <v>276</v>
      </c>
      <c r="BI47" s="20" t="s">
        <v>276</v>
      </c>
      <c r="BJ47" s="20" t="s">
        <v>276</v>
      </c>
      <c r="BK47" s="20" t="s">
        <v>276</v>
      </c>
      <c r="BL47" s="20" t="s">
        <v>276</v>
      </c>
      <c r="BM47" s="20" t="s">
        <v>276</v>
      </c>
      <c r="BN47" s="19">
        <v>391</v>
      </c>
      <c r="BO47" s="19">
        <v>49</v>
      </c>
      <c r="BP47" s="19" t="s">
        <v>276</v>
      </c>
      <c r="BQ47" s="19" t="s">
        <v>276</v>
      </c>
      <c r="BR47" s="19" t="s">
        <v>276</v>
      </c>
      <c r="BS47" s="19" t="s">
        <v>276</v>
      </c>
      <c r="BT47" s="19" t="s">
        <v>276</v>
      </c>
      <c r="BU47" s="19" t="s">
        <v>276</v>
      </c>
      <c r="BV47" s="19" t="s">
        <v>276</v>
      </c>
      <c r="BW47" s="19" t="s">
        <v>276</v>
      </c>
      <c r="BX47" s="19" t="s">
        <v>276</v>
      </c>
      <c r="BY47" s="19" t="s">
        <v>276</v>
      </c>
      <c r="BZ47" s="19">
        <v>49</v>
      </c>
      <c r="CA47" s="19" t="s">
        <v>276</v>
      </c>
      <c r="CB47" s="20" t="s">
        <v>276</v>
      </c>
      <c r="CC47" s="20" t="s">
        <v>276</v>
      </c>
      <c r="CD47" s="20" t="s">
        <v>276</v>
      </c>
      <c r="CE47" s="20" t="s">
        <v>276</v>
      </c>
      <c r="CF47" s="20" t="s">
        <v>276</v>
      </c>
      <c r="CG47" s="20" t="s">
        <v>276</v>
      </c>
      <c r="CH47" s="20" t="s">
        <v>276</v>
      </c>
      <c r="CI47" s="19">
        <v>0</v>
      </c>
      <c r="CJ47" s="19">
        <v>0</v>
      </c>
      <c r="CK47" s="19" t="s">
        <v>276</v>
      </c>
      <c r="CL47" s="19" t="s">
        <v>276</v>
      </c>
      <c r="CM47" s="19" t="s">
        <v>276</v>
      </c>
      <c r="CN47" s="19" t="s">
        <v>276</v>
      </c>
      <c r="CO47" s="19" t="s">
        <v>276</v>
      </c>
      <c r="CP47" s="19" t="s">
        <v>276</v>
      </c>
      <c r="CQ47" s="19" t="s">
        <v>276</v>
      </c>
      <c r="CR47" s="19" t="s">
        <v>276</v>
      </c>
      <c r="CS47" s="19" t="s">
        <v>276</v>
      </c>
      <c r="CT47" s="19" t="s">
        <v>276</v>
      </c>
      <c r="CU47" s="19" t="s">
        <v>276</v>
      </c>
      <c r="CV47" s="19">
        <v>0</v>
      </c>
      <c r="CW47" s="20" t="s">
        <v>276</v>
      </c>
      <c r="CX47" s="20" t="s">
        <v>276</v>
      </c>
      <c r="CY47" s="20" t="s">
        <v>276</v>
      </c>
      <c r="CZ47" s="20" t="s">
        <v>276</v>
      </c>
      <c r="DA47" s="20" t="s">
        <v>276</v>
      </c>
      <c r="DB47" s="20" t="s">
        <v>276</v>
      </c>
      <c r="DC47" s="20" t="s">
        <v>276</v>
      </c>
      <c r="DD47" s="19">
        <v>0</v>
      </c>
      <c r="DE47" s="19">
        <v>0</v>
      </c>
      <c r="DF47" s="19" t="s">
        <v>276</v>
      </c>
      <c r="DG47" s="19" t="s">
        <v>276</v>
      </c>
      <c r="DH47" s="19" t="s">
        <v>276</v>
      </c>
      <c r="DI47" s="19" t="s">
        <v>276</v>
      </c>
      <c r="DJ47" s="19" t="s">
        <v>276</v>
      </c>
      <c r="DK47" s="19" t="s">
        <v>276</v>
      </c>
      <c r="DL47" s="19" t="s">
        <v>276</v>
      </c>
      <c r="DM47" s="19" t="s">
        <v>276</v>
      </c>
      <c r="DN47" s="19" t="s">
        <v>276</v>
      </c>
      <c r="DO47" s="19" t="s">
        <v>276</v>
      </c>
      <c r="DP47" s="19">
        <v>0</v>
      </c>
      <c r="DQ47" s="19" t="s">
        <v>276</v>
      </c>
      <c r="DR47" s="20" t="s">
        <v>276</v>
      </c>
      <c r="DS47" s="20" t="s">
        <v>276</v>
      </c>
      <c r="DT47" s="19">
        <v>0</v>
      </c>
      <c r="DU47" s="20" t="s">
        <v>276</v>
      </c>
      <c r="DV47" s="20" t="s">
        <v>276</v>
      </c>
      <c r="DW47" s="20" t="s">
        <v>276</v>
      </c>
      <c r="DX47" s="20" t="s">
        <v>276</v>
      </c>
      <c r="DY47" s="19">
        <v>0</v>
      </c>
      <c r="DZ47" s="19">
        <v>351</v>
      </c>
      <c r="EA47" s="19">
        <v>0</v>
      </c>
      <c r="EB47" s="19" t="s">
        <v>276</v>
      </c>
      <c r="EC47" s="19" t="s">
        <v>276</v>
      </c>
      <c r="ED47" s="19">
        <v>0</v>
      </c>
      <c r="EE47" s="19" t="s">
        <v>276</v>
      </c>
      <c r="EF47" s="19" t="s">
        <v>276</v>
      </c>
      <c r="EG47" s="19" t="s">
        <v>276</v>
      </c>
      <c r="EH47" s="19">
        <v>0</v>
      </c>
      <c r="EI47" s="19">
        <v>0</v>
      </c>
      <c r="EJ47" s="19" t="s">
        <v>276</v>
      </c>
      <c r="EK47" s="20" t="s">
        <v>276</v>
      </c>
      <c r="EL47" s="20" t="s">
        <v>276</v>
      </c>
      <c r="EM47" s="20" t="s">
        <v>276</v>
      </c>
      <c r="EN47" s="19">
        <v>344</v>
      </c>
      <c r="EO47" s="19">
        <v>0</v>
      </c>
      <c r="EP47" s="20" t="s">
        <v>276</v>
      </c>
      <c r="EQ47" s="20" t="s">
        <v>276</v>
      </c>
      <c r="ER47" s="20" t="s">
        <v>276</v>
      </c>
      <c r="ES47" s="19">
        <v>7</v>
      </c>
      <c r="ET47" s="19">
        <v>0</v>
      </c>
      <c r="EU47" s="19">
        <v>30556</v>
      </c>
      <c r="EV47" s="19">
        <v>7023</v>
      </c>
      <c r="EW47" s="19">
        <v>18</v>
      </c>
      <c r="EX47" s="19">
        <v>98</v>
      </c>
      <c r="EY47" s="19">
        <v>7044</v>
      </c>
      <c r="EZ47" s="19">
        <v>6602</v>
      </c>
      <c r="FA47" s="19">
        <v>3272</v>
      </c>
      <c r="FB47" s="19">
        <v>46</v>
      </c>
      <c r="FC47" s="19">
        <v>5611</v>
      </c>
      <c r="FD47" s="19">
        <v>15</v>
      </c>
      <c r="FE47" s="19">
        <v>26</v>
      </c>
      <c r="FF47" s="19">
        <v>439</v>
      </c>
      <c r="FG47" s="19">
        <v>0</v>
      </c>
      <c r="FH47" s="20" t="s">
        <v>276</v>
      </c>
      <c r="FI47" s="20" t="s">
        <v>276</v>
      </c>
      <c r="FJ47" s="20" t="s">
        <v>276</v>
      </c>
      <c r="FK47" s="19">
        <v>0</v>
      </c>
      <c r="FL47" s="19">
        <v>0</v>
      </c>
      <c r="FM47" s="19">
        <v>0</v>
      </c>
      <c r="FN47" s="19">
        <v>16</v>
      </c>
      <c r="FO47" s="19">
        <v>346</v>
      </c>
    </row>
    <row r="48" spans="1:171" ht="13.5" customHeight="1">
      <c r="A48" s="17" t="s">
        <v>142</v>
      </c>
      <c r="B48" s="18" t="s">
        <v>143</v>
      </c>
      <c r="C48" s="17" t="s">
        <v>59</v>
      </c>
      <c r="D48" s="19">
        <v>91287</v>
      </c>
      <c r="E48" s="19">
        <v>21550</v>
      </c>
      <c r="F48" s="19">
        <v>108</v>
      </c>
      <c r="G48" s="19">
        <v>479</v>
      </c>
      <c r="H48" s="19">
        <v>9438</v>
      </c>
      <c r="I48" s="19">
        <v>5670</v>
      </c>
      <c r="J48" s="19">
        <v>3725</v>
      </c>
      <c r="K48" s="19">
        <v>44</v>
      </c>
      <c r="L48" s="19">
        <v>6522</v>
      </c>
      <c r="M48" s="19">
        <v>649</v>
      </c>
      <c r="N48" s="19">
        <v>2343</v>
      </c>
      <c r="O48" s="19">
        <v>1198</v>
      </c>
      <c r="P48" s="19">
        <v>0</v>
      </c>
      <c r="Q48" s="19">
        <v>1052</v>
      </c>
      <c r="R48" s="19">
        <v>15374</v>
      </c>
      <c r="S48" s="19">
        <v>0</v>
      </c>
      <c r="T48" s="19">
        <v>6222</v>
      </c>
      <c r="U48" s="19">
        <v>0</v>
      </c>
      <c r="V48" s="19">
        <v>3804</v>
      </c>
      <c r="W48" s="19">
        <v>40</v>
      </c>
      <c r="X48" s="19">
        <v>13069</v>
      </c>
      <c r="Y48" s="19">
        <v>9014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20" t="s">
        <v>276</v>
      </c>
      <c r="AK48" s="20" t="s">
        <v>276</v>
      </c>
      <c r="AL48" s="19">
        <v>1052</v>
      </c>
      <c r="AM48" s="20" t="s">
        <v>276</v>
      </c>
      <c r="AN48" s="20" t="s">
        <v>276</v>
      </c>
      <c r="AO48" s="19">
        <v>6222</v>
      </c>
      <c r="AP48" s="20" t="s">
        <v>276</v>
      </c>
      <c r="AQ48" s="19">
        <v>1592</v>
      </c>
      <c r="AR48" s="20" t="s">
        <v>276</v>
      </c>
      <c r="AS48" s="19">
        <v>148</v>
      </c>
      <c r="AT48" s="19">
        <v>5534</v>
      </c>
      <c r="AU48" s="19">
        <v>692</v>
      </c>
      <c r="AV48" s="19">
        <v>16</v>
      </c>
      <c r="AW48" s="19">
        <v>203</v>
      </c>
      <c r="AX48" s="19">
        <v>3138</v>
      </c>
      <c r="AY48" s="19">
        <v>558</v>
      </c>
      <c r="AZ48" s="19">
        <v>194</v>
      </c>
      <c r="BA48" s="19">
        <v>14</v>
      </c>
      <c r="BB48" s="19">
        <v>352</v>
      </c>
      <c r="BC48" s="19">
        <v>0</v>
      </c>
      <c r="BD48" s="19">
        <v>151</v>
      </c>
      <c r="BE48" s="19" t="s">
        <v>276</v>
      </c>
      <c r="BF48" s="19" t="s">
        <v>276</v>
      </c>
      <c r="BG48" s="20" t="s">
        <v>276</v>
      </c>
      <c r="BH48" s="20" t="s">
        <v>276</v>
      </c>
      <c r="BI48" s="20" t="s">
        <v>276</v>
      </c>
      <c r="BJ48" s="20" t="s">
        <v>276</v>
      </c>
      <c r="BK48" s="20" t="s">
        <v>276</v>
      </c>
      <c r="BL48" s="20" t="s">
        <v>276</v>
      </c>
      <c r="BM48" s="20" t="s">
        <v>276</v>
      </c>
      <c r="BN48" s="19">
        <v>216</v>
      </c>
      <c r="BO48" s="19">
        <v>2352</v>
      </c>
      <c r="BP48" s="19" t="s">
        <v>276</v>
      </c>
      <c r="BQ48" s="19" t="s">
        <v>276</v>
      </c>
      <c r="BR48" s="19" t="s">
        <v>276</v>
      </c>
      <c r="BS48" s="19" t="s">
        <v>276</v>
      </c>
      <c r="BT48" s="19" t="s">
        <v>276</v>
      </c>
      <c r="BU48" s="19" t="s">
        <v>276</v>
      </c>
      <c r="BV48" s="19" t="s">
        <v>276</v>
      </c>
      <c r="BW48" s="19" t="s">
        <v>276</v>
      </c>
      <c r="BX48" s="19" t="s">
        <v>276</v>
      </c>
      <c r="BY48" s="19" t="s">
        <v>276</v>
      </c>
      <c r="BZ48" s="19">
        <v>1198</v>
      </c>
      <c r="CA48" s="19" t="s">
        <v>276</v>
      </c>
      <c r="CB48" s="20" t="s">
        <v>276</v>
      </c>
      <c r="CC48" s="20" t="s">
        <v>276</v>
      </c>
      <c r="CD48" s="20" t="s">
        <v>276</v>
      </c>
      <c r="CE48" s="20" t="s">
        <v>276</v>
      </c>
      <c r="CF48" s="20" t="s">
        <v>276</v>
      </c>
      <c r="CG48" s="20" t="s">
        <v>276</v>
      </c>
      <c r="CH48" s="20" t="s">
        <v>276</v>
      </c>
      <c r="CI48" s="19">
        <v>1154</v>
      </c>
      <c r="CJ48" s="19">
        <v>0</v>
      </c>
      <c r="CK48" s="19" t="s">
        <v>276</v>
      </c>
      <c r="CL48" s="19" t="s">
        <v>276</v>
      </c>
      <c r="CM48" s="19" t="s">
        <v>276</v>
      </c>
      <c r="CN48" s="19" t="s">
        <v>276</v>
      </c>
      <c r="CO48" s="19" t="s">
        <v>276</v>
      </c>
      <c r="CP48" s="19" t="s">
        <v>276</v>
      </c>
      <c r="CQ48" s="19" t="s">
        <v>276</v>
      </c>
      <c r="CR48" s="19" t="s">
        <v>276</v>
      </c>
      <c r="CS48" s="19" t="s">
        <v>276</v>
      </c>
      <c r="CT48" s="19" t="s">
        <v>276</v>
      </c>
      <c r="CU48" s="19" t="s">
        <v>276</v>
      </c>
      <c r="CV48" s="19">
        <v>0</v>
      </c>
      <c r="CW48" s="20" t="s">
        <v>276</v>
      </c>
      <c r="CX48" s="20" t="s">
        <v>276</v>
      </c>
      <c r="CY48" s="20" t="s">
        <v>276</v>
      </c>
      <c r="CZ48" s="20" t="s">
        <v>276</v>
      </c>
      <c r="DA48" s="20" t="s">
        <v>276</v>
      </c>
      <c r="DB48" s="20" t="s">
        <v>276</v>
      </c>
      <c r="DC48" s="20" t="s">
        <v>276</v>
      </c>
      <c r="DD48" s="19">
        <v>0</v>
      </c>
      <c r="DE48" s="19">
        <v>0</v>
      </c>
      <c r="DF48" s="19" t="s">
        <v>276</v>
      </c>
      <c r="DG48" s="19" t="s">
        <v>276</v>
      </c>
      <c r="DH48" s="19" t="s">
        <v>276</v>
      </c>
      <c r="DI48" s="19" t="s">
        <v>276</v>
      </c>
      <c r="DJ48" s="19" t="s">
        <v>276</v>
      </c>
      <c r="DK48" s="19" t="s">
        <v>276</v>
      </c>
      <c r="DL48" s="19" t="s">
        <v>276</v>
      </c>
      <c r="DM48" s="19" t="s">
        <v>276</v>
      </c>
      <c r="DN48" s="19" t="s">
        <v>276</v>
      </c>
      <c r="DO48" s="19" t="s">
        <v>276</v>
      </c>
      <c r="DP48" s="19">
        <v>0</v>
      </c>
      <c r="DQ48" s="19" t="s">
        <v>276</v>
      </c>
      <c r="DR48" s="20" t="s">
        <v>276</v>
      </c>
      <c r="DS48" s="20" t="s">
        <v>276</v>
      </c>
      <c r="DT48" s="19">
        <v>0</v>
      </c>
      <c r="DU48" s="20" t="s">
        <v>276</v>
      </c>
      <c r="DV48" s="20" t="s">
        <v>276</v>
      </c>
      <c r="DW48" s="20" t="s">
        <v>276</v>
      </c>
      <c r="DX48" s="20" t="s">
        <v>276</v>
      </c>
      <c r="DY48" s="19">
        <v>0</v>
      </c>
      <c r="DZ48" s="19">
        <v>15503</v>
      </c>
      <c r="EA48" s="19">
        <v>0</v>
      </c>
      <c r="EB48" s="19" t="s">
        <v>276</v>
      </c>
      <c r="EC48" s="19" t="s">
        <v>276</v>
      </c>
      <c r="ED48" s="19">
        <v>0</v>
      </c>
      <c r="EE48" s="19" t="s">
        <v>276</v>
      </c>
      <c r="EF48" s="19" t="s">
        <v>276</v>
      </c>
      <c r="EG48" s="19" t="s">
        <v>276</v>
      </c>
      <c r="EH48" s="19">
        <v>113</v>
      </c>
      <c r="EI48" s="19">
        <v>0</v>
      </c>
      <c r="EJ48" s="19" t="s">
        <v>276</v>
      </c>
      <c r="EK48" s="20" t="s">
        <v>276</v>
      </c>
      <c r="EL48" s="20" t="s">
        <v>276</v>
      </c>
      <c r="EM48" s="20" t="s">
        <v>276</v>
      </c>
      <c r="EN48" s="19">
        <v>15374</v>
      </c>
      <c r="EO48" s="19">
        <v>0</v>
      </c>
      <c r="EP48" s="20" t="s">
        <v>276</v>
      </c>
      <c r="EQ48" s="20" t="s">
        <v>276</v>
      </c>
      <c r="ER48" s="20" t="s">
        <v>276</v>
      </c>
      <c r="ES48" s="19">
        <v>16</v>
      </c>
      <c r="ET48" s="19">
        <v>0</v>
      </c>
      <c r="EU48" s="19">
        <v>58884</v>
      </c>
      <c r="EV48" s="19">
        <v>20858</v>
      </c>
      <c r="EW48" s="19">
        <v>92</v>
      </c>
      <c r="EX48" s="19">
        <v>276</v>
      </c>
      <c r="EY48" s="19">
        <v>6300</v>
      </c>
      <c r="EZ48" s="19">
        <v>5112</v>
      </c>
      <c r="FA48" s="19">
        <v>3531</v>
      </c>
      <c r="FB48" s="19">
        <v>30</v>
      </c>
      <c r="FC48" s="19">
        <v>6057</v>
      </c>
      <c r="FD48" s="19">
        <v>649</v>
      </c>
      <c r="FE48" s="19">
        <v>2192</v>
      </c>
      <c r="FF48" s="19">
        <v>0</v>
      </c>
      <c r="FG48" s="19">
        <v>0</v>
      </c>
      <c r="FH48" s="20" t="s">
        <v>276</v>
      </c>
      <c r="FI48" s="20" t="s">
        <v>276</v>
      </c>
      <c r="FJ48" s="20" t="s">
        <v>276</v>
      </c>
      <c r="FK48" s="19">
        <v>0</v>
      </c>
      <c r="FL48" s="19">
        <v>0</v>
      </c>
      <c r="FM48" s="19">
        <v>2212</v>
      </c>
      <c r="FN48" s="19">
        <v>24</v>
      </c>
      <c r="FO48" s="19">
        <v>11551</v>
      </c>
    </row>
    <row r="49" spans="1:171" ht="13.5" customHeight="1">
      <c r="A49" s="17" t="s">
        <v>144</v>
      </c>
      <c r="B49" s="18" t="s">
        <v>145</v>
      </c>
      <c r="C49" s="17" t="s">
        <v>59</v>
      </c>
      <c r="D49" s="19">
        <v>60505</v>
      </c>
      <c r="E49" s="19">
        <v>11585</v>
      </c>
      <c r="F49" s="19">
        <v>67</v>
      </c>
      <c r="G49" s="19">
        <v>964</v>
      </c>
      <c r="H49" s="19">
        <v>10198</v>
      </c>
      <c r="I49" s="19">
        <v>2742</v>
      </c>
      <c r="J49" s="19">
        <v>2714</v>
      </c>
      <c r="K49" s="19">
        <v>2</v>
      </c>
      <c r="L49" s="19">
        <v>3531</v>
      </c>
      <c r="M49" s="19">
        <v>508</v>
      </c>
      <c r="N49" s="19">
        <v>1202</v>
      </c>
      <c r="O49" s="19">
        <v>916</v>
      </c>
      <c r="P49" s="19">
        <v>0</v>
      </c>
      <c r="Q49" s="19">
        <v>9011</v>
      </c>
      <c r="R49" s="19">
        <v>0</v>
      </c>
      <c r="S49" s="19">
        <v>435</v>
      </c>
      <c r="T49" s="19">
        <v>12758</v>
      </c>
      <c r="U49" s="19">
        <v>0</v>
      </c>
      <c r="V49" s="19">
        <v>2092</v>
      </c>
      <c r="W49" s="19">
        <v>0</v>
      </c>
      <c r="X49" s="19">
        <v>1780</v>
      </c>
      <c r="Y49" s="19">
        <v>25456</v>
      </c>
      <c r="Z49" s="19">
        <v>52</v>
      </c>
      <c r="AA49" s="19">
        <v>0</v>
      </c>
      <c r="AB49" s="19">
        <v>0</v>
      </c>
      <c r="AC49" s="19">
        <v>1857</v>
      </c>
      <c r="AD49" s="19">
        <v>0</v>
      </c>
      <c r="AE49" s="19">
        <v>3</v>
      </c>
      <c r="AF49" s="19">
        <v>0</v>
      </c>
      <c r="AG49" s="19">
        <v>0</v>
      </c>
      <c r="AH49" s="19">
        <v>0</v>
      </c>
      <c r="AI49" s="19">
        <v>0</v>
      </c>
      <c r="AJ49" s="20" t="s">
        <v>276</v>
      </c>
      <c r="AK49" s="20" t="s">
        <v>276</v>
      </c>
      <c r="AL49" s="19">
        <v>9011</v>
      </c>
      <c r="AM49" s="20" t="s">
        <v>276</v>
      </c>
      <c r="AN49" s="20" t="s">
        <v>276</v>
      </c>
      <c r="AO49" s="19">
        <v>12381</v>
      </c>
      <c r="AP49" s="20" t="s">
        <v>276</v>
      </c>
      <c r="AQ49" s="19">
        <v>2092</v>
      </c>
      <c r="AR49" s="20" t="s">
        <v>276</v>
      </c>
      <c r="AS49" s="19">
        <v>60</v>
      </c>
      <c r="AT49" s="19">
        <v>2840</v>
      </c>
      <c r="AU49" s="19">
        <v>65</v>
      </c>
      <c r="AV49" s="19">
        <v>0</v>
      </c>
      <c r="AW49" s="19">
        <v>0</v>
      </c>
      <c r="AX49" s="19">
        <v>2646</v>
      </c>
      <c r="AY49" s="19">
        <v>0</v>
      </c>
      <c r="AZ49" s="19">
        <v>2</v>
      </c>
      <c r="BA49" s="19">
        <v>0</v>
      </c>
      <c r="BB49" s="19">
        <v>1</v>
      </c>
      <c r="BC49" s="19">
        <v>0</v>
      </c>
      <c r="BD49" s="19">
        <v>0</v>
      </c>
      <c r="BE49" s="19" t="s">
        <v>276</v>
      </c>
      <c r="BF49" s="19" t="s">
        <v>276</v>
      </c>
      <c r="BG49" s="20" t="s">
        <v>276</v>
      </c>
      <c r="BH49" s="20" t="s">
        <v>276</v>
      </c>
      <c r="BI49" s="20" t="s">
        <v>276</v>
      </c>
      <c r="BJ49" s="20" t="s">
        <v>276</v>
      </c>
      <c r="BK49" s="20" t="s">
        <v>276</v>
      </c>
      <c r="BL49" s="20" t="s">
        <v>276</v>
      </c>
      <c r="BM49" s="20" t="s">
        <v>276</v>
      </c>
      <c r="BN49" s="19">
        <v>126</v>
      </c>
      <c r="BO49" s="19">
        <v>466</v>
      </c>
      <c r="BP49" s="19" t="s">
        <v>276</v>
      </c>
      <c r="BQ49" s="19" t="s">
        <v>276</v>
      </c>
      <c r="BR49" s="19" t="s">
        <v>276</v>
      </c>
      <c r="BS49" s="19" t="s">
        <v>276</v>
      </c>
      <c r="BT49" s="19" t="s">
        <v>276</v>
      </c>
      <c r="BU49" s="19" t="s">
        <v>276</v>
      </c>
      <c r="BV49" s="19" t="s">
        <v>276</v>
      </c>
      <c r="BW49" s="19" t="s">
        <v>276</v>
      </c>
      <c r="BX49" s="19" t="s">
        <v>276</v>
      </c>
      <c r="BY49" s="19" t="s">
        <v>276</v>
      </c>
      <c r="BZ49" s="19">
        <v>466</v>
      </c>
      <c r="CA49" s="19" t="s">
        <v>276</v>
      </c>
      <c r="CB49" s="20" t="s">
        <v>276</v>
      </c>
      <c r="CC49" s="20" t="s">
        <v>276</v>
      </c>
      <c r="CD49" s="20" t="s">
        <v>276</v>
      </c>
      <c r="CE49" s="20" t="s">
        <v>276</v>
      </c>
      <c r="CF49" s="20" t="s">
        <v>276</v>
      </c>
      <c r="CG49" s="20" t="s">
        <v>276</v>
      </c>
      <c r="CH49" s="20" t="s">
        <v>276</v>
      </c>
      <c r="CI49" s="19">
        <v>0</v>
      </c>
      <c r="CJ49" s="19">
        <v>0</v>
      </c>
      <c r="CK49" s="19" t="s">
        <v>276</v>
      </c>
      <c r="CL49" s="19" t="s">
        <v>276</v>
      </c>
      <c r="CM49" s="19" t="s">
        <v>276</v>
      </c>
      <c r="CN49" s="19" t="s">
        <v>276</v>
      </c>
      <c r="CO49" s="19" t="s">
        <v>276</v>
      </c>
      <c r="CP49" s="19" t="s">
        <v>276</v>
      </c>
      <c r="CQ49" s="19" t="s">
        <v>276</v>
      </c>
      <c r="CR49" s="19" t="s">
        <v>276</v>
      </c>
      <c r="CS49" s="19" t="s">
        <v>276</v>
      </c>
      <c r="CT49" s="19" t="s">
        <v>276</v>
      </c>
      <c r="CU49" s="19" t="s">
        <v>276</v>
      </c>
      <c r="CV49" s="19">
        <v>0</v>
      </c>
      <c r="CW49" s="20" t="s">
        <v>276</v>
      </c>
      <c r="CX49" s="20" t="s">
        <v>276</v>
      </c>
      <c r="CY49" s="20" t="s">
        <v>276</v>
      </c>
      <c r="CZ49" s="20" t="s">
        <v>276</v>
      </c>
      <c r="DA49" s="20" t="s">
        <v>276</v>
      </c>
      <c r="DB49" s="20" t="s">
        <v>276</v>
      </c>
      <c r="DC49" s="20" t="s">
        <v>276</v>
      </c>
      <c r="DD49" s="19">
        <v>0</v>
      </c>
      <c r="DE49" s="19">
        <v>885</v>
      </c>
      <c r="DF49" s="19" t="s">
        <v>276</v>
      </c>
      <c r="DG49" s="19" t="s">
        <v>276</v>
      </c>
      <c r="DH49" s="19" t="s">
        <v>276</v>
      </c>
      <c r="DI49" s="19" t="s">
        <v>276</v>
      </c>
      <c r="DJ49" s="19" t="s">
        <v>276</v>
      </c>
      <c r="DK49" s="19" t="s">
        <v>276</v>
      </c>
      <c r="DL49" s="19" t="s">
        <v>276</v>
      </c>
      <c r="DM49" s="19" t="s">
        <v>276</v>
      </c>
      <c r="DN49" s="19" t="s">
        <v>276</v>
      </c>
      <c r="DO49" s="19" t="s">
        <v>276</v>
      </c>
      <c r="DP49" s="19">
        <v>450</v>
      </c>
      <c r="DQ49" s="19" t="s">
        <v>276</v>
      </c>
      <c r="DR49" s="20" t="s">
        <v>276</v>
      </c>
      <c r="DS49" s="20" t="s">
        <v>276</v>
      </c>
      <c r="DT49" s="19">
        <v>435</v>
      </c>
      <c r="DU49" s="20" t="s">
        <v>276</v>
      </c>
      <c r="DV49" s="20" t="s">
        <v>276</v>
      </c>
      <c r="DW49" s="20" t="s">
        <v>276</v>
      </c>
      <c r="DX49" s="20" t="s">
        <v>276</v>
      </c>
      <c r="DY49" s="19">
        <v>0</v>
      </c>
      <c r="DZ49" s="19">
        <v>0</v>
      </c>
      <c r="EA49" s="19">
        <v>0</v>
      </c>
      <c r="EB49" s="19" t="s">
        <v>276</v>
      </c>
      <c r="EC49" s="19" t="s">
        <v>276</v>
      </c>
      <c r="ED49" s="19">
        <v>0</v>
      </c>
      <c r="EE49" s="19" t="s">
        <v>276</v>
      </c>
      <c r="EF49" s="19" t="s">
        <v>276</v>
      </c>
      <c r="EG49" s="19" t="s">
        <v>276</v>
      </c>
      <c r="EH49" s="19">
        <v>0</v>
      </c>
      <c r="EI49" s="19">
        <v>0</v>
      </c>
      <c r="EJ49" s="19" t="s">
        <v>276</v>
      </c>
      <c r="EK49" s="20" t="s">
        <v>276</v>
      </c>
      <c r="EL49" s="20" t="s">
        <v>276</v>
      </c>
      <c r="EM49" s="20" t="s">
        <v>276</v>
      </c>
      <c r="EN49" s="19">
        <v>0</v>
      </c>
      <c r="EO49" s="19">
        <v>0</v>
      </c>
      <c r="EP49" s="20" t="s">
        <v>276</v>
      </c>
      <c r="EQ49" s="20" t="s">
        <v>276</v>
      </c>
      <c r="ER49" s="20" t="s">
        <v>276</v>
      </c>
      <c r="ES49" s="19">
        <v>0</v>
      </c>
      <c r="ET49" s="19">
        <v>0</v>
      </c>
      <c r="EU49" s="19">
        <v>30858</v>
      </c>
      <c r="EV49" s="19">
        <v>11468</v>
      </c>
      <c r="EW49" s="19">
        <v>67</v>
      </c>
      <c r="EX49" s="19">
        <v>964</v>
      </c>
      <c r="EY49" s="19">
        <v>5695</v>
      </c>
      <c r="EZ49" s="19">
        <v>2742</v>
      </c>
      <c r="FA49" s="19">
        <v>2709</v>
      </c>
      <c r="FB49" s="19">
        <v>2</v>
      </c>
      <c r="FC49" s="19">
        <v>3530</v>
      </c>
      <c r="FD49" s="19">
        <v>508</v>
      </c>
      <c r="FE49" s="19">
        <v>1202</v>
      </c>
      <c r="FF49" s="19">
        <v>0</v>
      </c>
      <c r="FG49" s="19">
        <v>0</v>
      </c>
      <c r="FH49" s="20" t="s">
        <v>276</v>
      </c>
      <c r="FI49" s="20" t="s">
        <v>276</v>
      </c>
      <c r="FJ49" s="20" t="s">
        <v>276</v>
      </c>
      <c r="FK49" s="19">
        <v>377</v>
      </c>
      <c r="FL49" s="19">
        <v>0</v>
      </c>
      <c r="FM49" s="19">
        <v>0</v>
      </c>
      <c r="FN49" s="19">
        <v>0</v>
      </c>
      <c r="FO49" s="19">
        <v>1594</v>
      </c>
    </row>
    <row r="50" spans="1:171" ht="13.5" customHeight="1">
      <c r="A50" s="17" t="s">
        <v>146</v>
      </c>
      <c r="B50" s="18" t="s">
        <v>147</v>
      </c>
      <c r="C50" s="17" t="s">
        <v>59</v>
      </c>
      <c r="D50" s="19">
        <v>33414</v>
      </c>
      <c r="E50" s="19">
        <v>4310</v>
      </c>
      <c r="F50" s="19">
        <v>28</v>
      </c>
      <c r="G50" s="19">
        <v>156</v>
      </c>
      <c r="H50" s="19">
        <v>8755</v>
      </c>
      <c r="I50" s="19">
        <v>4566</v>
      </c>
      <c r="J50" s="19">
        <v>3020</v>
      </c>
      <c r="K50" s="19">
        <v>9</v>
      </c>
      <c r="L50" s="19">
        <v>6191</v>
      </c>
      <c r="M50" s="19">
        <v>103</v>
      </c>
      <c r="N50" s="19">
        <v>529</v>
      </c>
      <c r="O50" s="19">
        <v>1154</v>
      </c>
      <c r="P50" s="19">
        <v>171</v>
      </c>
      <c r="Q50" s="19">
        <v>0</v>
      </c>
      <c r="R50" s="19">
        <v>196</v>
      </c>
      <c r="S50" s="19">
        <v>0</v>
      </c>
      <c r="T50" s="19">
        <v>554</v>
      </c>
      <c r="U50" s="19">
        <v>0</v>
      </c>
      <c r="V50" s="19">
        <v>0</v>
      </c>
      <c r="W50" s="19">
        <v>21</v>
      </c>
      <c r="X50" s="19">
        <v>3651</v>
      </c>
      <c r="Y50" s="19">
        <v>2140</v>
      </c>
      <c r="Z50" s="19">
        <v>12</v>
      </c>
      <c r="AA50" s="19">
        <v>0</v>
      </c>
      <c r="AB50" s="19">
        <v>0</v>
      </c>
      <c r="AC50" s="19">
        <v>819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20" t="s">
        <v>276</v>
      </c>
      <c r="AK50" s="20" t="s">
        <v>276</v>
      </c>
      <c r="AL50" s="19">
        <v>0</v>
      </c>
      <c r="AM50" s="20" t="s">
        <v>276</v>
      </c>
      <c r="AN50" s="20" t="s">
        <v>276</v>
      </c>
      <c r="AO50" s="19">
        <v>554</v>
      </c>
      <c r="AP50" s="20" t="s">
        <v>276</v>
      </c>
      <c r="AQ50" s="19">
        <v>0</v>
      </c>
      <c r="AR50" s="20" t="s">
        <v>276</v>
      </c>
      <c r="AS50" s="19">
        <v>755</v>
      </c>
      <c r="AT50" s="19">
        <v>969</v>
      </c>
      <c r="AU50" s="19">
        <v>0</v>
      </c>
      <c r="AV50" s="19">
        <v>0</v>
      </c>
      <c r="AW50" s="19">
        <v>0</v>
      </c>
      <c r="AX50" s="19">
        <v>813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 t="s">
        <v>276</v>
      </c>
      <c r="BF50" s="19" t="s">
        <v>276</v>
      </c>
      <c r="BG50" s="20" t="s">
        <v>276</v>
      </c>
      <c r="BH50" s="20" t="s">
        <v>276</v>
      </c>
      <c r="BI50" s="20" t="s">
        <v>276</v>
      </c>
      <c r="BJ50" s="20" t="s">
        <v>276</v>
      </c>
      <c r="BK50" s="20" t="s">
        <v>276</v>
      </c>
      <c r="BL50" s="20" t="s">
        <v>276</v>
      </c>
      <c r="BM50" s="20" t="s">
        <v>276</v>
      </c>
      <c r="BN50" s="19">
        <v>156</v>
      </c>
      <c r="BO50" s="19">
        <v>2707</v>
      </c>
      <c r="BP50" s="19" t="s">
        <v>276</v>
      </c>
      <c r="BQ50" s="19" t="s">
        <v>276</v>
      </c>
      <c r="BR50" s="19" t="s">
        <v>276</v>
      </c>
      <c r="BS50" s="19" t="s">
        <v>276</v>
      </c>
      <c r="BT50" s="19" t="s">
        <v>276</v>
      </c>
      <c r="BU50" s="19" t="s">
        <v>276</v>
      </c>
      <c r="BV50" s="19" t="s">
        <v>276</v>
      </c>
      <c r="BW50" s="19" t="s">
        <v>276</v>
      </c>
      <c r="BX50" s="19" t="s">
        <v>276</v>
      </c>
      <c r="BY50" s="19" t="s">
        <v>276</v>
      </c>
      <c r="BZ50" s="19">
        <v>1000</v>
      </c>
      <c r="CA50" s="19" t="s">
        <v>276</v>
      </c>
      <c r="CB50" s="20" t="s">
        <v>276</v>
      </c>
      <c r="CC50" s="20" t="s">
        <v>276</v>
      </c>
      <c r="CD50" s="20" t="s">
        <v>276</v>
      </c>
      <c r="CE50" s="20" t="s">
        <v>276</v>
      </c>
      <c r="CF50" s="20" t="s">
        <v>276</v>
      </c>
      <c r="CG50" s="20" t="s">
        <v>276</v>
      </c>
      <c r="CH50" s="20" t="s">
        <v>276</v>
      </c>
      <c r="CI50" s="19">
        <v>1707</v>
      </c>
      <c r="CJ50" s="19">
        <v>171</v>
      </c>
      <c r="CK50" s="19" t="s">
        <v>276</v>
      </c>
      <c r="CL50" s="19" t="s">
        <v>276</v>
      </c>
      <c r="CM50" s="19" t="s">
        <v>276</v>
      </c>
      <c r="CN50" s="19" t="s">
        <v>276</v>
      </c>
      <c r="CO50" s="19" t="s">
        <v>276</v>
      </c>
      <c r="CP50" s="19" t="s">
        <v>276</v>
      </c>
      <c r="CQ50" s="19" t="s">
        <v>276</v>
      </c>
      <c r="CR50" s="19" t="s">
        <v>276</v>
      </c>
      <c r="CS50" s="19" t="s">
        <v>276</v>
      </c>
      <c r="CT50" s="19" t="s">
        <v>276</v>
      </c>
      <c r="CU50" s="19" t="s">
        <v>276</v>
      </c>
      <c r="CV50" s="19">
        <v>171</v>
      </c>
      <c r="CW50" s="20" t="s">
        <v>276</v>
      </c>
      <c r="CX50" s="20" t="s">
        <v>276</v>
      </c>
      <c r="CY50" s="20" t="s">
        <v>276</v>
      </c>
      <c r="CZ50" s="20" t="s">
        <v>276</v>
      </c>
      <c r="DA50" s="20" t="s">
        <v>276</v>
      </c>
      <c r="DB50" s="20" t="s">
        <v>276</v>
      </c>
      <c r="DC50" s="20" t="s">
        <v>276</v>
      </c>
      <c r="DD50" s="19">
        <v>0</v>
      </c>
      <c r="DE50" s="19">
        <v>0</v>
      </c>
      <c r="DF50" s="19" t="s">
        <v>276</v>
      </c>
      <c r="DG50" s="19" t="s">
        <v>276</v>
      </c>
      <c r="DH50" s="19" t="s">
        <v>276</v>
      </c>
      <c r="DI50" s="19" t="s">
        <v>276</v>
      </c>
      <c r="DJ50" s="19" t="s">
        <v>276</v>
      </c>
      <c r="DK50" s="19" t="s">
        <v>276</v>
      </c>
      <c r="DL50" s="19" t="s">
        <v>276</v>
      </c>
      <c r="DM50" s="19" t="s">
        <v>276</v>
      </c>
      <c r="DN50" s="19" t="s">
        <v>276</v>
      </c>
      <c r="DO50" s="19" t="s">
        <v>276</v>
      </c>
      <c r="DP50" s="19">
        <v>0</v>
      </c>
      <c r="DQ50" s="19" t="s">
        <v>276</v>
      </c>
      <c r="DR50" s="20" t="s">
        <v>276</v>
      </c>
      <c r="DS50" s="20" t="s">
        <v>276</v>
      </c>
      <c r="DT50" s="19">
        <v>0</v>
      </c>
      <c r="DU50" s="20" t="s">
        <v>276</v>
      </c>
      <c r="DV50" s="20" t="s">
        <v>276</v>
      </c>
      <c r="DW50" s="20" t="s">
        <v>276</v>
      </c>
      <c r="DX50" s="20" t="s">
        <v>276</v>
      </c>
      <c r="DY50" s="19">
        <v>0</v>
      </c>
      <c r="DZ50" s="19">
        <v>204</v>
      </c>
      <c r="EA50" s="19">
        <v>0</v>
      </c>
      <c r="EB50" s="19" t="s">
        <v>276</v>
      </c>
      <c r="EC50" s="19" t="s">
        <v>276</v>
      </c>
      <c r="ED50" s="19">
        <v>0</v>
      </c>
      <c r="EE50" s="19" t="s">
        <v>276</v>
      </c>
      <c r="EF50" s="19" t="s">
        <v>276</v>
      </c>
      <c r="EG50" s="19" t="s">
        <v>276</v>
      </c>
      <c r="EH50" s="19">
        <v>0</v>
      </c>
      <c r="EI50" s="19">
        <v>0</v>
      </c>
      <c r="EJ50" s="19" t="s">
        <v>276</v>
      </c>
      <c r="EK50" s="20" t="s">
        <v>276</v>
      </c>
      <c r="EL50" s="20" t="s">
        <v>276</v>
      </c>
      <c r="EM50" s="20" t="s">
        <v>276</v>
      </c>
      <c r="EN50" s="19">
        <v>196</v>
      </c>
      <c r="EO50" s="19">
        <v>0</v>
      </c>
      <c r="EP50" s="20" t="s">
        <v>276</v>
      </c>
      <c r="EQ50" s="20" t="s">
        <v>276</v>
      </c>
      <c r="ER50" s="20" t="s">
        <v>276</v>
      </c>
      <c r="ES50" s="19">
        <v>8</v>
      </c>
      <c r="ET50" s="19">
        <v>0</v>
      </c>
      <c r="EU50" s="19">
        <v>27223</v>
      </c>
      <c r="EV50" s="19">
        <v>4298</v>
      </c>
      <c r="EW50" s="19">
        <v>28</v>
      </c>
      <c r="EX50" s="19">
        <v>156</v>
      </c>
      <c r="EY50" s="19">
        <v>7123</v>
      </c>
      <c r="EZ50" s="19">
        <v>4566</v>
      </c>
      <c r="FA50" s="19">
        <v>3020</v>
      </c>
      <c r="FB50" s="19">
        <v>9</v>
      </c>
      <c r="FC50" s="19">
        <v>6191</v>
      </c>
      <c r="FD50" s="19">
        <v>103</v>
      </c>
      <c r="FE50" s="19">
        <v>529</v>
      </c>
      <c r="FF50" s="19">
        <v>154</v>
      </c>
      <c r="FG50" s="19">
        <v>0</v>
      </c>
      <c r="FH50" s="20" t="s">
        <v>276</v>
      </c>
      <c r="FI50" s="20" t="s">
        <v>276</v>
      </c>
      <c r="FJ50" s="20" t="s">
        <v>276</v>
      </c>
      <c r="FK50" s="19">
        <v>0</v>
      </c>
      <c r="FL50" s="19">
        <v>0</v>
      </c>
      <c r="FM50" s="19">
        <v>0</v>
      </c>
      <c r="FN50" s="19">
        <v>13</v>
      </c>
      <c r="FO50" s="19">
        <v>1033</v>
      </c>
    </row>
    <row r="51" spans="1:171" ht="13.5" customHeight="1">
      <c r="A51" s="17" t="s">
        <v>148</v>
      </c>
      <c r="B51" s="18" t="s">
        <v>149</v>
      </c>
      <c r="C51" s="17" t="s">
        <v>59</v>
      </c>
      <c r="D51" s="19">
        <v>55827</v>
      </c>
      <c r="E51" s="19">
        <v>4921</v>
      </c>
      <c r="F51" s="19">
        <v>53</v>
      </c>
      <c r="G51" s="19">
        <v>483</v>
      </c>
      <c r="H51" s="19">
        <v>11493</v>
      </c>
      <c r="I51" s="19">
        <v>4726</v>
      </c>
      <c r="J51" s="19">
        <v>3457</v>
      </c>
      <c r="K51" s="19">
        <v>98</v>
      </c>
      <c r="L51" s="19">
        <v>6972</v>
      </c>
      <c r="M51" s="19">
        <v>114</v>
      </c>
      <c r="N51" s="19">
        <v>520</v>
      </c>
      <c r="O51" s="19">
        <v>9535</v>
      </c>
      <c r="P51" s="19">
        <v>0</v>
      </c>
      <c r="Q51" s="19">
        <v>3383</v>
      </c>
      <c r="R51" s="19">
        <v>907</v>
      </c>
      <c r="S51" s="19">
        <v>175</v>
      </c>
      <c r="T51" s="19">
        <v>3233</v>
      </c>
      <c r="U51" s="19">
        <v>0</v>
      </c>
      <c r="V51" s="19">
        <v>1839</v>
      </c>
      <c r="W51" s="19">
        <v>55</v>
      </c>
      <c r="X51" s="19">
        <v>3863</v>
      </c>
      <c r="Y51" s="19">
        <v>9782</v>
      </c>
      <c r="Z51" s="19">
        <v>26</v>
      </c>
      <c r="AA51" s="19">
        <v>0</v>
      </c>
      <c r="AB51" s="19">
        <v>0</v>
      </c>
      <c r="AC51" s="19">
        <v>684</v>
      </c>
      <c r="AD51" s="19">
        <v>0</v>
      </c>
      <c r="AE51" s="19">
        <v>0</v>
      </c>
      <c r="AF51" s="19">
        <v>0</v>
      </c>
      <c r="AG51" s="19">
        <v>476</v>
      </c>
      <c r="AH51" s="19">
        <v>8</v>
      </c>
      <c r="AI51" s="19">
        <v>63</v>
      </c>
      <c r="AJ51" s="20" t="s">
        <v>276</v>
      </c>
      <c r="AK51" s="20" t="s">
        <v>276</v>
      </c>
      <c r="AL51" s="19">
        <v>3383</v>
      </c>
      <c r="AM51" s="20" t="s">
        <v>276</v>
      </c>
      <c r="AN51" s="20" t="s">
        <v>276</v>
      </c>
      <c r="AO51" s="19">
        <v>3233</v>
      </c>
      <c r="AP51" s="20" t="s">
        <v>276</v>
      </c>
      <c r="AQ51" s="19">
        <v>1839</v>
      </c>
      <c r="AR51" s="20" t="s">
        <v>276</v>
      </c>
      <c r="AS51" s="19">
        <v>70</v>
      </c>
      <c r="AT51" s="19">
        <v>5460</v>
      </c>
      <c r="AU51" s="19">
        <v>453</v>
      </c>
      <c r="AV51" s="19">
        <v>3</v>
      </c>
      <c r="AW51" s="19">
        <v>0</v>
      </c>
      <c r="AX51" s="19">
        <v>4846</v>
      </c>
      <c r="AY51" s="19">
        <v>91</v>
      </c>
      <c r="AZ51" s="19">
        <v>53</v>
      </c>
      <c r="BA51" s="19">
        <v>0</v>
      </c>
      <c r="BB51" s="19">
        <v>0</v>
      </c>
      <c r="BC51" s="19">
        <v>0</v>
      </c>
      <c r="BD51" s="19">
        <v>0</v>
      </c>
      <c r="BE51" s="19" t="s">
        <v>276</v>
      </c>
      <c r="BF51" s="19" t="s">
        <v>276</v>
      </c>
      <c r="BG51" s="20" t="s">
        <v>276</v>
      </c>
      <c r="BH51" s="20" t="s">
        <v>276</v>
      </c>
      <c r="BI51" s="20" t="s">
        <v>276</v>
      </c>
      <c r="BJ51" s="20" t="s">
        <v>276</v>
      </c>
      <c r="BK51" s="20" t="s">
        <v>276</v>
      </c>
      <c r="BL51" s="20" t="s">
        <v>276</v>
      </c>
      <c r="BM51" s="20" t="s">
        <v>276</v>
      </c>
      <c r="BN51" s="19">
        <v>14</v>
      </c>
      <c r="BO51" s="19">
        <v>11106</v>
      </c>
      <c r="BP51" s="19" t="s">
        <v>276</v>
      </c>
      <c r="BQ51" s="19" t="s">
        <v>276</v>
      </c>
      <c r="BR51" s="19" t="s">
        <v>276</v>
      </c>
      <c r="BS51" s="19" t="s">
        <v>276</v>
      </c>
      <c r="BT51" s="19" t="s">
        <v>276</v>
      </c>
      <c r="BU51" s="19" t="s">
        <v>276</v>
      </c>
      <c r="BV51" s="19" t="s">
        <v>276</v>
      </c>
      <c r="BW51" s="19" t="s">
        <v>276</v>
      </c>
      <c r="BX51" s="19" t="s">
        <v>276</v>
      </c>
      <c r="BY51" s="19" t="s">
        <v>276</v>
      </c>
      <c r="BZ51" s="19">
        <v>9535</v>
      </c>
      <c r="CA51" s="19" t="s">
        <v>276</v>
      </c>
      <c r="CB51" s="20" t="s">
        <v>276</v>
      </c>
      <c r="CC51" s="20" t="s">
        <v>276</v>
      </c>
      <c r="CD51" s="20" t="s">
        <v>276</v>
      </c>
      <c r="CE51" s="20" t="s">
        <v>276</v>
      </c>
      <c r="CF51" s="20" t="s">
        <v>276</v>
      </c>
      <c r="CG51" s="20" t="s">
        <v>276</v>
      </c>
      <c r="CH51" s="20" t="s">
        <v>276</v>
      </c>
      <c r="CI51" s="19">
        <v>1571</v>
      </c>
      <c r="CJ51" s="19">
        <v>0</v>
      </c>
      <c r="CK51" s="19" t="s">
        <v>276</v>
      </c>
      <c r="CL51" s="19" t="s">
        <v>276</v>
      </c>
      <c r="CM51" s="19" t="s">
        <v>276</v>
      </c>
      <c r="CN51" s="19" t="s">
        <v>276</v>
      </c>
      <c r="CO51" s="19" t="s">
        <v>276</v>
      </c>
      <c r="CP51" s="19" t="s">
        <v>276</v>
      </c>
      <c r="CQ51" s="19" t="s">
        <v>276</v>
      </c>
      <c r="CR51" s="19" t="s">
        <v>276</v>
      </c>
      <c r="CS51" s="19" t="s">
        <v>276</v>
      </c>
      <c r="CT51" s="19" t="s">
        <v>276</v>
      </c>
      <c r="CU51" s="19" t="s">
        <v>276</v>
      </c>
      <c r="CV51" s="19">
        <v>0</v>
      </c>
      <c r="CW51" s="20" t="s">
        <v>276</v>
      </c>
      <c r="CX51" s="20" t="s">
        <v>276</v>
      </c>
      <c r="CY51" s="20" t="s">
        <v>276</v>
      </c>
      <c r="CZ51" s="20" t="s">
        <v>276</v>
      </c>
      <c r="DA51" s="20" t="s">
        <v>276</v>
      </c>
      <c r="DB51" s="20" t="s">
        <v>276</v>
      </c>
      <c r="DC51" s="20" t="s">
        <v>276</v>
      </c>
      <c r="DD51" s="19">
        <v>0</v>
      </c>
      <c r="DE51" s="19">
        <v>175</v>
      </c>
      <c r="DF51" s="19" t="s">
        <v>276</v>
      </c>
      <c r="DG51" s="19" t="s">
        <v>276</v>
      </c>
      <c r="DH51" s="19" t="s">
        <v>276</v>
      </c>
      <c r="DI51" s="19" t="s">
        <v>276</v>
      </c>
      <c r="DJ51" s="19" t="s">
        <v>276</v>
      </c>
      <c r="DK51" s="19" t="s">
        <v>276</v>
      </c>
      <c r="DL51" s="19" t="s">
        <v>276</v>
      </c>
      <c r="DM51" s="19" t="s">
        <v>276</v>
      </c>
      <c r="DN51" s="19" t="s">
        <v>276</v>
      </c>
      <c r="DO51" s="19" t="s">
        <v>276</v>
      </c>
      <c r="DP51" s="19">
        <v>0</v>
      </c>
      <c r="DQ51" s="19" t="s">
        <v>276</v>
      </c>
      <c r="DR51" s="20" t="s">
        <v>276</v>
      </c>
      <c r="DS51" s="20" t="s">
        <v>276</v>
      </c>
      <c r="DT51" s="19">
        <v>175</v>
      </c>
      <c r="DU51" s="20" t="s">
        <v>276</v>
      </c>
      <c r="DV51" s="20" t="s">
        <v>276</v>
      </c>
      <c r="DW51" s="20" t="s">
        <v>276</v>
      </c>
      <c r="DX51" s="20" t="s">
        <v>276</v>
      </c>
      <c r="DY51" s="19">
        <v>0</v>
      </c>
      <c r="DZ51" s="19">
        <v>910</v>
      </c>
      <c r="EA51" s="19">
        <v>0</v>
      </c>
      <c r="EB51" s="19" t="s">
        <v>276</v>
      </c>
      <c r="EC51" s="19" t="s">
        <v>276</v>
      </c>
      <c r="ED51" s="19">
        <v>0</v>
      </c>
      <c r="EE51" s="19" t="s">
        <v>276</v>
      </c>
      <c r="EF51" s="19" t="s">
        <v>276</v>
      </c>
      <c r="EG51" s="19" t="s">
        <v>276</v>
      </c>
      <c r="EH51" s="19">
        <v>0</v>
      </c>
      <c r="EI51" s="19">
        <v>0</v>
      </c>
      <c r="EJ51" s="19" t="s">
        <v>276</v>
      </c>
      <c r="EK51" s="20" t="s">
        <v>276</v>
      </c>
      <c r="EL51" s="20" t="s">
        <v>276</v>
      </c>
      <c r="EM51" s="20" t="s">
        <v>276</v>
      </c>
      <c r="EN51" s="19">
        <v>907</v>
      </c>
      <c r="EO51" s="19">
        <v>0</v>
      </c>
      <c r="EP51" s="20" t="s">
        <v>276</v>
      </c>
      <c r="EQ51" s="20" t="s">
        <v>276</v>
      </c>
      <c r="ER51" s="20" t="s">
        <v>276</v>
      </c>
      <c r="ES51" s="19">
        <v>3</v>
      </c>
      <c r="ET51" s="19">
        <v>0</v>
      </c>
      <c r="EU51" s="19">
        <v>28394</v>
      </c>
      <c r="EV51" s="19">
        <v>4442</v>
      </c>
      <c r="EW51" s="19">
        <v>50</v>
      </c>
      <c r="EX51" s="19">
        <v>483</v>
      </c>
      <c r="EY51" s="19">
        <v>5963</v>
      </c>
      <c r="EZ51" s="19">
        <v>4635</v>
      </c>
      <c r="FA51" s="19">
        <v>3404</v>
      </c>
      <c r="FB51" s="19">
        <v>98</v>
      </c>
      <c r="FC51" s="19">
        <v>6496</v>
      </c>
      <c r="FD51" s="19">
        <v>106</v>
      </c>
      <c r="FE51" s="19">
        <v>457</v>
      </c>
      <c r="FF51" s="19">
        <v>0</v>
      </c>
      <c r="FG51" s="19">
        <v>0</v>
      </c>
      <c r="FH51" s="20" t="s">
        <v>276</v>
      </c>
      <c r="FI51" s="20" t="s">
        <v>276</v>
      </c>
      <c r="FJ51" s="20" t="s">
        <v>276</v>
      </c>
      <c r="FK51" s="19">
        <v>0</v>
      </c>
      <c r="FL51" s="19">
        <v>0</v>
      </c>
      <c r="FM51" s="19">
        <v>0</v>
      </c>
      <c r="FN51" s="19">
        <v>52</v>
      </c>
      <c r="FO51" s="19">
        <v>2208</v>
      </c>
    </row>
    <row r="52" spans="1:171" ht="13.5" customHeight="1">
      <c r="A52" s="17" t="s">
        <v>150</v>
      </c>
      <c r="B52" s="18" t="s">
        <v>151</v>
      </c>
      <c r="C52" s="17" t="s">
        <v>59</v>
      </c>
      <c r="D52" s="19">
        <v>56162</v>
      </c>
      <c r="E52" s="19">
        <v>4726</v>
      </c>
      <c r="F52" s="19">
        <v>40</v>
      </c>
      <c r="G52" s="19">
        <v>2198</v>
      </c>
      <c r="H52" s="19">
        <v>8723</v>
      </c>
      <c r="I52" s="19">
        <v>9541</v>
      </c>
      <c r="J52" s="19">
        <v>5441</v>
      </c>
      <c r="K52" s="19">
        <v>5</v>
      </c>
      <c r="L52" s="19">
        <v>29</v>
      </c>
      <c r="M52" s="19">
        <v>36</v>
      </c>
      <c r="N52" s="19">
        <v>325</v>
      </c>
      <c r="O52" s="19">
        <v>5809</v>
      </c>
      <c r="P52" s="19">
        <v>73</v>
      </c>
      <c r="Q52" s="19">
        <v>9764</v>
      </c>
      <c r="R52" s="19">
        <v>0</v>
      </c>
      <c r="S52" s="19">
        <v>0</v>
      </c>
      <c r="T52" s="19">
        <v>4509</v>
      </c>
      <c r="U52" s="19">
        <v>0</v>
      </c>
      <c r="V52" s="19">
        <v>855</v>
      </c>
      <c r="W52" s="19">
        <v>7</v>
      </c>
      <c r="X52" s="19">
        <v>4081</v>
      </c>
      <c r="Y52" s="19">
        <v>16122</v>
      </c>
      <c r="Z52" s="19">
        <v>0</v>
      </c>
      <c r="AA52" s="19">
        <v>0</v>
      </c>
      <c r="AB52" s="19">
        <v>0</v>
      </c>
      <c r="AC52" s="19">
        <v>991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20" t="s">
        <v>276</v>
      </c>
      <c r="AK52" s="20" t="s">
        <v>276</v>
      </c>
      <c r="AL52" s="19">
        <v>9764</v>
      </c>
      <c r="AM52" s="20" t="s">
        <v>276</v>
      </c>
      <c r="AN52" s="20" t="s">
        <v>276</v>
      </c>
      <c r="AO52" s="19">
        <v>4509</v>
      </c>
      <c r="AP52" s="20" t="s">
        <v>276</v>
      </c>
      <c r="AQ52" s="19">
        <v>855</v>
      </c>
      <c r="AR52" s="20" t="s">
        <v>276</v>
      </c>
      <c r="AS52" s="19">
        <v>3</v>
      </c>
      <c r="AT52" s="19">
        <v>4382</v>
      </c>
      <c r="AU52" s="19">
        <v>61</v>
      </c>
      <c r="AV52" s="19">
        <v>0</v>
      </c>
      <c r="AW52" s="19">
        <v>0</v>
      </c>
      <c r="AX52" s="19">
        <v>3724</v>
      </c>
      <c r="AY52" s="19">
        <v>154</v>
      </c>
      <c r="AZ52" s="19">
        <v>44</v>
      </c>
      <c r="BA52" s="19">
        <v>0</v>
      </c>
      <c r="BB52" s="19">
        <v>6</v>
      </c>
      <c r="BC52" s="19">
        <v>0</v>
      </c>
      <c r="BD52" s="19">
        <v>0</v>
      </c>
      <c r="BE52" s="19" t="s">
        <v>276</v>
      </c>
      <c r="BF52" s="19" t="s">
        <v>276</v>
      </c>
      <c r="BG52" s="20" t="s">
        <v>276</v>
      </c>
      <c r="BH52" s="20" t="s">
        <v>276</v>
      </c>
      <c r="BI52" s="20" t="s">
        <v>276</v>
      </c>
      <c r="BJ52" s="20" t="s">
        <v>276</v>
      </c>
      <c r="BK52" s="20" t="s">
        <v>276</v>
      </c>
      <c r="BL52" s="20" t="s">
        <v>276</v>
      </c>
      <c r="BM52" s="20" t="s">
        <v>276</v>
      </c>
      <c r="BN52" s="19">
        <v>393</v>
      </c>
      <c r="BO52" s="19">
        <v>4630</v>
      </c>
      <c r="BP52" s="19" t="s">
        <v>276</v>
      </c>
      <c r="BQ52" s="19" t="s">
        <v>276</v>
      </c>
      <c r="BR52" s="19" t="s">
        <v>276</v>
      </c>
      <c r="BS52" s="19" t="s">
        <v>276</v>
      </c>
      <c r="BT52" s="19" t="s">
        <v>276</v>
      </c>
      <c r="BU52" s="19" t="s">
        <v>276</v>
      </c>
      <c r="BV52" s="19" t="s">
        <v>276</v>
      </c>
      <c r="BW52" s="19" t="s">
        <v>276</v>
      </c>
      <c r="BX52" s="19" t="s">
        <v>276</v>
      </c>
      <c r="BY52" s="19" t="s">
        <v>276</v>
      </c>
      <c r="BZ52" s="19">
        <v>4610</v>
      </c>
      <c r="CA52" s="19" t="s">
        <v>276</v>
      </c>
      <c r="CB52" s="20" t="s">
        <v>276</v>
      </c>
      <c r="CC52" s="20" t="s">
        <v>276</v>
      </c>
      <c r="CD52" s="20" t="s">
        <v>276</v>
      </c>
      <c r="CE52" s="20" t="s">
        <v>276</v>
      </c>
      <c r="CF52" s="20" t="s">
        <v>276</v>
      </c>
      <c r="CG52" s="20" t="s">
        <v>276</v>
      </c>
      <c r="CH52" s="20" t="s">
        <v>276</v>
      </c>
      <c r="CI52" s="19">
        <v>20</v>
      </c>
      <c r="CJ52" s="19">
        <v>73</v>
      </c>
      <c r="CK52" s="19" t="s">
        <v>276</v>
      </c>
      <c r="CL52" s="19" t="s">
        <v>276</v>
      </c>
      <c r="CM52" s="19" t="s">
        <v>276</v>
      </c>
      <c r="CN52" s="19" t="s">
        <v>276</v>
      </c>
      <c r="CO52" s="19" t="s">
        <v>276</v>
      </c>
      <c r="CP52" s="19" t="s">
        <v>276</v>
      </c>
      <c r="CQ52" s="19" t="s">
        <v>276</v>
      </c>
      <c r="CR52" s="19" t="s">
        <v>276</v>
      </c>
      <c r="CS52" s="19" t="s">
        <v>276</v>
      </c>
      <c r="CT52" s="19" t="s">
        <v>276</v>
      </c>
      <c r="CU52" s="19" t="s">
        <v>276</v>
      </c>
      <c r="CV52" s="19">
        <v>73</v>
      </c>
      <c r="CW52" s="20" t="s">
        <v>276</v>
      </c>
      <c r="CX52" s="20" t="s">
        <v>276</v>
      </c>
      <c r="CY52" s="20" t="s">
        <v>276</v>
      </c>
      <c r="CZ52" s="20" t="s">
        <v>276</v>
      </c>
      <c r="DA52" s="20" t="s">
        <v>276</v>
      </c>
      <c r="DB52" s="20" t="s">
        <v>276</v>
      </c>
      <c r="DC52" s="20" t="s">
        <v>276</v>
      </c>
      <c r="DD52" s="19">
        <v>0</v>
      </c>
      <c r="DE52" s="19">
        <v>0</v>
      </c>
      <c r="DF52" s="19" t="s">
        <v>276</v>
      </c>
      <c r="DG52" s="19" t="s">
        <v>276</v>
      </c>
      <c r="DH52" s="19" t="s">
        <v>276</v>
      </c>
      <c r="DI52" s="19" t="s">
        <v>276</v>
      </c>
      <c r="DJ52" s="19" t="s">
        <v>276</v>
      </c>
      <c r="DK52" s="19" t="s">
        <v>276</v>
      </c>
      <c r="DL52" s="19" t="s">
        <v>276</v>
      </c>
      <c r="DM52" s="19" t="s">
        <v>276</v>
      </c>
      <c r="DN52" s="19" t="s">
        <v>276</v>
      </c>
      <c r="DO52" s="19" t="s">
        <v>276</v>
      </c>
      <c r="DP52" s="19">
        <v>0</v>
      </c>
      <c r="DQ52" s="19" t="s">
        <v>276</v>
      </c>
      <c r="DR52" s="20" t="s">
        <v>276</v>
      </c>
      <c r="DS52" s="20" t="s">
        <v>276</v>
      </c>
      <c r="DT52" s="19">
        <v>0</v>
      </c>
      <c r="DU52" s="20" t="s">
        <v>276</v>
      </c>
      <c r="DV52" s="20" t="s">
        <v>276</v>
      </c>
      <c r="DW52" s="20" t="s">
        <v>276</v>
      </c>
      <c r="DX52" s="20" t="s">
        <v>276</v>
      </c>
      <c r="DY52" s="19">
        <v>0</v>
      </c>
      <c r="DZ52" s="19">
        <v>0</v>
      </c>
      <c r="EA52" s="19">
        <v>0</v>
      </c>
      <c r="EB52" s="19" t="s">
        <v>276</v>
      </c>
      <c r="EC52" s="19" t="s">
        <v>276</v>
      </c>
      <c r="ED52" s="19">
        <v>0</v>
      </c>
      <c r="EE52" s="19" t="s">
        <v>276</v>
      </c>
      <c r="EF52" s="19" t="s">
        <v>276</v>
      </c>
      <c r="EG52" s="19" t="s">
        <v>276</v>
      </c>
      <c r="EH52" s="19">
        <v>0</v>
      </c>
      <c r="EI52" s="19">
        <v>0</v>
      </c>
      <c r="EJ52" s="19" t="s">
        <v>276</v>
      </c>
      <c r="EK52" s="20" t="s">
        <v>276</v>
      </c>
      <c r="EL52" s="20" t="s">
        <v>276</v>
      </c>
      <c r="EM52" s="20" t="s">
        <v>276</v>
      </c>
      <c r="EN52" s="19">
        <v>0</v>
      </c>
      <c r="EO52" s="19">
        <v>0</v>
      </c>
      <c r="EP52" s="20" t="s">
        <v>276</v>
      </c>
      <c r="EQ52" s="20" t="s">
        <v>276</v>
      </c>
      <c r="ER52" s="20" t="s">
        <v>276</v>
      </c>
      <c r="ES52" s="19">
        <v>0</v>
      </c>
      <c r="ET52" s="19">
        <v>0</v>
      </c>
      <c r="EU52" s="19">
        <v>30955</v>
      </c>
      <c r="EV52" s="19">
        <v>4665</v>
      </c>
      <c r="EW52" s="19">
        <v>40</v>
      </c>
      <c r="EX52" s="19">
        <v>2198</v>
      </c>
      <c r="EY52" s="19">
        <v>4008</v>
      </c>
      <c r="EZ52" s="19">
        <v>9387</v>
      </c>
      <c r="FA52" s="19">
        <v>5397</v>
      </c>
      <c r="FB52" s="19">
        <v>5</v>
      </c>
      <c r="FC52" s="19">
        <v>23</v>
      </c>
      <c r="FD52" s="19">
        <v>36</v>
      </c>
      <c r="FE52" s="19">
        <v>325</v>
      </c>
      <c r="FF52" s="19">
        <v>1199</v>
      </c>
      <c r="FG52" s="19">
        <v>0</v>
      </c>
      <c r="FH52" s="20" t="s">
        <v>276</v>
      </c>
      <c r="FI52" s="20" t="s">
        <v>276</v>
      </c>
      <c r="FJ52" s="20" t="s">
        <v>276</v>
      </c>
      <c r="FK52" s="19">
        <v>0</v>
      </c>
      <c r="FL52" s="19">
        <v>0</v>
      </c>
      <c r="FM52" s="19">
        <v>0</v>
      </c>
      <c r="FN52" s="19">
        <v>7</v>
      </c>
      <c r="FO52" s="19">
        <v>3665</v>
      </c>
    </row>
    <row r="53" spans="1:171" ht="13.5" customHeight="1">
      <c r="A53" s="17" t="s">
        <v>152</v>
      </c>
      <c r="B53" s="18" t="s">
        <v>153</v>
      </c>
      <c r="C53" s="17" t="s">
        <v>59</v>
      </c>
      <c r="D53" s="19">
        <v>4673274.426532777</v>
      </c>
      <c r="E53" s="19">
        <v>418878</v>
      </c>
      <c r="F53" s="19">
        <v>2677.16</v>
      </c>
      <c r="G53" s="19">
        <v>40754</v>
      </c>
      <c r="H53" s="19">
        <v>714934.64998008113</v>
      </c>
      <c r="I53" s="19">
        <v>502636.51</v>
      </c>
      <c r="J53" s="19">
        <v>254967.08460548372</v>
      </c>
      <c r="K53" s="19">
        <v>3477.2249999999999</v>
      </c>
      <c r="L53" s="19">
        <v>620803.07332437206</v>
      </c>
      <c r="M53" s="19">
        <v>38757</v>
      </c>
      <c r="N53" s="19">
        <v>38521</v>
      </c>
      <c r="O53" s="19">
        <v>119990</v>
      </c>
      <c r="P53" s="19">
        <v>5349</v>
      </c>
      <c r="Q53" s="19">
        <v>518746.93362284038</v>
      </c>
      <c r="R53" s="19">
        <v>249052</v>
      </c>
      <c r="S53" s="19">
        <v>53519</v>
      </c>
      <c r="T53" s="19">
        <v>478815</v>
      </c>
      <c r="U53" s="19">
        <v>15100</v>
      </c>
      <c r="V53" s="19">
        <v>43428</v>
      </c>
      <c r="W53" s="19">
        <v>1304</v>
      </c>
      <c r="X53" s="19">
        <v>551564.79</v>
      </c>
      <c r="Y53" s="19">
        <v>1379735.9336228403</v>
      </c>
      <c r="Z53" s="19">
        <v>2532</v>
      </c>
      <c r="AA53" s="19">
        <v>1</v>
      </c>
      <c r="AB53" s="19">
        <v>550</v>
      </c>
      <c r="AC53" s="19">
        <v>75549</v>
      </c>
      <c r="AD53" s="19">
        <v>501</v>
      </c>
      <c r="AE53" s="19">
        <v>84</v>
      </c>
      <c r="AF53" s="19">
        <v>9</v>
      </c>
      <c r="AG53" s="19">
        <v>790</v>
      </c>
      <c r="AH53" s="19">
        <v>786</v>
      </c>
      <c r="AI53" s="19">
        <v>251</v>
      </c>
      <c r="AJ53" s="20">
        <v>0</v>
      </c>
      <c r="AK53" s="20">
        <v>0</v>
      </c>
      <c r="AL53" s="19">
        <v>518746.93362284038</v>
      </c>
      <c r="AM53" s="20">
        <v>0</v>
      </c>
      <c r="AN53" s="20">
        <v>0</v>
      </c>
      <c r="AO53" s="19">
        <v>474971</v>
      </c>
      <c r="AP53" s="20">
        <v>0</v>
      </c>
      <c r="AQ53" s="19">
        <v>41210</v>
      </c>
      <c r="AR53" s="20">
        <v>0</v>
      </c>
      <c r="AS53" s="19">
        <v>263755</v>
      </c>
      <c r="AT53" s="19">
        <v>442820.99998008111</v>
      </c>
      <c r="AU53" s="19">
        <v>15314</v>
      </c>
      <c r="AV53" s="19">
        <v>126</v>
      </c>
      <c r="AW53" s="19">
        <v>353</v>
      </c>
      <c r="AX53" s="19">
        <v>311938.99998008111</v>
      </c>
      <c r="AY53" s="19">
        <v>29831</v>
      </c>
      <c r="AZ53" s="19">
        <v>9301</v>
      </c>
      <c r="BA53" s="19">
        <v>42</v>
      </c>
      <c r="BB53" s="19">
        <v>27068</v>
      </c>
      <c r="BC53" s="19">
        <v>5621</v>
      </c>
      <c r="BD53" s="19">
        <v>1750</v>
      </c>
      <c r="BE53" s="19">
        <v>0</v>
      </c>
      <c r="BF53" s="19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19">
        <v>41476</v>
      </c>
      <c r="BO53" s="19">
        <v>135209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106092</v>
      </c>
      <c r="CA53" s="19">
        <v>0</v>
      </c>
      <c r="CB53" s="20">
        <v>0</v>
      </c>
      <c r="CC53" s="20">
        <v>0</v>
      </c>
      <c r="CD53" s="20">
        <v>0</v>
      </c>
      <c r="CE53" s="20">
        <v>0</v>
      </c>
      <c r="CF53" s="20">
        <v>0</v>
      </c>
      <c r="CG53" s="20">
        <v>0</v>
      </c>
      <c r="CH53" s="20">
        <v>0</v>
      </c>
      <c r="CI53" s="19">
        <v>29117</v>
      </c>
      <c r="CJ53" s="19">
        <v>5572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>
        <v>0</v>
      </c>
      <c r="CQ53" s="19">
        <v>0</v>
      </c>
      <c r="CR53" s="19">
        <v>0</v>
      </c>
      <c r="CS53" s="19">
        <v>0</v>
      </c>
      <c r="CT53" s="19">
        <v>0</v>
      </c>
      <c r="CU53" s="19">
        <v>0</v>
      </c>
      <c r="CV53" s="19">
        <v>5242</v>
      </c>
      <c r="CW53" s="20">
        <v>0</v>
      </c>
      <c r="CX53" s="20">
        <v>0</v>
      </c>
      <c r="CY53" s="20">
        <v>0</v>
      </c>
      <c r="CZ53" s="20">
        <v>0</v>
      </c>
      <c r="DA53" s="20">
        <v>0</v>
      </c>
      <c r="DB53" s="20">
        <v>0</v>
      </c>
      <c r="DC53" s="20">
        <v>0</v>
      </c>
      <c r="DD53" s="19">
        <v>330</v>
      </c>
      <c r="DE53" s="19">
        <v>40619</v>
      </c>
      <c r="DF53" s="19">
        <v>0</v>
      </c>
      <c r="DG53" s="19">
        <v>0</v>
      </c>
      <c r="DH53" s="19">
        <v>0</v>
      </c>
      <c r="DI53" s="19">
        <v>0</v>
      </c>
      <c r="DJ53" s="19">
        <v>0</v>
      </c>
      <c r="DK53" s="19">
        <v>0</v>
      </c>
      <c r="DL53" s="19">
        <v>0</v>
      </c>
      <c r="DM53" s="19">
        <v>0</v>
      </c>
      <c r="DN53" s="19">
        <v>0</v>
      </c>
      <c r="DO53" s="19">
        <v>0</v>
      </c>
      <c r="DP53" s="19">
        <v>2241</v>
      </c>
      <c r="DQ53" s="19">
        <v>0</v>
      </c>
      <c r="DR53" s="20">
        <v>0</v>
      </c>
      <c r="DS53" s="20">
        <v>0</v>
      </c>
      <c r="DT53" s="19">
        <v>11788</v>
      </c>
      <c r="DU53" s="20">
        <v>0</v>
      </c>
      <c r="DV53" s="20">
        <v>0</v>
      </c>
      <c r="DW53" s="20">
        <v>0</v>
      </c>
      <c r="DX53" s="20">
        <v>0</v>
      </c>
      <c r="DY53" s="19">
        <v>26590</v>
      </c>
      <c r="DZ53" s="19">
        <v>302850</v>
      </c>
      <c r="EA53" s="19">
        <v>1819</v>
      </c>
      <c r="EB53" s="19">
        <v>0</v>
      </c>
      <c r="EC53" s="19">
        <v>0</v>
      </c>
      <c r="ED53" s="19">
        <v>600</v>
      </c>
      <c r="EE53" s="19">
        <v>0</v>
      </c>
      <c r="EF53" s="19">
        <v>0</v>
      </c>
      <c r="EG53" s="19">
        <v>0</v>
      </c>
      <c r="EH53" s="19">
        <v>1943</v>
      </c>
      <c r="EI53" s="19">
        <v>1316</v>
      </c>
      <c r="EJ53" s="19">
        <v>0</v>
      </c>
      <c r="EK53" s="20">
        <v>0</v>
      </c>
      <c r="EL53" s="20">
        <v>0</v>
      </c>
      <c r="EM53" s="20">
        <v>0</v>
      </c>
      <c r="EN53" s="19">
        <v>249052</v>
      </c>
      <c r="EO53" s="19">
        <v>41731</v>
      </c>
      <c r="EP53" s="20">
        <v>0</v>
      </c>
      <c r="EQ53" s="20">
        <v>0</v>
      </c>
      <c r="ER53" s="20">
        <v>0</v>
      </c>
      <c r="ES53" s="19">
        <v>578</v>
      </c>
      <c r="ET53" s="19">
        <v>5811</v>
      </c>
      <c r="EU53" s="19">
        <v>2366467.4929298558</v>
      </c>
      <c r="EV53" s="19">
        <v>399213</v>
      </c>
      <c r="EW53" s="19">
        <v>2550.16</v>
      </c>
      <c r="EX53" s="19">
        <v>39851</v>
      </c>
      <c r="EY53" s="19">
        <v>326846.65000000002</v>
      </c>
      <c r="EZ53" s="19">
        <v>472304.51</v>
      </c>
      <c r="FA53" s="19">
        <v>245582.08460548372</v>
      </c>
      <c r="FB53" s="19">
        <v>3426.2249999999999</v>
      </c>
      <c r="FC53" s="19">
        <v>591002.07332437206</v>
      </c>
      <c r="FD53" s="19">
        <v>31034</v>
      </c>
      <c r="FE53" s="19">
        <v>36520</v>
      </c>
      <c r="FF53" s="19">
        <v>11657</v>
      </c>
      <c r="FG53" s="19">
        <v>107</v>
      </c>
      <c r="FH53" s="20">
        <v>0</v>
      </c>
      <c r="FI53" s="20">
        <v>0</v>
      </c>
      <c r="FJ53" s="20">
        <v>0</v>
      </c>
      <c r="FK53" s="19">
        <v>3844</v>
      </c>
      <c r="FL53" s="19">
        <v>15100</v>
      </c>
      <c r="FM53" s="19">
        <v>2218</v>
      </c>
      <c r="FN53" s="19">
        <v>726</v>
      </c>
      <c r="FO53" s="19">
        <v>184485.78999999998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48" orientation="landscape" r:id="rId1"/>
  <headerFooter alignWithMargins="0">
    <oddHeader>&amp;L中間処理後の再生利用量の状況（令和2年度実績）</oddHeader>
  </headerFooter>
  <colBreaks count="7" manualBreakCount="7">
    <brk id="24" min="1" max="23" man="1"/>
    <brk id="45" min="1" max="23" man="1"/>
    <brk id="66" min="1" max="23" man="1"/>
    <brk id="87" min="1" max="23" man="1"/>
    <brk id="108" min="1" max="23" man="1"/>
    <brk id="129" min="1" max="23" man="1"/>
    <brk id="150" min="1" max="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Y52"/>
  <sheetViews>
    <sheetView zoomScaleNormal="100" workbookViewId="0">
      <pane xSplit="3" ySplit="5" topLeftCell="D6" activePane="bottomRight" state="frozen"/>
      <selection activeCell="D7" sqref="D7"/>
      <selection pane="topRight" activeCell="D7" sqref="D7"/>
      <selection pane="bottomLeft" activeCell="D7" sqref="D7"/>
      <selection pane="bottomRight"/>
    </sheetView>
  </sheetViews>
  <sheetFormatPr defaultColWidth="9" defaultRowHeight="13.5" customHeight="1"/>
  <cols>
    <col min="1" max="1" width="10.75" style="10" customWidth="1"/>
    <col min="2" max="2" width="8.75" style="13" customWidth="1"/>
    <col min="3" max="3" width="12.625" style="10" customWidth="1"/>
    <col min="4" max="103" width="10" style="14" customWidth="1"/>
    <col min="104" max="16384" width="9" style="10"/>
  </cols>
  <sheetData>
    <row r="1" spans="1:103" s="3" customFormat="1" ht="17.25">
      <c r="A1" s="1" t="s">
        <v>312</v>
      </c>
      <c r="B1" s="2"/>
      <c r="C1" s="2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</row>
    <row r="2" spans="1:103" ht="25.5" customHeight="1">
      <c r="A2" s="7" t="s">
        <v>313</v>
      </c>
      <c r="B2" s="37" t="s">
        <v>314</v>
      </c>
      <c r="C2" s="8" t="s">
        <v>315</v>
      </c>
      <c r="D2" s="38" t="s">
        <v>316</v>
      </c>
      <c r="E2" s="38" t="s">
        <v>317</v>
      </c>
      <c r="F2" s="38" t="s">
        <v>316</v>
      </c>
      <c r="G2" s="38" t="s">
        <v>317</v>
      </c>
      <c r="H2" s="38" t="s">
        <v>316</v>
      </c>
      <c r="I2" s="38" t="s">
        <v>316</v>
      </c>
      <c r="J2" s="38" t="s">
        <v>316</v>
      </c>
      <c r="K2" s="38" t="s">
        <v>316</v>
      </c>
      <c r="L2" s="38" t="s">
        <v>316</v>
      </c>
      <c r="M2" s="38" t="s">
        <v>316</v>
      </c>
      <c r="N2" s="38" t="s">
        <v>316</v>
      </c>
      <c r="O2" s="38" t="s">
        <v>316</v>
      </c>
      <c r="P2" s="38" t="s">
        <v>318</v>
      </c>
      <c r="Q2" s="38" t="s">
        <v>318</v>
      </c>
      <c r="R2" s="38" t="s">
        <v>318</v>
      </c>
      <c r="S2" s="38" t="s">
        <v>318</v>
      </c>
      <c r="T2" s="38" t="s">
        <v>319</v>
      </c>
      <c r="U2" s="38" t="s">
        <v>318</v>
      </c>
      <c r="V2" s="38" t="s">
        <v>318</v>
      </c>
      <c r="W2" s="38" t="s">
        <v>318</v>
      </c>
      <c r="X2" s="38" t="s">
        <v>320</v>
      </c>
      <c r="Y2" s="38" t="s">
        <v>320</v>
      </c>
      <c r="Z2" s="38" t="s">
        <v>320</v>
      </c>
      <c r="AA2" s="38" t="s">
        <v>321</v>
      </c>
      <c r="AB2" s="38" t="s">
        <v>320</v>
      </c>
      <c r="AC2" s="38" t="s">
        <v>321</v>
      </c>
      <c r="AD2" s="38" t="s">
        <v>320</v>
      </c>
      <c r="AE2" s="38" t="s">
        <v>321</v>
      </c>
      <c r="AF2" s="38" t="s">
        <v>322</v>
      </c>
      <c r="AG2" s="38" t="s">
        <v>322</v>
      </c>
      <c r="AH2" s="38" t="s">
        <v>322</v>
      </c>
      <c r="AI2" s="38" t="s">
        <v>322</v>
      </c>
      <c r="AJ2" s="38" t="s">
        <v>322</v>
      </c>
      <c r="AK2" s="38" t="s">
        <v>322</v>
      </c>
      <c r="AL2" s="38" t="s">
        <v>322</v>
      </c>
      <c r="AM2" s="38" t="s">
        <v>323</v>
      </c>
      <c r="AN2" s="38" t="s">
        <v>324</v>
      </c>
      <c r="AO2" s="38" t="s">
        <v>324</v>
      </c>
      <c r="AP2" s="38" t="s">
        <v>324</v>
      </c>
      <c r="AQ2" s="38" t="s">
        <v>324</v>
      </c>
      <c r="AR2" s="38" t="s">
        <v>324</v>
      </c>
      <c r="AS2" s="38" t="s">
        <v>324</v>
      </c>
      <c r="AT2" s="38" t="s">
        <v>324</v>
      </c>
      <c r="AU2" s="38" t="s">
        <v>324</v>
      </c>
      <c r="AV2" s="38" t="s">
        <v>325</v>
      </c>
      <c r="AW2" s="38" t="s">
        <v>325</v>
      </c>
      <c r="AX2" s="38" t="s">
        <v>325</v>
      </c>
      <c r="AY2" s="38" t="s">
        <v>325</v>
      </c>
      <c r="AZ2" s="38" t="s">
        <v>325</v>
      </c>
      <c r="BA2" s="38" t="s">
        <v>325</v>
      </c>
      <c r="BB2" s="38" t="s">
        <v>325</v>
      </c>
      <c r="BC2" s="38" t="s">
        <v>325</v>
      </c>
      <c r="BD2" s="38" t="s">
        <v>326</v>
      </c>
      <c r="BE2" s="38" t="s">
        <v>326</v>
      </c>
      <c r="BF2" s="38" t="s">
        <v>326</v>
      </c>
      <c r="BG2" s="38" t="s">
        <v>326</v>
      </c>
      <c r="BH2" s="38" t="s">
        <v>326</v>
      </c>
      <c r="BI2" s="38" t="s">
        <v>326</v>
      </c>
      <c r="BJ2" s="38" t="s">
        <v>326</v>
      </c>
      <c r="BK2" s="38" t="s">
        <v>327</v>
      </c>
      <c r="BL2" s="38" t="s">
        <v>328</v>
      </c>
      <c r="BM2" s="38" t="s">
        <v>329</v>
      </c>
      <c r="BN2" s="38" t="s">
        <v>329</v>
      </c>
      <c r="BO2" s="38" t="s">
        <v>329</v>
      </c>
      <c r="BP2" s="38" t="s">
        <v>329</v>
      </c>
      <c r="BQ2" s="38" t="s">
        <v>329</v>
      </c>
      <c r="BR2" s="38" t="s">
        <v>329</v>
      </c>
      <c r="BS2" s="38" t="s">
        <v>329</v>
      </c>
      <c r="BT2" s="38" t="s">
        <v>330</v>
      </c>
      <c r="BU2" s="38" t="s">
        <v>330</v>
      </c>
      <c r="BV2" s="38" t="s">
        <v>330</v>
      </c>
      <c r="BW2" s="38" t="s">
        <v>330</v>
      </c>
      <c r="BX2" s="38" t="s">
        <v>330</v>
      </c>
      <c r="BY2" s="38" t="s">
        <v>331</v>
      </c>
      <c r="BZ2" s="38" t="s">
        <v>330</v>
      </c>
      <c r="CA2" s="38" t="s">
        <v>330</v>
      </c>
      <c r="CB2" s="39" t="s">
        <v>332</v>
      </c>
      <c r="CC2" s="39" t="s">
        <v>332</v>
      </c>
      <c r="CD2" s="39" t="s">
        <v>333</v>
      </c>
      <c r="CE2" s="39" t="s">
        <v>332</v>
      </c>
      <c r="CF2" s="39" t="s">
        <v>332</v>
      </c>
      <c r="CG2" s="39" t="s">
        <v>332</v>
      </c>
      <c r="CH2" s="39" t="s">
        <v>332</v>
      </c>
      <c r="CI2" s="39" t="s">
        <v>333</v>
      </c>
      <c r="CJ2" s="38" t="s">
        <v>334</v>
      </c>
      <c r="CK2" s="38" t="s">
        <v>334</v>
      </c>
      <c r="CL2" s="38" t="s">
        <v>334</v>
      </c>
      <c r="CM2" s="38" t="s">
        <v>334</v>
      </c>
      <c r="CN2" s="38" t="s">
        <v>334</v>
      </c>
      <c r="CO2" s="38" t="s">
        <v>334</v>
      </c>
      <c r="CP2" s="38" t="s">
        <v>334</v>
      </c>
      <c r="CQ2" s="38" t="s">
        <v>334</v>
      </c>
      <c r="CR2" s="38" t="s">
        <v>335</v>
      </c>
      <c r="CS2" s="38" t="s">
        <v>335</v>
      </c>
      <c r="CT2" s="38" t="s">
        <v>336</v>
      </c>
      <c r="CU2" s="38" t="s">
        <v>336</v>
      </c>
      <c r="CV2" s="38" t="s">
        <v>335</v>
      </c>
      <c r="CW2" s="38" t="s">
        <v>336</v>
      </c>
      <c r="CX2" s="38" t="s">
        <v>336</v>
      </c>
      <c r="CY2" s="38" t="s">
        <v>336</v>
      </c>
    </row>
    <row r="3" spans="1:103" ht="25.5" customHeight="1">
      <c r="A3" s="7"/>
      <c r="B3" s="37"/>
      <c r="C3" s="8"/>
      <c r="D3" s="38" t="s">
        <v>337</v>
      </c>
      <c r="E3" s="38" t="s">
        <v>338</v>
      </c>
      <c r="F3" s="39" t="s">
        <v>339</v>
      </c>
      <c r="G3" s="39" t="s">
        <v>339</v>
      </c>
      <c r="H3" s="39" t="s">
        <v>339</v>
      </c>
      <c r="I3" s="39" t="s">
        <v>339</v>
      </c>
      <c r="J3" s="39" t="s">
        <v>339</v>
      </c>
      <c r="K3" s="39" t="s">
        <v>340</v>
      </c>
      <c r="L3" s="39" t="s">
        <v>339</v>
      </c>
      <c r="M3" s="39" t="s">
        <v>339</v>
      </c>
      <c r="N3" s="39" t="s">
        <v>341</v>
      </c>
      <c r="O3" s="39" t="s">
        <v>342</v>
      </c>
      <c r="P3" s="38" t="s">
        <v>337</v>
      </c>
      <c r="Q3" s="38" t="s">
        <v>343</v>
      </c>
      <c r="R3" s="38" t="s">
        <v>344</v>
      </c>
      <c r="S3" s="38" t="s">
        <v>345</v>
      </c>
      <c r="T3" s="38" t="s">
        <v>190</v>
      </c>
      <c r="U3" s="38" t="s">
        <v>346</v>
      </c>
      <c r="V3" s="38" t="s">
        <v>347</v>
      </c>
      <c r="W3" s="38" t="s">
        <v>348</v>
      </c>
      <c r="X3" s="38" t="s">
        <v>337</v>
      </c>
      <c r="Y3" s="38" t="s">
        <v>349</v>
      </c>
      <c r="Z3" s="38" t="s">
        <v>344</v>
      </c>
      <c r="AA3" s="38" t="s">
        <v>345</v>
      </c>
      <c r="AB3" s="38" t="s">
        <v>350</v>
      </c>
      <c r="AC3" s="38" t="s">
        <v>346</v>
      </c>
      <c r="AD3" s="38" t="s">
        <v>347</v>
      </c>
      <c r="AE3" s="38" t="s">
        <v>348</v>
      </c>
      <c r="AF3" s="38" t="s">
        <v>337</v>
      </c>
      <c r="AG3" s="38" t="s">
        <v>343</v>
      </c>
      <c r="AH3" s="38" t="s">
        <v>344</v>
      </c>
      <c r="AI3" s="38" t="s">
        <v>345</v>
      </c>
      <c r="AJ3" s="38" t="s">
        <v>350</v>
      </c>
      <c r="AK3" s="38" t="s">
        <v>346</v>
      </c>
      <c r="AL3" s="38" t="s">
        <v>347</v>
      </c>
      <c r="AM3" s="38" t="s">
        <v>191</v>
      </c>
      <c r="AN3" s="38" t="s">
        <v>32</v>
      </c>
      <c r="AO3" s="38" t="s">
        <v>349</v>
      </c>
      <c r="AP3" s="38" t="s">
        <v>344</v>
      </c>
      <c r="AQ3" s="38" t="s">
        <v>345</v>
      </c>
      <c r="AR3" s="38" t="s">
        <v>190</v>
      </c>
      <c r="AS3" s="38" t="s">
        <v>346</v>
      </c>
      <c r="AT3" s="38" t="s">
        <v>347</v>
      </c>
      <c r="AU3" s="38" t="s">
        <v>348</v>
      </c>
      <c r="AV3" s="38" t="s">
        <v>337</v>
      </c>
      <c r="AW3" s="38" t="s">
        <v>349</v>
      </c>
      <c r="AX3" s="38" t="s">
        <v>344</v>
      </c>
      <c r="AY3" s="38" t="s">
        <v>345</v>
      </c>
      <c r="AZ3" s="38" t="s">
        <v>190</v>
      </c>
      <c r="BA3" s="38" t="s">
        <v>346</v>
      </c>
      <c r="BB3" s="38" t="s">
        <v>347</v>
      </c>
      <c r="BC3" s="38" t="s">
        <v>348</v>
      </c>
      <c r="BD3" s="38" t="s">
        <v>32</v>
      </c>
      <c r="BE3" s="38" t="s">
        <v>349</v>
      </c>
      <c r="BF3" s="38" t="s">
        <v>344</v>
      </c>
      <c r="BG3" s="38" t="s">
        <v>351</v>
      </c>
      <c r="BH3" s="38" t="s">
        <v>350</v>
      </c>
      <c r="BI3" s="38" t="s">
        <v>346</v>
      </c>
      <c r="BJ3" s="38" t="s">
        <v>352</v>
      </c>
      <c r="BK3" s="38" t="s">
        <v>348</v>
      </c>
      <c r="BL3" s="38" t="s">
        <v>337</v>
      </c>
      <c r="BM3" s="38" t="s">
        <v>349</v>
      </c>
      <c r="BN3" s="38" t="s">
        <v>344</v>
      </c>
      <c r="BO3" s="38" t="s">
        <v>345</v>
      </c>
      <c r="BP3" s="38" t="s">
        <v>190</v>
      </c>
      <c r="BQ3" s="38" t="s">
        <v>346</v>
      </c>
      <c r="BR3" s="38" t="s">
        <v>347</v>
      </c>
      <c r="BS3" s="38" t="s">
        <v>348</v>
      </c>
      <c r="BT3" s="38" t="s">
        <v>337</v>
      </c>
      <c r="BU3" s="38" t="s">
        <v>349</v>
      </c>
      <c r="BV3" s="38" t="s">
        <v>344</v>
      </c>
      <c r="BW3" s="38" t="s">
        <v>345</v>
      </c>
      <c r="BX3" s="38" t="s">
        <v>350</v>
      </c>
      <c r="BY3" s="38" t="s">
        <v>346</v>
      </c>
      <c r="BZ3" s="38" t="s">
        <v>347</v>
      </c>
      <c r="CA3" s="38" t="s">
        <v>348</v>
      </c>
      <c r="CB3" s="38" t="s">
        <v>337</v>
      </c>
      <c r="CC3" s="38" t="s">
        <v>349</v>
      </c>
      <c r="CD3" s="38" t="s">
        <v>344</v>
      </c>
      <c r="CE3" s="38" t="s">
        <v>345</v>
      </c>
      <c r="CF3" s="38" t="s">
        <v>350</v>
      </c>
      <c r="CG3" s="38" t="s">
        <v>346</v>
      </c>
      <c r="CH3" s="38" t="s">
        <v>347</v>
      </c>
      <c r="CI3" s="38" t="s">
        <v>348</v>
      </c>
      <c r="CJ3" s="38" t="s">
        <v>337</v>
      </c>
      <c r="CK3" s="38" t="s">
        <v>349</v>
      </c>
      <c r="CL3" s="38" t="s">
        <v>344</v>
      </c>
      <c r="CM3" s="38" t="s">
        <v>345</v>
      </c>
      <c r="CN3" s="38" t="s">
        <v>190</v>
      </c>
      <c r="CO3" s="38" t="s">
        <v>346</v>
      </c>
      <c r="CP3" s="38" t="s">
        <v>347</v>
      </c>
      <c r="CQ3" s="38" t="s">
        <v>348</v>
      </c>
      <c r="CR3" s="38" t="s">
        <v>337</v>
      </c>
      <c r="CS3" s="38" t="s">
        <v>349</v>
      </c>
      <c r="CT3" s="38" t="s">
        <v>344</v>
      </c>
      <c r="CU3" s="38" t="s">
        <v>345</v>
      </c>
      <c r="CV3" s="38" t="s">
        <v>350</v>
      </c>
      <c r="CW3" s="38" t="s">
        <v>346</v>
      </c>
      <c r="CX3" s="38" t="s">
        <v>347</v>
      </c>
      <c r="CY3" s="38" t="s">
        <v>348</v>
      </c>
    </row>
    <row r="4" spans="1:103" ht="25.5" customHeight="1">
      <c r="A4" s="7"/>
      <c r="B4" s="37"/>
      <c r="C4" s="8"/>
      <c r="D4" s="38"/>
      <c r="E4" s="38"/>
      <c r="F4" s="38" t="s">
        <v>337</v>
      </c>
      <c r="G4" s="39" t="s">
        <v>353</v>
      </c>
      <c r="H4" s="39" t="s">
        <v>354</v>
      </c>
      <c r="I4" s="39" t="s">
        <v>355</v>
      </c>
      <c r="J4" s="39" t="s">
        <v>356</v>
      </c>
      <c r="K4" s="39" t="s">
        <v>357</v>
      </c>
      <c r="L4" s="39" t="s">
        <v>358</v>
      </c>
      <c r="M4" s="39" t="s">
        <v>359</v>
      </c>
      <c r="N4" s="39"/>
      <c r="O4" s="39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</row>
    <row r="5" spans="1:103" s="12" customFormat="1" ht="13.5" customHeight="1">
      <c r="A5" s="7"/>
      <c r="B5" s="37"/>
      <c r="C5" s="8"/>
      <c r="D5" s="38" t="s">
        <v>360</v>
      </c>
      <c r="E5" s="38" t="s">
        <v>360</v>
      </c>
      <c r="F5" s="38" t="s">
        <v>360</v>
      </c>
      <c r="G5" s="38" t="s">
        <v>360</v>
      </c>
      <c r="H5" s="38" t="s">
        <v>54</v>
      </c>
      <c r="I5" s="38" t="s">
        <v>54</v>
      </c>
      <c r="J5" s="38" t="s">
        <v>54</v>
      </c>
      <c r="K5" s="38" t="s">
        <v>54</v>
      </c>
      <c r="L5" s="38" t="s">
        <v>54</v>
      </c>
      <c r="M5" s="38" t="s">
        <v>54</v>
      </c>
      <c r="N5" s="38" t="s">
        <v>54</v>
      </c>
      <c r="O5" s="38" t="s">
        <v>360</v>
      </c>
      <c r="P5" s="38" t="s">
        <v>360</v>
      </c>
      <c r="Q5" s="38" t="s">
        <v>54</v>
      </c>
      <c r="R5" s="38" t="s">
        <v>360</v>
      </c>
      <c r="S5" s="38" t="s">
        <v>54</v>
      </c>
      <c r="T5" s="38" t="s">
        <v>54</v>
      </c>
      <c r="U5" s="38" t="s">
        <v>54</v>
      </c>
      <c r="V5" s="38" t="s">
        <v>54</v>
      </c>
      <c r="W5" s="38" t="s">
        <v>54</v>
      </c>
      <c r="X5" s="38" t="s">
        <v>54</v>
      </c>
      <c r="Y5" s="38" t="s">
        <v>54</v>
      </c>
      <c r="Z5" s="38" t="s">
        <v>54</v>
      </c>
      <c r="AA5" s="38" t="s">
        <v>54</v>
      </c>
      <c r="AB5" s="38" t="s">
        <v>54</v>
      </c>
      <c r="AC5" s="38" t="s">
        <v>54</v>
      </c>
      <c r="AD5" s="38" t="s">
        <v>54</v>
      </c>
      <c r="AE5" s="38" t="s">
        <v>54</v>
      </c>
      <c r="AF5" s="38" t="s">
        <v>54</v>
      </c>
      <c r="AG5" s="38" t="s">
        <v>54</v>
      </c>
      <c r="AH5" s="38" t="s">
        <v>54</v>
      </c>
      <c r="AI5" s="38" t="s">
        <v>54</v>
      </c>
      <c r="AJ5" s="38" t="s">
        <v>54</v>
      </c>
      <c r="AK5" s="38" t="s">
        <v>54</v>
      </c>
      <c r="AL5" s="38" t="s">
        <v>54</v>
      </c>
      <c r="AM5" s="38" t="s">
        <v>54</v>
      </c>
      <c r="AN5" s="38" t="s">
        <v>54</v>
      </c>
      <c r="AO5" s="38" t="s">
        <v>54</v>
      </c>
      <c r="AP5" s="38" t="s">
        <v>54</v>
      </c>
      <c r="AQ5" s="38" t="s">
        <v>54</v>
      </c>
      <c r="AR5" s="38" t="s">
        <v>54</v>
      </c>
      <c r="AS5" s="38" t="s">
        <v>360</v>
      </c>
      <c r="AT5" s="38" t="s">
        <v>54</v>
      </c>
      <c r="AU5" s="38" t="s">
        <v>54</v>
      </c>
      <c r="AV5" s="38" t="s">
        <v>54</v>
      </c>
      <c r="AW5" s="38" t="s">
        <v>360</v>
      </c>
      <c r="AX5" s="38" t="s">
        <v>54</v>
      </c>
      <c r="AY5" s="38" t="s">
        <v>54</v>
      </c>
      <c r="AZ5" s="38" t="s">
        <v>54</v>
      </c>
      <c r="BA5" s="38" t="s">
        <v>54</v>
      </c>
      <c r="BB5" s="38" t="s">
        <v>54</v>
      </c>
      <c r="BC5" s="38" t="s">
        <v>54</v>
      </c>
      <c r="BD5" s="38" t="s">
        <v>54</v>
      </c>
      <c r="BE5" s="38" t="s">
        <v>54</v>
      </c>
      <c r="BF5" s="38" t="s">
        <v>54</v>
      </c>
      <c r="BG5" s="38" t="s">
        <v>54</v>
      </c>
      <c r="BH5" s="38" t="s">
        <v>54</v>
      </c>
      <c r="BI5" s="38" t="s">
        <v>54</v>
      </c>
      <c r="BJ5" s="38" t="s">
        <v>54</v>
      </c>
      <c r="BK5" s="38" t="s">
        <v>54</v>
      </c>
      <c r="BL5" s="38" t="s">
        <v>54</v>
      </c>
      <c r="BM5" s="38" t="s">
        <v>54</v>
      </c>
      <c r="BN5" s="38" t="s">
        <v>54</v>
      </c>
      <c r="BO5" s="38" t="s">
        <v>360</v>
      </c>
      <c r="BP5" s="38" t="s">
        <v>54</v>
      </c>
      <c r="BQ5" s="38" t="s">
        <v>54</v>
      </c>
      <c r="BR5" s="38" t="s">
        <v>54</v>
      </c>
      <c r="BS5" s="38" t="s">
        <v>54</v>
      </c>
      <c r="BT5" s="38" t="s">
        <v>54</v>
      </c>
      <c r="BU5" s="38" t="s">
        <v>54</v>
      </c>
      <c r="BV5" s="38" t="s">
        <v>54</v>
      </c>
      <c r="BW5" s="38" t="s">
        <v>54</v>
      </c>
      <c r="BX5" s="38" t="s">
        <v>54</v>
      </c>
      <c r="BY5" s="38" t="s">
        <v>54</v>
      </c>
      <c r="BZ5" s="38" t="s">
        <v>54</v>
      </c>
      <c r="CA5" s="38" t="s">
        <v>54</v>
      </c>
      <c r="CB5" s="38" t="s">
        <v>54</v>
      </c>
      <c r="CC5" s="38" t="s">
        <v>54</v>
      </c>
      <c r="CD5" s="38" t="s">
        <v>54</v>
      </c>
      <c r="CE5" s="38" t="s">
        <v>54</v>
      </c>
      <c r="CF5" s="38" t="s">
        <v>54</v>
      </c>
      <c r="CG5" s="38" t="s">
        <v>54</v>
      </c>
      <c r="CH5" s="38" t="s">
        <v>54</v>
      </c>
      <c r="CI5" s="38" t="s">
        <v>54</v>
      </c>
      <c r="CJ5" s="38" t="s">
        <v>54</v>
      </c>
      <c r="CK5" s="38" t="s">
        <v>54</v>
      </c>
      <c r="CL5" s="38" t="s">
        <v>54</v>
      </c>
      <c r="CM5" s="38" t="s">
        <v>54</v>
      </c>
      <c r="CN5" s="38" t="s">
        <v>54</v>
      </c>
      <c r="CO5" s="38" t="s">
        <v>54</v>
      </c>
      <c r="CP5" s="38" t="s">
        <v>54</v>
      </c>
      <c r="CQ5" s="38" t="s">
        <v>54</v>
      </c>
      <c r="CR5" s="38" t="s">
        <v>54</v>
      </c>
      <c r="CS5" s="38" t="s">
        <v>54</v>
      </c>
      <c r="CT5" s="38" t="s">
        <v>54</v>
      </c>
      <c r="CU5" s="38" t="s">
        <v>54</v>
      </c>
      <c r="CV5" s="38" t="s">
        <v>54</v>
      </c>
      <c r="CW5" s="38" t="s">
        <v>54</v>
      </c>
      <c r="CX5" s="38" t="s">
        <v>54</v>
      </c>
      <c r="CY5" s="38" t="s">
        <v>54</v>
      </c>
    </row>
    <row r="6" spans="1:103" ht="13.5" customHeight="1">
      <c r="A6" s="17" t="s">
        <v>57</v>
      </c>
      <c r="B6" s="18" t="s">
        <v>58</v>
      </c>
      <c r="C6" s="17" t="s">
        <v>59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</row>
    <row r="7" spans="1:103" ht="13.5" customHeight="1">
      <c r="A7" s="17" t="s">
        <v>60</v>
      </c>
      <c r="B7" s="18" t="s">
        <v>61</v>
      </c>
      <c r="C7" s="17" t="s">
        <v>59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0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0</v>
      </c>
      <c r="CX7" s="19">
        <v>0</v>
      </c>
      <c r="CY7" s="19">
        <v>0</v>
      </c>
    </row>
    <row r="8" spans="1:103" ht="13.5" customHeight="1">
      <c r="A8" s="17" t="s">
        <v>62</v>
      </c>
      <c r="B8" s="18" t="s">
        <v>63</v>
      </c>
      <c r="C8" s="17" t="s">
        <v>59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</row>
    <row r="9" spans="1:103" ht="13.5" customHeight="1">
      <c r="A9" s="17" t="s">
        <v>64</v>
      </c>
      <c r="B9" s="18" t="s">
        <v>65</v>
      </c>
      <c r="C9" s="17" t="s">
        <v>59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</row>
    <row r="10" spans="1:103" ht="13.5" customHeight="1">
      <c r="A10" s="17" t="s">
        <v>66</v>
      </c>
      <c r="B10" s="18" t="s">
        <v>67</v>
      </c>
      <c r="C10" s="17" t="s">
        <v>59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</row>
    <row r="11" spans="1:103" ht="13.5" customHeight="1">
      <c r="A11" s="17" t="s">
        <v>68</v>
      </c>
      <c r="B11" s="18" t="s">
        <v>69</v>
      </c>
      <c r="C11" s="17" t="s">
        <v>59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</row>
    <row r="12" spans="1:103" ht="13.5" customHeight="1">
      <c r="A12" s="17" t="s">
        <v>70</v>
      </c>
      <c r="B12" s="18" t="s">
        <v>71</v>
      </c>
      <c r="C12" s="17" t="s">
        <v>59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</row>
    <row r="13" spans="1:103" ht="13.5" customHeight="1">
      <c r="A13" s="17" t="s">
        <v>72</v>
      </c>
      <c r="B13" s="18" t="s">
        <v>73</v>
      </c>
      <c r="C13" s="17" t="s">
        <v>59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</row>
    <row r="14" spans="1:103" ht="13.5" customHeight="1">
      <c r="A14" s="17" t="s">
        <v>74</v>
      </c>
      <c r="B14" s="18" t="s">
        <v>75</v>
      </c>
      <c r="C14" s="17" t="s">
        <v>59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</row>
    <row r="15" spans="1:103" ht="13.5" customHeight="1">
      <c r="A15" s="17" t="s">
        <v>76</v>
      </c>
      <c r="B15" s="18" t="s">
        <v>77</v>
      </c>
      <c r="C15" s="17" t="s">
        <v>59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</row>
    <row r="16" spans="1:103" ht="13.5" customHeight="1">
      <c r="A16" s="17" t="s">
        <v>78</v>
      </c>
      <c r="B16" s="18" t="s">
        <v>79</v>
      </c>
      <c r="C16" s="17" t="s">
        <v>59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</row>
    <row r="17" spans="1:103" ht="13.5" customHeight="1">
      <c r="A17" s="17" t="s">
        <v>80</v>
      </c>
      <c r="B17" s="18" t="s">
        <v>81</v>
      </c>
      <c r="C17" s="17" t="s">
        <v>59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</row>
    <row r="18" spans="1:103" ht="13.5" customHeight="1">
      <c r="A18" s="17" t="s">
        <v>82</v>
      </c>
      <c r="B18" s="18" t="s">
        <v>83</v>
      </c>
      <c r="C18" s="17" t="s">
        <v>59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</row>
    <row r="19" spans="1:103" ht="13.5" customHeight="1">
      <c r="A19" s="17" t="s">
        <v>84</v>
      </c>
      <c r="B19" s="18" t="s">
        <v>85</v>
      </c>
      <c r="C19" s="17" t="s">
        <v>59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</row>
    <row r="20" spans="1:103" ht="13.5" customHeight="1">
      <c r="A20" s="17" t="s">
        <v>86</v>
      </c>
      <c r="B20" s="18" t="s">
        <v>87</v>
      </c>
      <c r="C20" s="17" t="s">
        <v>59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</row>
    <row r="21" spans="1:103" ht="13.5" customHeight="1">
      <c r="A21" s="17" t="s">
        <v>88</v>
      </c>
      <c r="B21" s="18" t="s">
        <v>89</v>
      </c>
      <c r="C21" s="17" t="s">
        <v>59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</row>
    <row r="22" spans="1:103" ht="13.5" customHeight="1">
      <c r="A22" s="17" t="s">
        <v>90</v>
      </c>
      <c r="B22" s="18" t="s">
        <v>91</v>
      </c>
      <c r="C22" s="17" t="s">
        <v>59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</row>
    <row r="23" spans="1:103" ht="13.5" customHeight="1">
      <c r="A23" s="17" t="s">
        <v>92</v>
      </c>
      <c r="B23" s="18" t="s">
        <v>93</v>
      </c>
      <c r="C23" s="17" t="s">
        <v>59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</row>
    <row r="24" spans="1:103" ht="13.5" customHeight="1">
      <c r="A24" s="17" t="s">
        <v>94</v>
      </c>
      <c r="B24" s="18" t="s">
        <v>95</v>
      </c>
      <c r="C24" s="17" t="s">
        <v>59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</row>
    <row r="25" spans="1:103" ht="13.5" customHeight="1">
      <c r="A25" s="17" t="s">
        <v>96</v>
      </c>
      <c r="B25" s="18" t="s">
        <v>97</v>
      </c>
      <c r="C25" s="17" t="s">
        <v>59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</row>
    <row r="26" spans="1:103" ht="13.5" customHeight="1">
      <c r="A26" s="17" t="s">
        <v>98</v>
      </c>
      <c r="B26" s="18" t="s">
        <v>99</v>
      </c>
      <c r="C26" s="17" t="s">
        <v>59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>
        <v>0</v>
      </c>
      <c r="CP26" s="19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19">
        <v>0</v>
      </c>
      <c r="CW26" s="19">
        <v>0</v>
      </c>
      <c r="CX26" s="19">
        <v>0</v>
      </c>
      <c r="CY26" s="19">
        <v>0</v>
      </c>
    </row>
    <row r="27" spans="1:103" ht="13.5" customHeight="1">
      <c r="A27" s="17" t="s">
        <v>100</v>
      </c>
      <c r="B27" s="18" t="s">
        <v>101</v>
      </c>
      <c r="C27" s="17" t="s">
        <v>59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</row>
    <row r="28" spans="1:103" ht="13.5" customHeight="1">
      <c r="A28" s="17" t="s">
        <v>102</v>
      </c>
      <c r="B28" s="18" t="s">
        <v>103</v>
      </c>
      <c r="C28" s="17" t="s">
        <v>59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</row>
    <row r="29" spans="1:103" ht="13.5" customHeight="1">
      <c r="A29" s="17" t="s">
        <v>104</v>
      </c>
      <c r="B29" s="18" t="s">
        <v>105</v>
      </c>
      <c r="C29" s="17" t="s">
        <v>59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</row>
    <row r="30" spans="1:103" ht="13.5" customHeight="1">
      <c r="A30" s="17" t="s">
        <v>106</v>
      </c>
      <c r="B30" s="18" t="s">
        <v>107</v>
      </c>
      <c r="C30" s="17" t="s">
        <v>59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</row>
    <row r="31" spans="1:103" ht="13.5" customHeight="1">
      <c r="A31" s="17" t="s">
        <v>108</v>
      </c>
      <c r="B31" s="18" t="s">
        <v>109</v>
      </c>
      <c r="C31" s="17" t="s">
        <v>59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</row>
    <row r="32" spans="1:103" ht="13.5" customHeight="1">
      <c r="A32" s="17" t="s">
        <v>110</v>
      </c>
      <c r="B32" s="18" t="s">
        <v>111</v>
      </c>
      <c r="C32" s="17" t="s">
        <v>59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</row>
    <row r="33" spans="1:103" ht="13.5" customHeight="1">
      <c r="A33" s="17" t="s">
        <v>112</v>
      </c>
      <c r="B33" s="18" t="s">
        <v>113</v>
      </c>
      <c r="C33" s="17" t="s">
        <v>59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19">
        <v>0</v>
      </c>
      <c r="CP33" s="19">
        <v>0</v>
      </c>
      <c r="CQ33" s="19">
        <v>0</v>
      </c>
      <c r="CR33" s="19">
        <v>0</v>
      </c>
      <c r="CS33" s="19">
        <v>0</v>
      </c>
      <c r="CT33" s="19">
        <v>0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</row>
    <row r="34" spans="1:103" ht="13.5" customHeight="1">
      <c r="A34" s="17" t="s">
        <v>114</v>
      </c>
      <c r="B34" s="18" t="s">
        <v>115</v>
      </c>
      <c r="C34" s="17" t="s">
        <v>59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</row>
    <row r="35" spans="1:103" ht="13.5" customHeight="1">
      <c r="A35" s="17" t="s">
        <v>116</v>
      </c>
      <c r="B35" s="18" t="s">
        <v>117</v>
      </c>
      <c r="C35" s="17" t="s">
        <v>59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</row>
    <row r="36" spans="1:103" ht="13.5" customHeight="1">
      <c r="A36" s="17" t="s">
        <v>118</v>
      </c>
      <c r="B36" s="18" t="s">
        <v>119</v>
      </c>
      <c r="C36" s="17" t="s">
        <v>59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</row>
    <row r="37" spans="1:103" ht="13.5" customHeight="1">
      <c r="A37" s="17" t="s">
        <v>120</v>
      </c>
      <c r="B37" s="18" t="s">
        <v>121</v>
      </c>
      <c r="C37" s="17" t="s">
        <v>59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</row>
    <row r="38" spans="1:103" ht="13.5" customHeight="1">
      <c r="A38" s="17" t="s">
        <v>122</v>
      </c>
      <c r="B38" s="18" t="s">
        <v>123</v>
      </c>
      <c r="C38" s="17" t="s">
        <v>59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</row>
    <row r="39" spans="1:103" ht="13.5" customHeight="1">
      <c r="A39" s="17" t="s">
        <v>124</v>
      </c>
      <c r="B39" s="18" t="s">
        <v>125</v>
      </c>
      <c r="C39" s="17" t="s">
        <v>59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</row>
    <row r="40" spans="1:103" ht="13.5" customHeight="1">
      <c r="A40" s="17" t="s">
        <v>126</v>
      </c>
      <c r="B40" s="18" t="s">
        <v>127</v>
      </c>
      <c r="C40" s="17" t="s">
        <v>59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</row>
    <row r="41" spans="1:103" ht="13.5" customHeight="1">
      <c r="A41" s="17" t="s">
        <v>128</v>
      </c>
      <c r="B41" s="18" t="s">
        <v>129</v>
      </c>
      <c r="C41" s="17" t="s">
        <v>59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</row>
    <row r="42" spans="1:103" ht="13.5" customHeight="1">
      <c r="A42" s="17" t="s">
        <v>130</v>
      </c>
      <c r="B42" s="18" t="s">
        <v>131</v>
      </c>
      <c r="C42" s="17" t="s">
        <v>59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</row>
    <row r="43" spans="1:103" ht="13.5" customHeight="1">
      <c r="A43" s="17" t="s">
        <v>132</v>
      </c>
      <c r="B43" s="18" t="s">
        <v>133</v>
      </c>
      <c r="C43" s="17" t="s">
        <v>59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</row>
    <row r="44" spans="1:103" ht="13.5" customHeight="1">
      <c r="A44" s="17" t="s">
        <v>134</v>
      </c>
      <c r="B44" s="18" t="s">
        <v>135</v>
      </c>
      <c r="C44" s="17" t="s">
        <v>59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</row>
    <row r="45" spans="1:103" ht="13.5" customHeight="1">
      <c r="A45" s="17" t="s">
        <v>136</v>
      </c>
      <c r="B45" s="18" t="s">
        <v>137</v>
      </c>
      <c r="C45" s="17" t="s">
        <v>59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0</v>
      </c>
    </row>
    <row r="46" spans="1:103" ht="13.5" customHeight="1">
      <c r="A46" s="17" t="s">
        <v>138</v>
      </c>
      <c r="B46" s="18" t="s">
        <v>139</v>
      </c>
      <c r="C46" s="17" t="s">
        <v>59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</row>
    <row r="47" spans="1:103" ht="13.5" customHeight="1">
      <c r="A47" s="17" t="s">
        <v>140</v>
      </c>
      <c r="B47" s="18" t="s">
        <v>141</v>
      </c>
      <c r="C47" s="17" t="s">
        <v>59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</row>
    <row r="48" spans="1:103" ht="13.5" customHeight="1">
      <c r="A48" s="17" t="s">
        <v>142</v>
      </c>
      <c r="B48" s="18" t="s">
        <v>143</v>
      </c>
      <c r="C48" s="17" t="s">
        <v>59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</row>
    <row r="49" spans="1:103" ht="13.5" customHeight="1">
      <c r="A49" s="17" t="s">
        <v>144</v>
      </c>
      <c r="B49" s="18" t="s">
        <v>145</v>
      </c>
      <c r="C49" s="17" t="s">
        <v>59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>
        <v>0</v>
      </c>
      <c r="BW49" s="19">
        <v>0</v>
      </c>
      <c r="BX49" s="19">
        <v>0</v>
      </c>
      <c r="BY49" s="19">
        <v>0</v>
      </c>
      <c r="BZ49" s="19">
        <v>0</v>
      </c>
      <c r="CA49" s="19">
        <v>0</v>
      </c>
      <c r="CB49" s="19">
        <v>0</v>
      </c>
      <c r="CC49" s="19">
        <v>0</v>
      </c>
      <c r="CD49" s="19">
        <v>0</v>
      </c>
      <c r="CE49" s="19">
        <v>0</v>
      </c>
      <c r="CF49" s="19">
        <v>0</v>
      </c>
      <c r="CG49" s="19">
        <v>0</v>
      </c>
      <c r="CH49" s="19">
        <v>0</v>
      </c>
      <c r="CI49" s="19">
        <v>0</v>
      </c>
      <c r="CJ49" s="19">
        <v>0</v>
      </c>
      <c r="CK49" s="19">
        <v>0</v>
      </c>
      <c r="CL49" s="19">
        <v>0</v>
      </c>
      <c r="CM49" s="19">
        <v>0</v>
      </c>
      <c r="CN49" s="19">
        <v>0</v>
      </c>
      <c r="CO49" s="19">
        <v>0</v>
      </c>
      <c r="CP49" s="19">
        <v>0</v>
      </c>
      <c r="CQ49" s="19">
        <v>0</v>
      </c>
      <c r="CR49" s="19">
        <v>0</v>
      </c>
      <c r="CS49" s="19">
        <v>0</v>
      </c>
      <c r="CT49" s="19">
        <v>0</v>
      </c>
      <c r="CU49" s="19">
        <v>0</v>
      </c>
      <c r="CV49" s="19">
        <v>0</v>
      </c>
      <c r="CW49" s="19">
        <v>0</v>
      </c>
      <c r="CX49" s="19">
        <v>0</v>
      </c>
      <c r="CY49" s="19">
        <v>0</v>
      </c>
    </row>
    <row r="50" spans="1:103" ht="13.5" customHeight="1">
      <c r="A50" s="17" t="s">
        <v>146</v>
      </c>
      <c r="B50" s="18" t="s">
        <v>147</v>
      </c>
      <c r="C50" s="17" t="s">
        <v>59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</row>
    <row r="51" spans="1:103" ht="13.5" customHeight="1">
      <c r="A51" s="17" t="s">
        <v>148</v>
      </c>
      <c r="B51" s="18" t="s">
        <v>149</v>
      </c>
      <c r="C51" s="17" t="s">
        <v>59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9">
        <v>0</v>
      </c>
      <c r="CH51" s="19">
        <v>0</v>
      </c>
      <c r="CI51" s="19">
        <v>0</v>
      </c>
      <c r="CJ51" s="19">
        <v>0</v>
      </c>
      <c r="CK51" s="19">
        <v>0</v>
      </c>
      <c r="CL51" s="19">
        <v>0</v>
      </c>
      <c r="CM51" s="19">
        <v>0</v>
      </c>
      <c r="CN51" s="19">
        <v>0</v>
      </c>
      <c r="CO51" s="19">
        <v>0</v>
      </c>
      <c r="CP51" s="19">
        <v>0</v>
      </c>
      <c r="CQ51" s="19">
        <v>0</v>
      </c>
      <c r="CR51" s="19">
        <v>0</v>
      </c>
      <c r="CS51" s="19">
        <v>0</v>
      </c>
      <c r="CT51" s="19">
        <v>0</v>
      </c>
      <c r="CU51" s="19">
        <v>0</v>
      </c>
      <c r="CV51" s="19">
        <v>0</v>
      </c>
      <c r="CW51" s="19">
        <v>0</v>
      </c>
      <c r="CX51" s="19">
        <v>0</v>
      </c>
      <c r="CY51" s="19">
        <v>0</v>
      </c>
    </row>
    <row r="52" spans="1:103" ht="13.5" customHeight="1">
      <c r="A52" s="17" t="s">
        <v>150</v>
      </c>
      <c r="B52" s="18" t="s">
        <v>151</v>
      </c>
      <c r="C52" s="17" t="s">
        <v>59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>
        <v>0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19">
        <v>0</v>
      </c>
      <c r="CP52" s="19">
        <v>0</v>
      </c>
      <c r="CQ52" s="19">
        <v>0</v>
      </c>
      <c r="CR52" s="19">
        <v>0</v>
      </c>
      <c r="CS52" s="19">
        <v>0</v>
      </c>
      <c r="CT52" s="19">
        <v>0</v>
      </c>
      <c r="CU52" s="19">
        <v>0</v>
      </c>
      <c r="CV52" s="19">
        <v>0</v>
      </c>
      <c r="CW52" s="19">
        <v>0</v>
      </c>
      <c r="CX52" s="19">
        <v>0</v>
      </c>
      <c r="CY52" s="19">
        <v>0</v>
      </c>
    </row>
  </sheetData>
  <phoneticPr fontId="3"/>
  <pageMargins left="0.70866141732283472" right="0.70866141732283472" top="0.98425196850393704" bottom="0.70866141732283472" header="0.70866141732283472" footer="0.70866141732283472"/>
  <pageSetup paperSize="9" scale="74" orientation="landscape" verticalDpi="400" r:id="rId1"/>
  <headerFooter alignWithMargins="0">
    <oddHeader>&amp;L災害廃棄物の処理処分状況（令和2年度実績）</oddHeader>
  </headerFooter>
  <colBreaks count="2" manualBreakCount="2">
    <brk id="15" min="1" max="23" man="1"/>
    <brk id="31" min="1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E1795"/>
  <sheetViews>
    <sheetView zoomScaleNormal="100" workbookViewId="0"/>
  </sheetViews>
  <sheetFormatPr defaultColWidth="0" defaultRowHeight="21" customHeight="1"/>
  <cols>
    <col min="1" max="1" width="2.5" style="40" customWidth="1"/>
    <col min="2" max="3" width="4.125" style="40" customWidth="1"/>
    <col min="4" max="4" width="14.125" style="40" customWidth="1"/>
    <col min="5" max="6" width="13.625" style="40" customWidth="1"/>
    <col min="7" max="7" width="3.375" style="40" customWidth="1"/>
    <col min="8" max="10" width="3.625" style="40" customWidth="1"/>
    <col min="11" max="11" width="30.875" style="40" customWidth="1"/>
    <col min="12" max="16" width="13.625" style="40" customWidth="1"/>
    <col min="17" max="20" width="11.5" style="40" customWidth="1"/>
    <col min="21" max="21" width="16.625" style="40" hidden="1" customWidth="1"/>
    <col min="22" max="22" width="37.25" style="41" hidden="1" customWidth="1"/>
    <col min="23" max="23" width="18.375" style="41" hidden="1" customWidth="1"/>
    <col min="24" max="24" width="4" style="41" hidden="1" customWidth="1"/>
    <col min="25" max="25" width="13.625" style="41" hidden="1" customWidth="1"/>
    <col min="26" max="26" width="9" style="50" hidden="1" customWidth="1"/>
    <col min="27" max="27" width="8" style="41" hidden="1" customWidth="1"/>
    <col min="28" max="28" width="5" style="41" hidden="1" customWidth="1"/>
    <col min="29" max="29" width="8" style="41" hidden="1" customWidth="1"/>
    <col min="30" max="30" width="4" style="42" hidden="1" customWidth="1"/>
    <col min="31" max="31" width="10" style="41" hidden="1" customWidth="1"/>
    <col min="32" max="16384" width="8" style="40" hidden="1"/>
  </cols>
  <sheetData>
    <row r="1" spans="1:31" ht="21" customHeight="1" thickBot="1">
      <c r="A1" s="40" t="s">
        <v>361</v>
      </c>
      <c r="Z1" s="41"/>
    </row>
    <row r="2" spans="1:31" ht="21" customHeight="1" thickBot="1">
      <c r="A2" s="43"/>
      <c r="C2" s="44" t="s">
        <v>362</v>
      </c>
      <c r="D2" s="45"/>
      <c r="E2" s="46" t="s">
        <v>363</v>
      </c>
      <c r="F2" s="47"/>
      <c r="N2" s="40" t="str">
        <f>LEFT(D2,2)</f>
        <v/>
      </c>
      <c r="O2" s="40" t="str">
        <f>IF(N2="","-",IF(N2&gt;0,VLOOKUP(N2,$AD$6:$AE$53,2,FALSE),"-"))</f>
        <v>-</v>
      </c>
      <c r="V2" s="48">
        <f>+IF(VALUE(D2)=0,0,1)</f>
        <v>0</v>
      </c>
      <c r="W2" s="49" t="str">
        <f ca="1">IF(V2=0,"",VLOOKUP(D2,INDIRECT(W6&amp;"!B6:C1795"),2,FALSE))</f>
        <v/>
      </c>
      <c r="Y2" s="48">
        <f>IF(V2=0,1,IF(ISERROR(W2),1,0))</f>
        <v>1</v>
      </c>
      <c r="Z2" s="41"/>
      <c r="AA2" s="49">
        <f ca="1">COUNTA(INDIRECT(W6&amp;"!B6:B1795"))+5</f>
        <v>53</v>
      </c>
      <c r="AB2" s="49">
        <f>IF(V2=0,0,VLOOKUP(D2,AA5:AB1795,2,FALSE))</f>
        <v>0</v>
      </c>
    </row>
    <row r="3" spans="1:31" ht="21" customHeight="1">
      <c r="A3" s="43"/>
      <c r="W3" s="50"/>
      <c r="Y3" s="48"/>
      <c r="Z3" s="41"/>
    </row>
    <row r="4" spans="1:31" ht="21" customHeight="1" thickBot="1">
      <c r="A4" s="43"/>
      <c r="B4" s="51" t="s">
        <v>364</v>
      </c>
      <c r="C4" s="52"/>
      <c r="D4" s="53"/>
      <c r="E4" s="53"/>
      <c r="F4" s="53"/>
      <c r="Z4" s="41"/>
    </row>
    <row r="5" spans="1:31" ht="21" customHeight="1" thickBot="1">
      <c r="A5" s="43"/>
      <c r="H5" s="54" t="s">
        <v>365</v>
      </c>
      <c r="I5" s="55"/>
      <c r="J5" s="55"/>
      <c r="K5" s="55"/>
      <c r="L5" s="56" t="s">
        <v>366</v>
      </c>
      <c r="M5" s="57" t="s">
        <v>367</v>
      </c>
      <c r="N5" s="58"/>
      <c r="O5" s="59"/>
      <c r="P5" s="60" t="s">
        <v>368</v>
      </c>
      <c r="Z5" s="41"/>
      <c r="AA5" s="41">
        <f t="shared" ref="AA5:AA68" ca="1" si="0">INDIRECT($W$6&amp;"!"&amp;"B"&amp;ROW(B5))</f>
        <v>0</v>
      </c>
      <c r="AB5" s="41">
        <v>5</v>
      </c>
    </row>
    <row r="6" spans="1:31" ht="21" customHeight="1" thickBot="1">
      <c r="A6" s="43"/>
      <c r="B6" s="61"/>
      <c r="C6" s="62" t="s">
        <v>369</v>
      </c>
      <c r="D6" s="63"/>
      <c r="E6" s="64">
        <f ca="1">Y6</f>
        <v>0</v>
      </c>
      <c r="F6" s="65"/>
      <c r="H6" s="66"/>
      <c r="I6" s="67"/>
      <c r="J6" s="67"/>
      <c r="K6" s="67"/>
      <c r="L6" s="68"/>
      <c r="M6" s="69" t="s">
        <v>370</v>
      </c>
      <c r="N6" s="70" t="s">
        <v>371</v>
      </c>
      <c r="O6" s="71" t="s">
        <v>372</v>
      </c>
      <c r="P6" s="72"/>
      <c r="V6" s="41" t="s">
        <v>373</v>
      </c>
      <c r="W6" s="50" t="s">
        <v>374</v>
      </c>
      <c r="X6" s="50" t="s">
        <v>375</v>
      </c>
      <c r="Y6" s="41">
        <f t="shared" ref="Y6:Y16" ca="1" si="1">IF(Y$2=0,INDIRECT(W6&amp;"!"&amp;X6&amp;$AB$2),0)</f>
        <v>0</v>
      </c>
      <c r="Z6" s="41"/>
      <c r="AA6" s="41" t="str">
        <f t="shared" ca="1" si="0"/>
        <v>01000</v>
      </c>
      <c r="AB6" s="41">
        <v>6</v>
      </c>
      <c r="AD6" s="42" t="s">
        <v>376</v>
      </c>
      <c r="AE6" s="41" t="s">
        <v>377</v>
      </c>
    </row>
    <row r="7" spans="1:31" ht="21" customHeight="1" thickBot="1">
      <c r="B7" s="73"/>
      <c r="C7" s="74" t="s">
        <v>378</v>
      </c>
      <c r="D7" s="75"/>
      <c r="E7" s="76">
        <f ca="1">Y7</f>
        <v>0</v>
      </c>
      <c r="F7" s="65"/>
      <c r="H7" s="77" t="s">
        <v>379</v>
      </c>
      <c r="I7" s="77" t="s">
        <v>380</v>
      </c>
      <c r="J7" s="78" t="s">
        <v>381</v>
      </c>
      <c r="K7" s="79"/>
      <c r="L7" s="80">
        <f t="shared" ref="L7:L14" ca="1" si="2">Y42</f>
        <v>0</v>
      </c>
      <c r="M7" s="81" t="s">
        <v>382</v>
      </c>
      <c r="N7" s="82" t="s">
        <v>382</v>
      </c>
      <c r="O7" s="83" t="s">
        <v>382</v>
      </c>
      <c r="P7" s="84">
        <f ca="1">Y135</f>
        <v>0</v>
      </c>
      <c r="V7" s="41" t="s">
        <v>383</v>
      </c>
      <c r="W7" s="50" t="s">
        <v>384</v>
      </c>
      <c r="X7" s="50" t="s">
        <v>385</v>
      </c>
      <c r="Y7" s="41">
        <f t="shared" ca="1" si="1"/>
        <v>0</v>
      </c>
      <c r="Z7" s="41"/>
      <c r="AA7" s="41" t="str">
        <f t="shared" ca="1" si="0"/>
        <v>02000</v>
      </c>
      <c r="AB7" s="41">
        <v>7</v>
      </c>
      <c r="AD7" s="42" t="s">
        <v>386</v>
      </c>
      <c r="AE7" s="41" t="s">
        <v>387</v>
      </c>
    </row>
    <row r="8" spans="1:31" ht="21" customHeight="1" thickBot="1">
      <c r="B8" s="68" t="s">
        <v>388</v>
      </c>
      <c r="C8" s="85"/>
      <c r="D8" s="85"/>
      <c r="E8" s="86">
        <f ca="1">SUM(E6:E7)</f>
        <v>0</v>
      </c>
      <c r="F8" s="65"/>
      <c r="H8" s="87"/>
      <c r="I8" s="88"/>
      <c r="J8" s="89" t="s">
        <v>389</v>
      </c>
      <c r="K8" s="90" t="s">
        <v>390</v>
      </c>
      <c r="L8" s="64">
        <f t="shared" ca="1" si="2"/>
        <v>0</v>
      </c>
      <c r="M8" s="91" t="s">
        <v>382</v>
      </c>
      <c r="N8" s="92" t="s">
        <v>391</v>
      </c>
      <c r="O8" s="93" t="s">
        <v>391</v>
      </c>
      <c r="P8" s="94" t="s">
        <v>391</v>
      </c>
      <c r="V8" s="41" t="s">
        <v>392</v>
      </c>
      <c r="W8" s="50" t="s">
        <v>384</v>
      </c>
      <c r="X8" s="50" t="s">
        <v>393</v>
      </c>
      <c r="Y8" s="41">
        <f t="shared" ca="1" si="1"/>
        <v>0</v>
      </c>
      <c r="Z8" s="41"/>
      <c r="AA8" s="41" t="str">
        <f t="shared" ca="1" si="0"/>
        <v>03000</v>
      </c>
      <c r="AB8" s="41">
        <v>8</v>
      </c>
      <c r="AD8" s="42" t="s">
        <v>394</v>
      </c>
      <c r="AE8" s="41" t="s">
        <v>395</v>
      </c>
    </row>
    <row r="9" spans="1:31" ht="21" customHeight="1" thickBot="1">
      <c r="B9" s="95" t="s">
        <v>396</v>
      </c>
      <c r="C9" s="85"/>
      <c r="D9" s="85"/>
      <c r="E9" s="86">
        <f ca="1">Y8</f>
        <v>0</v>
      </c>
      <c r="F9" s="65"/>
      <c r="H9" s="87"/>
      <c r="I9" s="88"/>
      <c r="J9" s="96"/>
      <c r="K9" s="97" t="s">
        <v>397</v>
      </c>
      <c r="L9" s="76">
        <f t="shared" ca="1" si="2"/>
        <v>0</v>
      </c>
      <c r="M9" s="98" t="s">
        <v>382</v>
      </c>
      <c r="N9" s="99" t="s">
        <v>391</v>
      </c>
      <c r="O9" s="100" t="s">
        <v>382</v>
      </c>
      <c r="P9" s="101" t="s">
        <v>391</v>
      </c>
      <c r="V9" s="41" t="s">
        <v>398</v>
      </c>
      <c r="W9" s="50" t="s">
        <v>399</v>
      </c>
      <c r="X9" s="50" t="s">
        <v>400</v>
      </c>
      <c r="Y9" s="41">
        <f t="shared" ref="Y9:Y15" ca="1" si="3">IF(Y$2=0,INDIRECT(W9&amp;"!"&amp;X9&amp;$AB$2+1),0)</f>
        <v>0</v>
      </c>
      <c r="Z9" s="41"/>
      <c r="AA9" s="41" t="str">
        <f t="shared" ca="1" si="0"/>
        <v>04000</v>
      </c>
      <c r="AB9" s="41">
        <v>9</v>
      </c>
      <c r="AD9" s="42" t="s">
        <v>401</v>
      </c>
      <c r="AE9" s="41" t="s">
        <v>402</v>
      </c>
    </row>
    <row r="10" spans="1:31" ht="21" customHeight="1" thickBot="1">
      <c r="B10" s="102"/>
      <c r="C10" s="103"/>
      <c r="D10" s="103"/>
      <c r="E10" s="104"/>
      <c r="F10" s="104"/>
      <c r="H10" s="87"/>
      <c r="I10" s="88"/>
      <c r="J10" s="96"/>
      <c r="K10" s="105" t="s">
        <v>403</v>
      </c>
      <c r="L10" s="76">
        <f t="shared" ca="1" si="2"/>
        <v>0</v>
      </c>
      <c r="M10" s="98" t="s">
        <v>391</v>
      </c>
      <c r="N10" s="99" t="s">
        <v>391</v>
      </c>
      <c r="O10" s="100" t="s">
        <v>391</v>
      </c>
      <c r="P10" s="101" t="s">
        <v>391</v>
      </c>
      <c r="V10" s="41" t="s">
        <v>404</v>
      </c>
      <c r="W10" s="50" t="s">
        <v>399</v>
      </c>
      <c r="X10" s="50" t="s">
        <v>405</v>
      </c>
      <c r="Y10" s="41">
        <f t="shared" ca="1" si="3"/>
        <v>0</v>
      </c>
      <c r="Z10" s="41"/>
      <c r="AA10" s="41" t="str">
        <f t="shared" ca="1" si="0"/>
        <v>05000</v>
      </c>
      <c r="AB10" s="41">
        <v>10</v>
      </c>
      <c r="AD10" s="42" t="s">
        <v>406</v>
      </c>
      <c r="AE10" s="41" t="s">
        <v>407</v>
      </c>
    </row>
    <row r="11" spans="1:31" ht="21" customHeight="1" thickBot="1">
      <c r="B11" s="106"/>
      <c r="C11" s="106"/>
      <c r="D11" s="106"/>
      <c r="E11" s="107" t="s">
        <v>408</v>
      </c>
      <c r="F11" s="107" t="s">
        <v>409</v>
      </c>
      <c r="H11" s="87"/>
      <c r="I11" s="88"/>
      <c r="J11" s="96"/>
      <c r="K11" s="108" t="s">
        <v>410</v>
      </c>
      <c r="L11" s="76">
        <f t="shared" ca="1" si="2"/>
        <v>0</v>
      </c>
      <c r="M11" s="98" t="s">
        <v>391</v>
      </c>
      <c r="N11" s="99" t="s">
        <v>391</v>
      </c>
      <c r="O11" s="100" t="s">
        <v>391</v>
      </c>
      <c r="P11" s="101" t="s">
        <v>391</v>
      </c>
      <c r="V11" s="41" t="s">
        <v>411</v>
      </c>
      <c r="W11" s="50" t="s">
        <v>399</v>
      </c>
      <c r="X11" s="50" t="s">
        <v>412</v>
      </c>
      <c r="Y11" s="41">
        <f t="shared" ca="1" si="3"/>
        <v>0</v>
      </c>
      <c r="Z11" s="41"/>
      <c r="AA11" s="41" t="str">
        <f t="shared" ca="1" si="0"/>
        <v>06000</v>
      </c>
      <c r="AB11" s="41">
        <v>11</v>
      </c>
      <c r="AD11" s="42" t="s">
        <v>413</v>
      </c>
      <c r="AE11" s="41" t="s">
        <v>414</v>
      </c>
    </row>
    <row r="12" spans="1:31" ht="21" customHeight="1">
      <c r="B12" s="109" t="s">
        <v>415</v>
      </c>
      <c r="C12" s="110" t="s">
        <v>416</v>
      </c>
      <c r="D12" s="111" t="s">
        <v>417</v>
      </c>
      <c r="E12" s="64">
        <f t="shared" ref="E12:E17" ca="1" si="4">Y17</f>
        <v>0</v>
      </c>
      <c r="F12" s="64">
        <f t="shared" ref="F12:F17" ca="1" si="5">Y29</f>
        <v>0</v>
      </c>
      <c r="H12" s="87"/>
      <c r="I12" s="88"/>
      <c r="J12" s="96"/>
      <c r="K12" s="108" t="s">
        <v>418</v>
      </c>
      <c r="L12" s="76">
        <f t="shared" ca="1" si="2"/>
        <v>0</v>
      </c>
      <c r="M12" s="98" t="s">
        <v>382</v>
      </c>
      <c r="N12" s="99" t="s">
        <v>382</v>
      </c>
      <c r="O12" s="100" t="s">
        <v>382</v>
      </c>
      <c r="P12" s="101" t="s">
        <v>382</v>
      </c>
      <c r="V12" s="41" t="s">
        <v>419</v>
      </c>
      <c r="W12" s="50" t="s">
        <v>399</v>
      </c>
      <c r="X12" s="50" t="s">
        <v>420</v>
      </c>
      <c r="Y12" s="41">
        <f t="shared" ca="1" si="3"/>
        <v>0</v>
      </c>
      <c r="Z12" s="41"/>
      <c r="AA12" s="41" t="str">
        <f t="shared" ca="1" si="0"/>
        <v>07000</v>
      </c>
      <c r="AB12" s="41">
        <v>12</v>
      </c>
      <c r="AD12" s="42" t="s">
        <v>421</v>
      </c>
      <c r="AE12" s="41" t="s">
        <v>422</v>
      </c>
    </row>
    <row r="13" spans="1:31" ht="21" customHeight="1">
      <c r="B13" s="112"/>
      <c r="C13" s="113"/>
      <c r="D13" s="97" t="s">
        <v>404</v>
      </c>
      <c r="E13" s="76">
        <f t="shared" ca="1" si="4"/>
        <v>0</v>
      </c>
      <c r="F13" s="76">
        <f t="shared" ca="1" si="5"/>
        <v>0</v>
      </c>
      <c r="H13" s="87"/>
      <c r="I13" s="88"/>
      <c r="J13" s="96"/>
      <c r="K13" s="108" t="s">
        <v>423</v>
      </c>
      <c r="L13" s="76">
        <f t="shared" ca="1" si="2"/>
        <v>0</v>
      </c>
      <c r="M13" s="98" t="s">
        <v>382</v>
      </c>
      <c r="N13" s="99" t="s">
        <v>382</v>
      </c>
      <c r="O13" s="100" t="s">
        <v>382</v>
      </c>
      <c r="P13" s="101" t="s">
        <v>382</v>
      </c>
      <c r="V13" s="41" t="s">
        <v>424</v>
      </c>
      <c r="W13" s="50" t="s">
        <v>399</v>
      </c>
      <c r="X13" s="50" t="s">
        <v>425</v>
      </c>
      <c r="Y13" s="41">
        <f t="shared" ca="1" si="3"/>
        <v>0</v>
      </c>
      <c r="Z13" s="41"/>
      <c r="AA13" s="41" t="str">
        <f t="shared" ca="1" si="0"/>
        <v>08000</v>
      </c>
      <c r="AB13" s="41">
        <v>13</v>
      </c>
      <c r="AD13" s="42" t="s">
        <v>426</v>
      </c>
      <c r="AE13" s="41" t="s">
        <v>427</v>
      </c>
    </row>
    <row r="14" spans="1:31" ht="21" customHeight="1" thickBot="1">
      <c r="B14" s="112"/>
      <c r="C14" s="113"/>
      <c r="D14" s="97" t="s">
        <v>411</v>
      </c>
      <c r="E14" s="76">
        <f t="shared" ca="1" si="4"/>
        <v>0</v>
      </c>
      <c r="F14" s="76">
        <f t="shared" ca="1" si="5"/>
        <v>0</v>
      </c>
      <c r="H14" s="87"/>
      <c r="I14" s="88"/>
      <c r="J14" s="114"/>
      <c r="K14" s="115" t="s">
        <v>428</v>
      </c>
      <c r="L14" s="86">
        <f t="shared" ca="1" si="2"/>
        <v>0</v>
      </c>
      <c r="M14" s="116" t="s">
        <v>382</v>
      </c>
      <c r="N14" s="117" t="s">
        <v>382</v>
      </c>
      <c r="O14" s="118" t="s">
        <v>382</v>
      </c>
      <c r="P14" s="119" t="s">
        <v>382</v>
      </c>
      <c r="V14" s="41" t="s">
        <v>191</v>
      </c>
      <c r="W14" s="50" t="s">
        <v>399</v>
      </c>
      <c r="X14" s="50" t="s">
        <v>429</v>
      </c>
      <c r="Y14" s="41">
        <f t="shared" ca="1" si="3"/>
        <v>0</v>
      </c>
      <c r="Z14" s="41"/>
      <c r="AA14" s="41" t="str">
        <f t="shared" ca="1" si="0"/>
        <v>09000</v>
      </c>
      <c r="AB14" s="41">
        <v>14</v>
      </c>
      <c r="AD14" s="42" t="s">
        <v>430</v>
      </c>
      <c r="AE14" s="41" t="s">
        <v>431</v>
      </c>
    </row>
    <row r="15" spans="1:31" ht="21" customHeight="1" thickBot="1">
      <c r="B15" s="112"/>
      <c r="C15" s="113"/>
      <c r="D15" s="97" t="s">
        <v>419</v>
      </c>
      <c r="E15" s="76">
        <f t="shared" ca="1" si="4"/>
        <v>0</v>
      </c>
      <c r="F15" s="76">
        <f t="shared" ca="1" si="5"/>
        <v>0</v>
      </c>
      <c r="H15" s="87"/>
      <c r="I15" s="120"/>
      <c r="J15" s="121" t="s">
        <v>432</v>
      </c>
      <c r="K15" s="122"/>
      <c r="L15" s="123">
        <f ca="1">SUM(L7:L14)</f>
        <v>0</v>
      </c>
      <c r="M15" s="124" t="s">
        <v>382</v>
      </c>
      <c r="N15" s="125">
        <f t="shared" ref="N15:N22" ca="1" si="6">Y59</f>
        <v>0</v>
      </c>
      <c r="O15" s="126">
        <f t="shared" ref="O15:O21" ca="1" si="7">Y67</f>
        <v>0</v>
      </c>
      <c r="P15" s="84">
        <f ca="1">P7</f>
        <v>0</v>
      </c>
      <c r="V15" s="41" t="s">
        <v>433</v>
      </c>
      <c r="W15" s="50" t="s">
        <v>434</v>
      </c>
      <c r="X15" s="50" t="s">
        <v>435</v>
      </c>
      <c r="Y15" s="41">
        <f t="shared" ca="1" si="3"/>
        <v>0</v>
      </c>
      <c r="Z15" s="41"/>
      <c r="AA15" s="41" t="str">
        <f t="shared" ca="1" si="0"/>
        <v>10000</v>
      </c>
      <c r="AB15" s="41">
        <v>15</v>
      </c>
      <c r="AD15" s="42" t="s">
        <v>436</v>
      </c>
      <c r="AE15" s="41" t="s">
        <v>437</v>
      </c>
    </row>
    <row r="16" spans="1:31" ht="21" customHeight="1">
      <c r="B16" s="112"/>
      <c r="C16" s="113"/>
      <c r="D16" s="97" t="s">
        <v>352</v>
      </c>
      <c r="E16" s="76">
        <f t="shared" ca="1" si="4"/>
        <v>0</v>
      </c>
      <c r="F16" s="76">
        <f t="shared" ca="1" si="5"/>
        <v>0</v>
      </c>
      <c r="H16" s="87"/>
      <c r="I16" s="77" t="s">
        <v>438</v>
      </c>
      <c r="J16" s="127" t="s">
        <v>439</v>
      </c>
      <c r="K16" s="128"/>
      <c r="L16" s="129">
        <f t="shared" ref="L16:L22" ca="1" si="8">Y50</f>
        <v>0</v>
      </c>
      <c r="M16" s="130">
        <f t="shared" ref="M16:M22" ca="1" si="9">L8</f>
        <v>0</v>
      </c>
      <c r="N16" s="131">
        <f t="shared" ca="1" si="6"/>
        <v>0</v>
      </c>
      <c r="O16" s="132">
        <f t="shared" ca="1" si="7"/>
        <v>0</v>
      </c>
      <c r="P16" s="64">
        <f t="shared" ref="P16:P22" ca="1" si="10">Y136</f>
        <v>0</v>
      </c>
      <c r="V16" s="41" t="s">
        <v>440</v>
      </c>
      <c r="W16" s="50" t="s">
        <v>384</v>
      </c>
      <c r="X16" s="50" t="s">
        <v>441</v>
      </c>
      <c r="Y16" s="41">
        <f t="shared" ca="1" si="1"/>
        <v>0</v>
      </c>
      <c r="Z16" s="41"/>
      <c r="AA16" s="41" t="str">
        <f t="shared" ca="1" si="0"/>
        <v>11000</v>
      </c>
      <c r="AB16" s="41">
        <v>16</v>
      </c>
      <c r="AD16" s="42" t="s">
        <v>442</v>
      </c>
      <c r="AE16" s="41" t="s">
        <v>443</v>
      </c>
    </row>
    <row r="17" spans="2:31" ht="21" customHeight="1">
      <c r="B17" s="112"/>
      <c r="C17" s="113"/>
      <c r="D17" s="97" t="s">
        <v>191</v>
      </c>
      <c r="E17" s="76">
        <f t="shared" ca="1" si="4"/>
        <v>0</v>
      </c>
      <c r="F17" s="76">
        <f t="shared" ca="1" si="5"/>
        <v>0</v>
      </c>
      <c r="H17" s="87"/>
      <c r="I17" s="88"/>
      <c r="J17" s="133" t="s">
        <v>397</v>
      </c>
      <c r="K17" s="134"/>
      <c r="L17" s="76">
        <f t="shared" ca="1" si="8"/>
        <v>0</v>
      </c>
      <c r="M17" s="135">
        <f t="shared" ca="1" si="9"/>
        <v>0</v>
      </c>
      <c r="N17" s="136">
        <f t="shared" ca="1" si="6"/>
        <v>0</v>
      </c>
      <c r="O17" s="137">
        <f t="shared" ca="1" si="7"/>
        <v>0</v>
      </c>
      <c r="P17" s="76">
        <f t="shared" ca="1" si="10"/>
        <v>0</v>
      </c>
      <c r="V17" s="41" t="s">
        <v>444</v>
      </c>
      <c r="W17" s="50" t="s">
        <v>434</v>
      </c>
      <c r="X17" s="50" t="s">
        <v>445</v>
      </c>
      <c r="Y17" s="41">
        <f t="shared" ref="Y17:Y40" ca="1" si="11">IF(Y$2=0,INDIRECT(W17&amp;"!"&amp;X17&amp;$AB$2+1),0)</f>
        <v>0</v>
      </c>
      <c r="Z17" s="41"/>
      <c r="AA17" s="41" t="str">
        <f t="shared" ca="1" si="0"/>
        <v>12000</v>
      </c>
      <c r="AB17" s="41">
        <v>17</v>
      </c>
      <c r="AD17" s="42" t="s">
        <v>446</v>
      </c>
      <c r="AE17" s="41" t="s">
        <v>447</v>
      </c>
    </row>
    <row r="18" spans="2:31" ht="21" customHeight="1">
      <c r="B18" s="112"/>
      <c r="C18" s="138"/>
      <c r="D18" s="139" t="s">
        <v>432</v>
      </c>
      <c r="E18" s="140">
        <f ca="1">SUM(E12:E17)</f>
        <v>0</v>
      </c>
      <c r="F18" s="140">
        <f ca="1">SUM(F12:F17)</f>
        <v>0</v>
      </c>
      <c r="H18" s="87"/>
      <c r="I18" s="88"/>
      <c r="J18" s="141" t="s">
        <v>403</v>
      </c>
      <c r="K18" s="128"/>
      <c r="L18" s="76">
        <f t="shared" ca="1" si="8"/>
        <v>0</v>
      </c>
      <c r="M18" s="135">
        <f t="shared" ca="1" si="9"/>
        <v>0</v>
      </c>
      <c r="N18" s="136">
        <f t="shared" ca="1" si="6"/>
        <v>0</v>
      </c>
      <c r="O18" s="137">
        <f t="shared" ca="1" si="7"/>
        <v>0</v>
      </c>
      <c r="P18" s="76">
        <f t="shared" ca="1" si="10"/>
        <v>0</v>
      </c>
      <c r="V18" s="41" t="s">
        <v>448</v>
      </c>
      <c r="W18" s="50" t="s">
        <v>434</v>
      </c>
      <c r="X18" s="50" t="s">
        <v>449</v>
      </c>
      <c r="Y18" s="41">
        <f t="shared" ca="1" si="11"/>
        <v>0</v>
      </c>
      <c r="Z18" s="41"/>
      <c r="AA18" s="41" t="str">
        <f t="shared" ca="1" si="0"/>
        <v>13000</v>
      </c>
      <c r="AB18" s="41">
        <v>18</v>
      </c>
      <c r="AD18" s="42" t="s">
        <v>450</v>
      </c>
      <c r="AE18" s="41" t="s">
        <v>451</v>
      </c>
    </row>
    <row r="19" spans="2:31" ht="21" customHeight="1">
      <c r="B19" s="112"/>
      <c r="C19" s="142" t="s">
        <v>433</v>
      </c>
      <c r="D19" s="97" t="s">
        <v>398</v>
      </c>
      <c r="E19" s="143">
        <f t="shared" ref="E19:E24" ca="1" si="12">Y23</f>
        <v>0</v>
      </c>
      <c r="F19" s="76">
        <f t="shared" ref="F19:F24" ca="1" si="13">Y35</f>
        <v>0</v>
      </c>
      <c r="H19" s="87"/>
      <c r="I19" s="88"/>
      <c r="J19" s="141" t="s">
        <v>452</v>
      </c>
      <c r="K19" s="128"/>
      <c r="L19" s="76">
        <f t="shared" ca="1" si="8"/>
        <v>0</v>
      </c>
      <c r="M19" s="135">
        <f t="shared" ca="1" si="9"/>
        <v>0</v>
      </c>
      <c r="N19" s="136">
        <f t="shared" ca="1" si="6"/>
        <v>0</v>
      </c>
      <c r="O19" s="137">
        <f t="shared" ca="1" si="7"/>
        <v>0</v>
      </c>
      <c r="P19" s="76">
        <f t="shared" ca="1" si="10"/>
        <v>0</v>
      </c>
      <c r="V19" s="41" t="s">
        <v>453</v>
      </c>
      <c r="W19" s="50" t="s">
        <v>434</v>
      </c>
      <c r="X19" s="50" t="s">
        <v>454</v>
      </c>
      <c r="Y19" s="41">
        <f t="shared" ca="1" si="11"/>
        <v>0</v>
      </c>
      <c r="Z19" s="41"/>
      <c r="AA19" s="41" t="str">
        <f t="shared" ca="1" si="0"/>
        <v>14000</v>
      </c>
      <c r="AB19" s="41">
        <v>19</v>
      </c>
      <c r="AD19" s="42" t="s">
        <v>455</v>
      </c>
      <c r="AE19" s="41" t="s">
        <v>456</v>
      </c>
    </row>
    <row r="20" spans="2:31" ht="21" customHeight="1">
      <c r="B20" s="112"/>
      <c r="C20" s="144"/>
      <c r="D20" s="97" t="s">
        <v>351</v>
      </c>
      <c r="E20" s="143">
        <f t="shared" ca="1" si="12"/>
        <v>0</v>
      </c>
      <c r="F20" s="76">
        <f t="shared" ca="1" si="13"/>
        <v>0</v>
      </c>
      <c r="H20" s="87"/>
      <c r="I20" s="88"/>
      <c r="J20" s="133" t="s">
        <v>457</v>
      </c>
      <c r="K20" s="134"/>
      <c r="L20" s="76">
        <f t="shared" ca="1" si="8"/>
        <v>0</v>
      </c>
      <c r="M20" s="135">
        <f t="shared" ca="1" si="9"/>
        <v>0</v>
      </c>
      <c r="N20" s="136">
        <f t="shared" ca="1" si="6"/>
        <v>0</v>
      </c>
      <c r="O20" s="137">
        <f t="shared" ca="1" si="7"/>
        <v>0</v>
      </c>
      <c r="P20" s="76">
        <f t="shared" ca="1" si="10"/>
        <v>0</v>
      </c>
      <c r="V20" s="41" t="s">
        <v>458</v>
      </c>
      <c r="W20" s="50" t="s">
        <v>434</v>
      </c>
      <c r="X20" s="50" t="s">
        <v>459</v>
      </c>
      <c r="Y20" s="41">
        <f t="shared" ca="1" si="11"/>
        <v>0</v>
      </c>
      <c r="Z20" s="41"/>
      <c r="AA20" s="41" t="str">
        <f t="shared" ca="1" si="0"/>
        <v>15000</v>
      </c>
      <c r="AB20" s="41">
        <v>20</v>
      </c>
      <c r="AD20" s="42" t="s">
        <v>460</v>
      </c>
      <c r="AE20" s="41" t="s">
        <v>461</v>
      </c>
    </row>
    <row r="21" spans="2:31" ht="21" customHeight="1">
      <c r="B21" s="112"/>
      <c r="C21" s="144"/>
      <c r="D21" s="97" t="s">
        <v>190</v>
      </c>
      <c r="E21" s="143">
        <f t="shared" ca="1" si="12"/>
        <v>0</v>
      </c>
      <c r="F21" s="76">
        <f t="shared" ca="1" si="13"/>
        <v>0</v>
      </c>
      <c r="H21" s="87"/>
      <c r="I21" s="88"/>
      <c r="J21" s="133" t="s">
        <v>462</v>
      </c>
      <c r="K21" s="134"/>
      <c r="L21" s="76">
        <f t="shared" ca="1" si="8"/>
        <v>0</v>
      </c>
      <c r="M21" s="135">
        <f t="shared" ca="1" si="9"/>
        <v>0</v>
      </c>
      <c r="N21" s="136">
        <f t="shared" ca="1" si="6"/>
        <v>0</v>
      </c>
      <c r="O21" s="137">
        <f t="shared" ca="1" si="7"/>
        <v>0</v>
      </c>
      <c r="P21" s="76">
        <f t="shared" ca="1" si="10"/>
        <v>0</v>
      </c>
      <c r="V21" s="41" t="s">
        <v>463</v>
      </c>
      <c r="W21" s="50" t="s">
        <v>434</v>
      </c>
      <c r="X21" s="50" t="s">
        <v>464</v>
      </c>
      <c r="Y21" s="41">
        <f t="shared" ca="1" si="11"/>
        <v>0</v>
      </c>
      <c r="Z21" s="41"/>
      <c r="AA21" s="41" t="str">
        <f t="shared" ca="1" si="0"/>
        <v>16000</v>
      </c>
      <c r="AB21" s="41">
        <v>21</v>
      </c>
      <c r="AD21" s="42" t="s">
        <v>465</v>
      </c>
      <c r="AE21" s="41" t="s">
        <v>466</v>
      </c>
    </row>
    <row r="22" spans="2:31" ht="21" customHeight="1" thickBot="1">
      <c r="B22" s="112"/>
      <c r="C22" s="144"/>
      <c r="D22" s="97" t="s">
        <v>467</v>
      </c>
      <c r="E22" s="143">
        <f t="shared" ca="1" si="12"/>
        <v>0</v>
      </c>
      <c r="F22" s="76">
        <f t="shared" ca="1" si="13"/>
        <v>0</v>
      </c>
      <c r="H22" s="87"/>
      <c r="I22" s="88"/>
      <c r="J22" s="145" t="s">
        <v>468</v>
      </c>
      <c r="K22" s="146"/>
      <c r="L22" s="86">
        <f t="shared" ca="1" si="8"/>
        <v>0</v>
      </c>
      <c r="M22" s="147">
        <f t="shared" ca="1" si="9"/>
        <v>0</v>
      </c>
      <c r="N22" s="148">
        <f t="shared" ca="1" si="6"/>
        <v>0</v>
      </c>
      <c r="O22" s="118" t="s">
        <v>382</v>
      </c>
      <c r="P22" s="86">
        <f t="shared" ca="1" si="10"/>
        <v>0</v>
      </c>
      <c r="V22" s="41" t="s">
        <v>469</v>
      </c>
      <c r="W22" s="50" t="s">
        <v>399</v>
      </c>
      <c r="X22" s="50" t="s">
        <v>470</v>
      </c>
      <c r="Y22" s="41">
        <f t="shared" ca="1" si="11"/>
        <v>0</v>
      </c>
      <c r="Z22" s="41"/>
      <c r="AA22" s="41" t="str">
        <f t="shared" ca="1" si="0"/>
        <v>17000</v>
      </c>
      <c r="AB22" s="41">
        <v>22</v>
      </c>
      <c r="AD22" s="42" t="s">
        <v>471</v>
      </c>
      <c r="AE22" s="41" t="s">
        <v>472</v>
      </c>
    </row>
    <row r="23" spans="2:31" ht="21" customHeight="1" thickBot="1">
      <c r="B23" s="112"/>
      <c r="C23" s="144"/>
      <c r="D23" s="97" t="s">
        <v>352</v>
      </c>
      <c r="E23" s="143">
        <f t="shared" ca="1" si="12"/>
        <v>0</v>
      </c>
      <c r="F23" s="76">
        <f t="shared" ca="1" si="13"/>
        <v>0</v>
      </c>
      <c r="H23" s="87"/>
      <c r="I23" s="120"/>
      <c r="J23" s="149" t="s">
        <v>432</v>
      </c>
      <c r="K23" s="150"/>
      <c r="L23" s="151">
        <f ca="1">SUM(L16:L22)</f>
        <v>0</v>
      </c>
      <c r="M23" s="152">
        <f ca="1">SUM(M16:M22)</f>
        <v>0</v>
      </c>
      <c r="N23" s="153">
        <f ca="1">SUM(N16:N22)</f>
        <v>0</v>
      </c>
      <c r="O23" s="154">
        <f ca="1">SUM(O16:O21)</f>
        <v>0</v>
      </c>
      <c r="P23" s="80">
        <f ca="1">SUM(P16:P22)</f>
        <v>0</v>
      </c>
      <c r="V23" s="41" t="s">
        <v>473</v>
      </c>
      <c r="W23" s="50" t="s">
        <v>399</v>
      </c>
      <c r="X23" s="50" t="s">
        <v>474</v>
      </c>
      <c r="Y23" s="41">
        <f t="shared" ca="1" si="11"/>
        <v>0</v>
      </c>
      <c r="Z23" s="41"/>
      <c r="AA23" s="41" t="str">
        <f t="shared" ca="1" si="0"/>
        <v>18000</v>
      </c>
      <c r="AB23" s="41">
        <v>23</v>
      </c>
      <c r="AD23" s="42" t="s">
        <v>475</v>
      </c>
      <c r="AE23" s="41" t="s">
        <v>476</v>
      </c>
    </row>
    <row r="24" spans="2:31" ht="21" customHeight="1" thickBot="1">
      <c r="B24" s="112"/>
      <c r="C24" s="144"/>
      <c r="D24" s="97" t="s">
        <v>191</v>
      </c>
      <c r="E24" s="143">
        <f t="shared" ca="1" si="12"/>
        <v>0</v>
      </c>
      <c r="F24" s="76">
        <f t="shared" ca="1" si="13"/>
        <v>0</v>
      </c>
      <c r="H24" s="155"/>
      <c r="I24" s="156" t="s">
        <v>477</v>
      </c>
      <c r="J24" s="149"/>
      <c r="K24" s="149"/>
      <c r="L24" s="80">
        <f ca="1">SUM(L7,L23)</f>
        <v>0</v>
      </c>
      <c r="M24" s="157">
        <f ca="1">M23</f>
        <v>0</v>
      </c>
      <c r="N24" s="158">
        <f ca="1">SUM(N15,N23)</f>
        <v>0</v>
      </c>
      <c r="O24" s="159">
        <f ca="1">SUM(O15,O23)</f>
        <v>0</v>
      </c>
      <c r="P24" s="160">
        <f ca="1">SUM(P15,P23)</f>
        <v>0</v>
      </c>
      <c r="V24" s="41" t="s">
        <v>478</v>
      </c>
      <c r="W24" s="50" t="s">
        <v>434</v>
      </c>
      <c r="X24" s="50" t="s">
        <v>479</v>
      </c>
      <c r="Y24" s="41">
        <f t="shared" ca="1" si="11"/>
        <v>0</v>
      </c>
      <c r="Z24" s="41"/>
      <c r="AA24" s="41" t="str">
        <f t="shared" ca="1" si="0"/>
        <v>19000</v>
      </c>
      <c r="AB24" s="41">
        <v>24</v>
      </c>
      <c r="AD24" s="42" t="s">
        <v>480</v>
      </c>
      <c r="AE24" s="41" t="s">
        <v>481</v>
      </c>
    </row>
    <row r="25" spans="2:31" ht="21" customHeight="1">
      <c r="B25" s="112"/>
      <c r="C25" s="161"/>
      <c r="D25" s="75" t="s">
        <v>432</v>
      </c>
      <c r="E25" s="162">
        <f ca="1">SUM(E19:E24)</f>
        <v>0</v>
      </c>
      <c r="F25" s="76">
        <f ca="1">SUM(F19:F24)</f>
        <v>0</v>
      </c>
      <c r="H25" s="163" t="s">
        <v>482</v>
      </c>
      <c r="I25" s="164"/>
      <c r="J25" s="165"/>
      <c r="K25" s="128"/>
      <c r="L25" s="129">
        <f ca="1">Y57</f>
        <v>0</v>
      </c>
      <c r="M25" s="166" t="s">
        <v>382</v>
      </c>
      <c r="N25" s="167" t="s">
        <v>382</v>
      </c>
      <c r="O25" s="168">
        <f ca="1">L25</f>
        <v>0</v>
      </c>
      <c r="P25" s="169" t="s">
        <v>391</v>
      </c>
      <c r="V25" s="41" t="s">
        <v>483</v>
      </c>
      <c r="W25" s="50" t="s">
        <v>434</v>
      </c>
      <c r="X25" s="50" t="s">
        <v>484</v>
      </c>
      <c r="Y25" s="41">
        <f t="shared" ca="1" si="11"/>
        <v>0</v>
      </c>
      <c r="Z25" s="41"/>
      <c r="AA25" s="41" t="str">
        <f t="shared" ca="1" si="0"/>
        <v>20000</v>
      </c>
      <c r="AB25" s="41">
        <v>25</v>
      </c>
      <c r="AD25" s="42" t="s">
        <v>485</v>
      </c>
      <c r="AE25" s="41" t="s">
        <v>486</v>
      </c>
    </row>
    <row r="26" spans="2:31" ht="21" customHeight="1" thickBot="1">
      <c r="B26" s="170"/>
      <c r="C26" s="171" t="s">
        <v>32</v>
      </c>
      <c r="D26" s="172"/>
      <c r="E26" s="86">
        <f ca="1">E18+E25</f>
        <v>0</v>
      </c>
      <c r="F26" s="86">
        <f ca="1">F18+F25</f>
        <v>0</v>
      </c>
      <c r="H26" s="173" t="s">
        <v>487</v>
      </c>
      <c r="I26" s="174"/>
      <c r="J26" s="174"/>
      <c r="K26" s="175"/>
      <c r="L26" s="140">
        <f ca="1">Y58</f>
        <v>0</v>
      </c>
      <c r="M26" s="176" t="s">
        <v>382</v>
      </c>
      <c r="N26" s="177">
        <f ca="1">L26</f>
        <v>0</v>
      </c>
      <c r="O26" s="178" t="s">
        <v>382</v>
      </c>
      <c r="P26" s="179" t="s">
        <v>382</v>
      </c>
      <c r="V26" s="41" t="s">
        <v>488</v>
      </c>
      <c r="W26" s="50" t="s">
        <v>399</v>
      </c>
      <c r="X26" s="50" t="s">
        <v>489</v>
      </c>
      <c r="Y26" s="41">
        <f t="shared" ca="1" si="11"/>
        <v>0</v>
      </c>
      <c r="Z26" s="41"/>
      <c r="AA26" s="41" t="str">
        <f t="shared" ca="1" si="0"/>
        <v>21000</v>
      </c>
      <c r="AB26" s="41">
        <v>26</v>
      </c>
      <c r="AD26" s="42" t="s">
        <v>490</v>
      </c>
      <c r="AE26" s="41" t="s">
        <v>491</v>
      </c>
    </row>
    <row r="27" spans="2:31" ht="21" customHeight="1" thickBot="1">
      <c r="H27" s="180" t="s">
        <v>492</v>
      </c>
      <c r="I27" s="181"/>
      <c r="J27" s="181"/>
      <c r="K27" s="182"/>
      <c r="L27" s="183">
        <f ca="1">SUM(L24:L26)</f>
        <v>0</v>
      </c>
      <c r="M27" s="184">
        <f ca="1">SUM(M24:M26)</f>
        <v>0</v>
      </c>
      <c r="N27" s="185">
        <f ca="1">SUM(N24:N26)</f>
        <v>0</v>
      </c>
      <c r="O27" s="186">
        <f ca="1">SUM(O24:O26)</f>
        <v>0</v>
      </c>
      <c r="P27" s="186">
        <f ca="1">SUM(P24:P26)</f>
        <v>0</v>
      </c>
      <c r="V27" s="41" t="s">
        <v>493</v>
      </c>
      <c r="W27" s="50" t="s">
        <v>434</v>
      </c>
      <c r="X27" s="50" t="s">
        <v>494</v>
      </c>
      <c r="Y27" s="41">
        <f t="shared" ca="1" si="11"/>
        <v>0</v>
      </c>
      <c r="Z27" s="41"/>
      <c r="AA27" s="41" t="str">
        <f t="shared" ca="1" si="0"/>
        <v>22000</v>
      </c>
      <c r="AB27" s="41">
        <v>27</v>
      </c>
      <c r="AD27" s="42" t="s">
        <v>495</v>
      </c>
      <c r="AE27" s="41" t="s">
        <v>496</v>
      </c>
    </row>
    <row r="28" spans="2:31" ht="21" customHeight="1" thickBot="1">
      <c r="F28" s="79"/>
      <c r="H28" s="187" t="s">
        <v>497</v>
      </c>
      <c r="I28" s="187"/>
      <c r="J28" s="187"/>
      <c r="K28" s="187"/>
      <c r="V28" s="41" t="s">
        <v>498</v>
      </c>
      <c r="W28" s="50" t="s">
        <v>434</v>
      </c>
      <c r="X28" s="50" t="s">
        <v>499</v>
      </c>
      <c r="Y28" s="41">
        <f t="shared" ca="1" si="11"/>
        <v>0</v>
      </c>
      <c r="Z28" s="41"/>
      <c r="AA28" s="41" t="str">
        <f t="shared" ca="1" si="0"/>
        <v>23000</v>
      </c>
      <c r="AB28" s="41">
        <v>28</v>
      </c>
      <c r="AD28" s="42" t="s">
        <v>500</v>
      </c>
      <c r="AE28" s="41" t="s">
        <v>501</v>
      </c>
    </row>
    <row r="29" spans="2:31" ht="21" customHeight="1">
      <c r="B29" s="188"/>
      <c r="C29" s="189" t="s">
        <v>158</v>
      </c>
      <c r="D29" s="190"/>
      <c r="E29" s="64">
        <f ca="1">E26</f>
        <v>0</v>
      </c>
      <c r="F29" s="191"/>
      <c r="L29" s="192"/>
      <c r="M29" s="193" t="s">
        <v>482</v>
      </c>
      <c r="N29" s="193" t="s">
        <v>502</v>
      </c>
      <c r="O29" s="190" t="s">
        <v>440</v>
      </c>
      <c r="V29" s="41" t="s">
        <v>503</v>
      </c>
      <c r="W29" s="50" t="s">
        <v>434</v>
      </c>
      <c r="X29" s="50" t="s">
        <v>504</v>
      </c>
      <c r="Y29" s="41">
        <f t="shared" ca="1" si="11"/>
        <v>0</v>
      </c>
      <c r="Z29" s="41"/>
      <c r="AA29" s="41" t="str">
        <f t="shared" ca="1" si="0"/>
        <v>24000</v>
      </c>
      <c r="AB29" s="41">
        <v>29</v>
      </c>
      <c r="AD29" s="42" t="s">
        <v>505</v>
      </c>
      <c r="AE29" s="41" t="s">
        <v>506</v>
      </c>
    </row>
    <row r="30" spans="2:31" ht="21" customHeight="1">
      <c r="B30" s="194"/>
      <c r="C30" s="195" t="s">
        <v>160</v>
      </c>
      <c r="D30" s="196"/>
      <c r="E30" s="76">
        <f ca="1">F26</f>
        <v>0</v>
      </c>
      <c r="F30" s="191"/>
      <c r="L30" s="197" t="s">
        <v>507</v>
      </c>
      <c r="M30" s="136">
        <f t="shared" ref="M30:M39" ca="1" si="14">Y74</f>
        <v>0</v>
      </c>
      <c r="N30" s="136">
        <f t="shared" ref="N30:N49" ca="1" si="15">Y93</f>
        <v>0</v>
      </c>
      <c r="O30" s="198">
        <f t="shared" ref="O30:O39" ca="1" si="16">Y113</f>
        <v>0</v>
      </c>
      <c r="V30" s="41" t="s">
        <v>508</v>
      </c>
      <c r="W30" s="50" t="s">
        <v>434</v>
      </c>
      <c r="X30" s="50" t="s">
        <v>509</v>
      </c>
      <c r="Y30" s="41">
        <f t="shared" ca="1" si="11"/>
        <v>0</v>
      </c>
      <c r="Z30" s="41"/>
      <c r="AA30" s="41" t="str">
        <f t="shared" ca="1" si="0"/>
        <v>25000</v>
      </c>
      <c r="AB30" s="41">
        <v>30</v>
      </c>
      <c r="AD30" s="42" t="s">
        <v>510</v>
      </c>
      <c r="AE30" s="41" t="s">
        <v>511</v>
      </c>
    </row>
    <row r="31" spans="2:31" ht="21" customHeight="1">
      <c r="B31" s="199"/>
      <c r="C31" s="195" t="s">
        <v>440</v>
      </c>
      <c r="D31" s="196"/>
      <c r="E31" s="76">
        <f ca="1">O50</f>
        <v>0</v>
      </c>
      <c r="F31" s="191"/>
      <c r="L31" s="197" t="s">
        <v>512</v>
      </c>
      <c r="M31" s="136">
        <f t="shared" ca="1" si="14"/>
        <v>0</v>
      </c>
      <c r="N31" s="136">
        <f t="shared" ca="1" si="15"/>
        <v>0</v>
      </c>
      <c r="O31" s="198">
        <f t="shared" ca="1" si="16"/>
        <v>0</v>
      </c>
      <c r="V31" s="41" t="s">
        <v>513</v>
      </c>
      <c r="W31" s="50" t="s">
        <v>434</v>
      </c>
      <c r="X31" s="50" t="s">
        <v>514</v>
      </c>
      <c r="Y31" s="41">
        <f t="shared" ca="1" si="11"/>
        <v>0</v>
      </c>
      <c r="Z31" s="41"/>
      <c r="AA31" s="41" t="str">
        <f t="shared" ca="1" si="0"/>
        <v>26000</v>
      </c>
      <c r="AB31" s="41">
        <v>31</v>
      </c>
      <c r="AD31" s="42" t="s">
        <v>515</v>
      </c>
      <c r="AE31" s="41" t="s">
        <v>516</v>
      </c>
    </row>
    <row r="32" spans="2:31" ht="21" customHeight="1" thickBot="1">
      <c r="B32" s="200" t="s">
        <v>517</v>
      </c>
      <c r="C32" s="201"/>
      <c r="D32" s="202"/>
      <c r="E32" s="86">
        <f ca="1">SUM(E29:E31)</f>
        <v>0</v>
      </c>
      <c r="F32" s="191"/>
      <c r="L32" s="197" t="s">
        <v>518</v>
      </c>
      <c r="M32" s="136">
        <f t="shared" ca="1" si="14"/>
        <v>0</v>
      </c>
      <c r="N32" s="136">
        <f t="shared" ca="1" si="15"/>
        <v>0</v>
      </c>
      <c r="O32" s="198">
        <f t="shared" ca="1" si="16"/>
        <v>0</v>
      </c>
      <c r="V32" s="41" t="s">
        <v>519</v>
      </c>
      <c r="W32" s="50" t="s">
        <v>434</v>
      </c>
      <c r="X32" s="50" t="s">
        <v>520</v>
      </c>
      <c r="Y32" s="41">
        <f t="shared" ca="1" si="11"/>
        <v>0</v>
      </c>
      <c r="Z32" s="41"/>
      <c r="AA32" s="41" t="str">
        <f t="shared" ca="1" si="0"/>
        <v>27000</v>
      </c>
      <c r="AB32" s="41">
        <v>32</v>
      </c>
      <c r="AD32" s="42" t="s">
        <v>521</v>
      </c>
      <c r="AE32" s="41" t="s">
        <v>522</v>
      </c>
    </row>
    <row r="33" spans="2:31" ht="21" customHeight="1">
      <c r="L33" s="197" t="s">
        <v>523</v>
      </c>
      <c r="M33" s="136">
        <f t="shared" ca="1" si="14"/>
        <v>0</v>
      </c>
      <c r="N33" s="136">
        <f t="shared" ca="1" si="15"/>
        <v>0</v>
      </c>
      <c r="O33" s="198">
        <f t="shared" ca="1" si="16"/>
        <v>0</v>
      </c>
      <c r="V33" s="41" t="s">
        <v>524</v>
      </c>
      <c r="W33" s="50" t="s">
        <v>434</v>
      </c>
      <c r="X33" s="50" t="s">
        <v>525</v>
      </c>
      <c r="Y33" s="41">
        <f t="shared" ca="1" si="11"/>
        <v>0</v>
      </c>
      <c r="Z33" s="41"/>
      <c r="AA33" s="41" t="str">
        <f t="shared" ca="1" si="0"/>
        <v>28000</v>
      </c>
      <c r="AB33" s="41">
        <v>33</v>
      </c>
      <c r="AD33" s="42" t="s">
        <v>526</v>
      </c>
      <c r="AE33" s="41" t="s">
        <v>527</v>
      </c>
    </row>
    <row r="34" spans="2:31" ht="21" customHeight="1">
      <c r="L34" s="197" t="s">
        <v>528</v>
      </c>
      <c r="M34" s="136">
        <f t="shared" ca="1" si="14"/>
        <v>0</v>
      </c>
      <c r="N34" s="136">
        <f t="shared" ca="1" si="15"/>
        <v>0</v>
      </c>
      <c r="O34" s="198">
        <f t="shared" ca="1" si="16"/>
        <v>0</v>
      </c>
      <c r="V34" s="41" t="s">
        <v>529</v>
      </c>
      <c r="W34" s="50" t="s">
        <v>434</v>
      </c>
      <c r="X34" s="50" t="s">
        <v>530</v>
      </c>
      <c r="Y34" s="41">
        <f t="shared" ca="1" si="11"/>
        <v>0</v>
      </c>
      <c r="Z34" s="41"/>
      <c r="AA34" s="41" t="str">
        <f t="shared" ca="1" si="0"/>
        <v>29000</v>
      </c>
      <c r="AB34" s="41">
        <v>34</v>
      </c>
      <c r="AD34" s="42" t="s">
        <v>531</v>
      </c>
      <c r="AE34" s="41" t="s">
        <v>532</v>
      </c>
    </row>
    <row r="35" spans="2:31" ht="21" customHeight="1">
      <c r="L35" s="197" t="s">
        <v>533</v>
      </c>
      <c r="M35" s="136">
        <f t="shared" ca="1" si="14"/>
        <v>0</v>
      </c>
      <c r="N35" s="136">
        <f t="shared" ca="1" si="15"/>
        <v>0</v>
      </c>
      <c r="O35" s="198">
        <f t="shared" ca="1" si="16"/>
        <v>0</v>
      </c>
      <c r="V35" s="41" t="s">
        <v>534</v>
      </c>
      <c r="W35" s="50" t="s">
        <v>434</v>
      </c>
      <c r="X35" s="50" t="s">
        <v>535</v>
      </c>
      <c r="Y35" s="41">
        <f t="shared" ca="1" si="11"/>
        <v>0</v>
      </c>
      <c r="Z35" s="41"/>
      <c r="AA35" s="41" t="str">
        <f t="shared" ca="1" si="0"/>
        <v>30000</v>
      </c>
      <c r="AB35" s="41">
        <v>35</v>
      </c>
      <c r="AD35" s="42" t="s">
        <v>536</v>
      </c>
      <c r="AE35" s="41" t="s">
        <v>537</v>
      </c>
    </row>
    <row r="36" spans="2:31" ht="21" customHeight="1">
      <c r="B36" s="203" t="str">
        <f ca="1">"収集ごみ（混合ごみ＋可燃ごみ＋不燃ごみ＋資源ごみ＋粗大ごみ＋その他）＝"&amp;TEXT(E18+F18,"#,##0")&amp;"t/年"</f>
        <v>収集ごみ（混合ごみ＋可燃ごみ＋不燃ごみ＋資源ごみ＋粗大ごみ＋その他）＝0t/年</v>
      </c>
      <c r="C36" s="46"/>
      <c r="L36" s="197" t="s">
        <v>538</v>
      </c>
      <c r="M36" s="136">
        <f t="shared" ca="1" si="14"/>
        <v>0</v>
      </c>
      <c r="N36" s="136">
        <f t="shared" ca="1" si="15"/>
        <v>0</v>
      </c>
      <c r="O36" s="198">
        <f t="shared" ca="1" si="16"/>
        <v>0</v>
      </c>
      <c r="V36" s="41" t="s">
        <v>539</v>
      </c>
      <c r="W36" s="50" t="s">
        <v>434</v>
      </c>
      <c r="X36" s="50" t="s">
        <v>540</v>
      </c>
      <c r="Y36" s="41">
        <f t="shared" ca="1" si="11"/>
        <v>0</v>
      </c>
      <c r="Z36" s="41"/>
      <c r="AA36" s="41" t="str">
        <f t="shared" ca="1" si="0"/>
        <v>31000</v>
      </c>
      <c r="AB36" s="41">
        <v>36</v>
      </c>
      <c r="AD36" s="42" t="s">
        <v>541</v>
      </c>
      <c r="AE36" s="41" t="s">
        <v>542</v>
      </c>
    </row>
    <row r="37" spans="2:31" ht="21" customHeight="1">
      <c r="B37" s="204" t="str">
        <f ca="1">"計画収集量（収集ごみ＋直接搬入ごみ）＝"&amp;TEXT(E18+E25+F18+F25,"#,##0")&amp;"t/年"</f>
        <v>計画収集量（収集ごみ＋直接搬入ごみ）＝0t/年</v>
      </c>
      <c r="L37" s="197" t="s">
        <v>543</v>
      </c>
      <c r="M37" s="136">
        <f t="shared" ca="1" si="14"/>
        <v>0</v>
      </c>
      <c r="N37" s="136">
        <f t="shared" ca="1" si="15"/>
        <v>0</v>
      </c>
      <c r="O37" s="198">
        <f t="shared" ca="1" si="16"/>
        <v>0</v>
      </c>
      <c r="V37" s="41" t="s">
        <v>544</v>
      </c>
      <c r="W37" s="50" t="s">
        <v>434</v>
      </c>
      <c r="X37" s="50" t="s">
        <v>545</v>
      </c>
      <c r="Y37" s="41">
        <f t="shared" ca="1" si="11"/>
        <v>0</v>
      </c>
      <c r="Z37" s="41"/>
      <c r="AA37" s="41" t="str">
        <f t="shared" ca="1" si="0"/>
        <v>32000</v>
      </c>
      <c r="AB37" s="41">
        <v>37</v>
      </c>
      <c r="AD37" s="42" t="s">
        <v>546</v>
      </c>
      <c r="AE37" s="41" t="s">
        <v>547</v>
      </c>
    </row>
    <row r="38" spans="2:31" ht="21" customHeight="1">
      <c r="B38" s="205" t="str">
        <f ca="1">"ごみ総排出量（計画収集量＋集団回収量）＝"&amp;TEXT(E32,"#,###0")&amp;"t/年"</f>
        <v>ごみ総排出量（計画収集量＋集団回収量）＝0t/年</v>
      </c>
      <c r="L38" s="197" t="s">
        <v>548</v>
      </c>
      <c r="M38" s="136">
        <f t="shared" ca="1" si="14"/>
        <v>0</v>
      </c>
      <c r="N38" s="136">
        <f t="shared" ca="1" si="15"/>
        <v>0</v>
      </c>
      <c r="O38" s="198">
        <f t="shared" ca="1" si="16"/>
        <v>0</v>
      </c>
      <c r="V38" s="41" t="s">
        <v>549</v>
      </c>
      <c r="W38" s="50" t="s">
        <v>434</v>
      </c>
      <c r="X38" s="50" t="s">
        <v>550</v>
      </c>
      <c r="Y38" s="41">
        <f t="shared" ca="1" si="11"/>
        <v>0</v>
      </c>
      <c r="Z38" s="41"/>
      <c r="AA38" s="41" t="str">
        <f t="shared" ca="1" si="0"/>
        <v>33000</v>
      </c>
      <c r="AB38" s="41">
        <v>38</v>
      </c>
      <c r="AD38" s="42" t="s">
        <v>551</v>
      </c>
      <c r="AE38" s="41" t="s">
        <v>552</v>
      </c>
    </row>
    <row r="39" spans="2:31" ht="21" customHeight="1">
      <c r="B39" s="205" t="str">
        <f ca="1">"ごみ処理量（直接最終処分量＋直接焼却量＋焼却以外の中間処理量＋直接資源化量）＝"&amp;TEXT(L27,"#,##0")&amp;"t/年"</f>
        <v>ごみ処理量（直接最終処分量＋直接焼却量＋焼却以外の中間処理量＋直接資源化量）＝0t/年</v>
      </c>
      <c r="L39" s="197" t="s">
        <v>553</v>
      </c>
      <c r="M39" s="136">
        <f t="shared" ca="1" si="14"/>
        <v>0</v>
      </c>
      <c r="N39" s="136">
        <f t="shared" ca="1" si="15"/>
        <v>0</v>
      </c>
      <c r="O39" s="198">
        <f t="shared" ca="1" si="16"/>
        <v>0</v>
      </c>
      <c r="V39" s="41" t="s">
        <v>554</v>
      </c>
      <c r="W39" s="50" t="s">
        <v>434</v>
      </c>
      <c r="X39" s="50" t="s">
        <v>555</v>
      </c>
      <c r="Y39" s="41">
        <f t="shared" ca="1" si="11"/>
        <v>0</v>
      </c>
      <c r="Z39" s="41"/>
      <c r="AA39" s="41" t="str">
        <f t="shared" ca="1" si="0"/>
        <v>34000</v>
      </c>
      <c r="AB39" s="41">
        <v>39</v>
      </c>
      <c r="AD39" s="42" t="s">
        <v>556</v>
      </c>
      <c r="AE39" s="41" t="s">
        <v>557</v>
      </c>
    </row>
    <row r="40" spans="2:31" ht="21" customHeight="1">
      <c r="B40" s="204" t="e">
        <f ca="1">"１人１日あたりごみ排出量（ごみ総排出量/総人口）＝"&amp;TEXT(E32/E8/365*1000000,"#,##0")&amp;"g/人日"</f>
        <v>#DIV/0!</v>
      </c>
      <c r="L40" s="197" t="s">
        <v>558</v>
      </c>
      <c r="M40" s="99" t="s">
        <v>382</v>
      </c>
      <c r="N40" s="136">
        <f t="shared" ca="1" si="15"/>
        <v>0</v>
      </c>
      <c r="O40" s="206" t="s">
        <v>382</v>
      </c>
      <c r="V40" s="41" t="s">
        <v>559</v>
      </c>
      <c r="W40" s="50" t="s">
        <v>434</v>
      </c>
      <c r="X40" s="50" t="s">
        <v>560</v>
      </c>
      <c r="Y40" s="41">
        <f t="shared" ca="1" si="11"/>
        <v>0</v>
      </c>
      <c r="Z40" s="41"/>
      <c r="AA40" s="41" t="str">
        <f t="shared" ca="1" si="0"/>
        <v>35000</v>
      </c>
      <c r="AB40" s="41">
        <v>40</v>
      </c>
      <c r="AD40" s="42" t="s">
        <v>561</v>
      </c>
      <c r="AE40" s="41" t="s">
        <v>562</v>
      </c>
    </row>
    <row r="41" spans="2:31" ht="21" customHeight="1">
      <c r="B41" s="204" t="e">
        <f ca="1">"リサイクル率（[資源化量合計＋集団回収量]/[ごみ処理量＋集団回収量]）＝"&amp;TEXT((O27+O50)/(L27+O50)*100,"##.##")&amp;"％"</f>
        <v>#DIV/0!</v>
      </c>
      <c r="L41" s="197" t="s">
        <v>563</v>
      </c>
      <c r="M41" s="99" t="s">
        <v>391</v>
      </c>
      <c r="N41" s="136">
        <f t="shared" ca="1" si="15"/>
        <v>0</v>
      </c>
      <c r="O41" s="206" t="s">
        <v>382</v>
      </c>
      <c r="W41" s="50"/>
      <c r="X41" s="50"/>
      <c r="Z41" s="41"/>
      <c r="AA41" s="41" t="str">
        <f t="shared" ca="1" si="0"/>
        <v>36000</v>
      </c>
      <c r="AB41" s="41">
        <v>41</v>
      </c>
      <c r="AD41" s="42" t="s">
        <v>564</v>
      </c>
      <c r="AE41" s="41" t="s">
        <v>565</v>
      </c>
    </row>
    <row r="42" spans="2:31" ht="21" customHeight="1">
      <c r="B42" s="204" t="str">
        <f ca="1">"中間処理による減量化量（施設処理量-施設処理後資源化量-施設処理後残渣処分量）＝"&amp;TEXT(L24-N24-O24,"#,##0")&amp;"t/年"</f>
        <v>中間処理による減量化量（施設処理量-施設処理後資源化量-施設処理後残渣処分量）＝0t/年</v>
      </c>
      <c r="L42" s="197" t="s">
        <v>566</v>
      </c>
      <c r="M42" s="99" t="s">
        <v>391</v>
      </c>
      <c r="N42" s="136">
        <f t="shared" ca="1" si="15"/>
        <v>0</v>
      </c>
      <c r="O42" s="206" t="s">
        <v>391</v>
      </c>
      <c r="V42" s="41" t="s">
        <v>567</v>
      </c>
      <c r="W42" s="50" t="s">
        <v>568</v>
      </c>
      <c r="X42" s="41" t="s">
        <v>569</v>
      </c>
      <c r="Y42" s="41">
        <f t="shared" ref="Y42:Y73" ca="1" si="17">IF(Y$2=0,INDIRECT(W42&amp;"!"&amp;X42&amp;$AB$2),0)</f>
        <v>0</v>
      </c>
      <c r="Z42" s="41"/>
      <c r="AA42" s="41" t="str">
        <f t="shared" ca="1" si="0"/>
        <v>37000</v>
      </c>
      <c r="AB42" s="41">
        <v>42</v>
      </c>
      <c r="AD42" s="42" t="s">
        <v>570</v>
      </c>
      <c r="AE42" s="41" t="s">
        <v>571</v>
      </c>
    </row>
    <row r="43" spans="2:31" ht="21" customHeight="1">
      <c r="L43" s="197" t="s">
        <v>572</v>
      </c>
      <c r="M43" s="99" t="s">
        <v>391</v>
      </c>
      <c r="N43" s="136">
        <f t="shared" ca="1" si="15"/>
        <v>0</v>
      </c>
      <c r="O43" s="206" t="s">
        <v>391</v>
      </c>
      <c r="U43" s="40" t="s">
        <v>573</v>
      </c>
      <c r="V43" s="41" t="s">
        <v>390</v>
      </c>
      <c r="W43" s="50" t="s">
        <v>568</v>
      </c>
      <c r="X43" s="41" t="s">
        <v>574</v>
      </c>
      <c r="Y43" s="41">
        <f t="shared" ca="1" si="17"/>
        <v>0</v>
      </c>
      <c r="Z43" s="41"/>
      <c r="AA43" s="41" t="str">
        <f t="shared" ca="1" si="0"/>
        <v>38000</v>
      </c>
      <c r="AB43" s="41">
        <v>43</v>
      </c>
      <c r="AD43" s="42" t="s">
        <v>575</v>
      </c>
      <c r="AE43" s="41" t="s">
        <v>576</v>
      </c>
    </row>
    <row r="44" spans="2:31" ht="21" customHeight="1">
      <c r="L44" s="197" t="s">
        <v>577</v>
      </c>
      <c r="M44" s="99" t="s">
        <v>391</v>
      </c>
      <c r="N44" s="136">
        <f t="shared" ca="1" si="15"/>
        <v>0</v>
      </c>
      <c r="O44" s="206" t="s">
        <v>391</v>
      </c>
      <c r="U44" s="40" t="s">
        <v>573</v>
      </c>
      <c r="V44" s="41" t="s">
        <v>578</v>
      </c>
      <c r="W44" s="50" t="s">
        <v>568</v>
      </c>
      <c r="X44" s="41" t="s">
        <v>579</v>
      </c>
      <c r="Y44" s="41">
        <f t="shared" ca="1" si="17"/>
        <v>0</v>
      </c>
      <c r="Z44" s="41"/>
      <c r="AA44" s="41" t="str">
        <f t="shared" ca="1" si="0"/>
        <v>39000</v>
      </c>
      <c r="AB44" s="41">
        <v>44</v>
      </c>
      <c r="AD44" s="42" t="s">
        <v>580</v>
      </c>
      <c r="AE44" s="41" t="s">
        <v>581</v>
      </c>
    </row>
    <row r="45" spans="2:31" ht="21" customHeight="1">
      <c r="K45" s="207"/>
      <c r="L45" s="197" t="s">
        <v>582</v>
      </c>
      <c r="M45" s="99" t="s">
        <v>391</v>
      </c>
      <c r="N45" s="136">
        <f t="shared" ca="1" si="15"/>
        <v>0</v>
      </c>
      <c r="O45" s="206" t="s">
        <v>391</v>
      </c>
      <c r="U45" s="40" t="s">
        <v>573</v>
      </c>
      <c r="V45" s="41" t="s">
        <v>583</v>
      </c>
      <c r="W45" s="50" t="s">
        <v>568</v>
      </c>
      <c r="X45" s="41" t="s">
        <v>584</v>
      </c>
      <c r="Y45" s="41">
        <f t="shared" ca="1" si="17"/>
        <v>0</v>
      </c>
      <c r="Z45" s="41"/>
      <c r="AA45" s="41" t="str">
        <f t="shared" ca="1" si="0"/>
        <v>40000</v>
      </c>
      <c r="AB45" s="41">
        <v>45</v>
      </c>
      <c r="AD45" s="42" t="s">
        <v>585</v>
      </c>
      <c r="AE45" s="41" t="s">
        <v>586</v>
      </c>
    </row>
    <row r="46" spans="2:31" ht="21" customHeight="1">
      <c r="K46" s="207"/>
      <c r="L46" s="197" t="s">
        <v>587</v>
      </c>
      <c r="M46" s="99" t="s">
        <v>391</v>
      </c>
      <c r="N46" s="136">
        <f t="shared" ca="1" si="15"/>
        <v>0</v>
      </c>
      <c r="O46" s="206" t="s">
        <v>391</v>
      </c>
      <c r="U46" s="40" t="s">
        <v>573</v>
      </c>
      <c r="V46" s="41" t="s">
        <v>410</v>
      </c>
      <c r="W46" s="50" t="s">
        <v>568</v>
      </c>
      <c r="X46" s="41" t="s">
        <v>588</v>
      </c>
      <c r="Y46" s="41">
        <f t="shared" ca="1" si="17"/>
        <v>0</v>
      </c>
      <c r="Z46" s="41"/>
      <c r="AA46" s="41" t="str">
        <f t="shared" ca="1" si="0"/>
        <v>41000</v>
      </c>
      <c r="AB46" s="41">
        <v>46</v>
      </c>
      <c r="AD46" s="42" t="s">
        <v>589</v>
      </c>
      <c r="AE46" s="41" t="s">
        <v>590</v>
      </c>
    </row>
    <row r="47" spans="2:31" ht="21" customHeight="1">
      <c r="K47" s="207"/>
      <c r="L47" s="197" t="s">
        <v>591</v>
      </c>
      <c r="M47" s="99" t="s">
        <v>391</v>
      </c>
      <c r="N47" s="136">
        <f t="shared" ca="1" si="15"/>
        <v>0</v>
      </c>
      <c r="O47" s="206" t="s">
        <v>391</v>
      </c>
      <c r="U47" s="40" t="s">
        <v>573</v>
      </c>
      <c r="V47" s="41" t="s">
        <v>418</v>
      </c>
      <c r="W47" s="50" t="s">
        <v>568</v>
      </c>
      <c r="X47" s="41" t="s">
        <v>592</v>
      </c>
      <c r="Y47" s="41">
        <f t="shared" ca="1" si="17"/>
        <v>0</v>
      </c>
      <c r="Z47" s="41"/>
      <c r="AA47" s="41" t="str">
        <f t="shared" ca="1" si="0"/>
        <v>42000</v>
      </c>
      <c r="AB47" s="41">
        <v>47</v>
      </c>
      <c r="AD47" s="42" t="s">
        <v>593</v>
      </c>
      <c r="AE47" s="41" t="s">
        <v>594</v>
      </c>
    </row>
    <row r="48" spans="2:31" ht="21" customHeight="1">
      <c r="K48" s="207"/>
      <c r="L48" s="208" t="s">
        <v>595</v>
      </c>
      <c r="M48" s="136">
        <f ca="1">Y91</f>
        <v>0</v>
      </c>
      <c r="N48" s="136">
        <f t="shared" ca="1" si="15"/>
        <v>0</v>
      </c>
      <c r="O48" s="198">
        <f ca="1">Y130</f>
        <v>0</v>
      </c>
      <c r="U48" s="40" t="s">
        <v>573</v>
      </c>
      <c r="V48" s="41" t="s">
        <v>423</v>
      </c>
      <c r="W48" s="50" t="s">
        <v>568</v>
      </c>
      <c r="X48" s="41" t="s">
        <v>596</v>
      </c>
      <c r="Y48" s="41">
        <f t="shared" ca="1" si="17"/>
        <v>0</v>
      </c>
      <c r="Z48" s="41"/>
      <c r="AA48" s="41" t="str">
        <f t="shared" ca="1" si="0"/>
        <v>43000</v>
      </c>
      <c r="AB48" s="41">
        <v>48</v>
      </c>
      <c r="AD48" s="42" t="s">
        <v>597</v>
      </c>
      <c r="AE48" s="41" t="s">
        <v>598</v>
      </c>
    </row>
    <row r="49" spans="12:31" ht="21" customHeight="1" thickBot="1">
      <c r="L49" s="209" t="s">
        <v>424</v>
      </c>
      <c r="M49" s="148">
        <f ca="1">Y92</f>
        <v>0</v>
      </c>
      <c r="N49" s="136">
        <f t="shared" ca="1" si="15"/>
        <v>0</v>
      </c>
      <c r="O49" s="210">
        <f ca="1">Y131</f>
        <v>0</v>
      </c>
      <c r="U49" s="40" t="s">
        <v>389</v>
      </c>
      <c r="V49" s="41" t="s">
        <v>468</v>
      </c>
      <c r="W49" s="50" t="s">
        <v>599</v>
      </c>
      <c r="X49" s="41" t="s">
        <v>600</v>
      </c>
      <c r="Y49" s="41">
        <f t="shared" ca="1" si="17"/>
        <v>0</v>
      </c>
      <c r="Z49" s="41"/>
      <c r="AA49" s="41" t="str">
        <f t="shared" ca="1" si="0"/>
        <v>44000</v>
      </c>
      <c r="AB49" s="41">
        <v>49</v>
      </c>
      <c r="AD49" s="42" t="s">
        <v>601</v>
      </c>
      <c r="AE49" s="41" t="s">
        <v>602</v>
      </c>
    </row>
    <row r="50" spans="12:31" ht="21" customHeight="1" thickBot="1">
      <c r="L50" s="211" t="s">
        <v>32</v>
      </c>
      <c r="M50" s="158">
        <f ca="1">SUM(M30:M49)</f>
        <v>0</v>
      </c>
      <c r="N50" s="158">
        <f ca="1">SUM(N30:N49)</f>
        <v>0</v>
      </c>
      <c r="O50" s="159">
        <f ca="1">SUM(O30:O49)</f>
        <v>0</v>
      </c>
      <c r="U50" s="40" t="s">
        <v>603</v>
      </c>
      <c r="V50" s="41" t="s">
        <v>439</v>
      </c>
      <c r="W50" s="50" t="s">
        <v>599</v>
      </c>
      <c r="X50" s="41" t="s">
        <v>604</v>
      </c>
      <c r="Y50" s="41">
        <f t="shared" ca="1" si="17"/>
        <v>0</v>
      </c>
      <c r="Z50" s="41"/>
      <c r="AA50" s="41" t="str">
        <f t="shared" ca="1" si="0"/>
        <v>45000</v>
      </c>
      <c r="AB50" s="41">
        <v>50</v>
      </c>
      <c r="AD50" s="42" t="s">
        <v>605</v>
      </c>
      <c r="AE50" s="41" t="s">
        <v>606</v>
      </c>
    </row>
    <row r="51" spans="12:31" ht="21" customHeight="1">
      <c r="L51" s="212"/>
      <c r="M51" s="213"/>
      <c r="U51" s="40" t="s">
        <v>603</v>
      </c>
      <c r="V51" s="41" t="s">
        <v>397</v>
      </c>
      <c r="W51" s="50" t="s">
        <v>599</v>
      </c>
      <c r="X51" s="41" t="s">
        <v>607</v>
      </c>
      <c r="Y51" s="41">
        <f t="shared" ca="1" si="17"/>
        <v>0</v>
      </c>
      <c r="Z51" s="41"/>
      <c r="AA51" s="41" t="str">
        <f t="shared" ca="1" si="0"/>
        <v>46000</v>
      </c>
      <c r="AB51" s="41">
        <v>51</v>
      </c>
      <c r="AD51" s="42" t="s">
        <v>608</v>
      </c>
      <c r="AE51" s="41" t="s">
        <v>609</v>
      </c>
    </row>
    <row r="52" spans="12:31" ht="21" customHeight="1">
      <c r="U52" s="40" t="s">
        <v>603</v>
      </c>
      <c r="V52" s="41" t="s">
        <v>583</v>
      </c>
      <c r="W52" s="50" t="s">
        <v>599</v>
      </c>
      <c r="X52" s="41" t="s">
        <v>610</v>
      </c>
      <c r="Y52" s="41">
        <f t="shared" ca="1" si="17"/>
        <v>0</v>
      </c>
      <c r="Z52" s="41"/>
      <c r="AA52" s="41" t="str">
        <f t="shared" ca="1" si="0"/>
        <v>47000</v>
      </c>
      <c r="AB52" s="41">
        <v>52</v>
      </c>
      <c r="AD52" s="42" t="s">
        <v>611</v>
      </c>
      <c r="AE52" s="41" t="s">
        <v>612</v>
      </c>
    </row>
    <row r="53" spans="12:31" ht="21" customHeight="1">
      <c r="U53" s="40" t="s">
        <v>603</v>
      </c>
      <c r="V53" s="41" t="s">
        <v>452</v>
      </c>
      <c r="W53" s="50" t="s">
        <v>568</v>
      </c>
      <c r="X53" s="41" t="s">
        <v>441</v>
      </c>
      <c r="Y53" s="41">
        <f t="shared" ca="1" si="17"/>
        <v>0</v>
      </c>
      <c r="Z53" s="41"/>
      <c r="AA53" s="41" t="str">
        <f t="shared" ca="1" si="0"/>
        <v>48000</v>
      </c>
      <c r="AB53" s="41">
        <v>53</v>
      </c>
      <c r="AD53" s="42" t="s">
        <v>613</v>
      </c>
      <c r="AE53" s="41" t="s">
        <v>614</v>
      </c>
    </row>
    <row r="54" spans="12:31" ht="21" customHeight="1">
      <c r="U54" s="40" t="s">
        <v>603</v>
      </c>
      <c r="V54" s="41" t="s">
        <v>418</v>
      </c>
      <c r="W54" s="50" t="s">
        <v>599</v>
      </c>
      <c r="X54" s="41" t="s">
        <v>615</v>
      </c>
      <c r="Y54" s="41">
        <f t="shared" ca="1" si="17"/>
        <v>0</v>
      </c>
      <c r="Z54" s="41"/>
      <c r="AA54" s="41">
        <f t="shared" ca="1" si="0"/>
        <v>0</v>
      </c>
      <c r="AB54" s="41">
        <v>54</v>
      </c>
    </row>
    <row r="55" spans="12:31" ht="21" customHeight="1">
      <c r="U55" s="40" t="s">
        <v>616</v>
      </c>
      <c r="V55" s="41" t="s">
        <v>423</v>
      </c>
      <c r="W55" s="50" t="s">
        <v>599</v>
      </c>
      <c r="X55" s="41" t="s">
        <v>617</v>
      </c>
      <c r="Y55" s="41">
        <f t="shared" ca="1" si="17"/>
        <v>0</v>
      </c>
      <c r="Z55" s="41"/>
      <c r="AA55" s="41">
        <f t="shared" ca="1" si="0"/>
        <v>0</v>
      </c>
      <c r="AB55" s="41">
        <v>55</v>
      </c>
    </row>
    <row r="56" spans="12:31" ht="21" customHeight="1">
      <c r="U56" s="40" t="s">
        <v>603</v>
      </c>
      <c r="V56" s="41" t="s">
        <v>428</v>
      </c>
      <c r="W56" s="50" t="s">
        <v>568</v>
      </c>
      <c r="X56" s="41" t="s">
        <v>618</v>
      </c>
      <c r="Y56" s="41">
        <f t="shared" ca="1" si="17"/>
        <v>0</v>
      </c>
      <c r="Z56" s="41"/>
      <c r="AA56" s="41">
        <f t="shared" ca="1" si="0"/>
        <v>0</v>
      </c>
      <c r="AB56" s="41">
        <v>56</v>
      </c>
    </row>
    <row r="57" spans="12:31" ht="21" customHeight="1">
      <c r="V57" s="41" t="s">
        <v>619</v>
      </c>
      <c r="W57" s="50" t="s">
        <v>568</v>
      </c>
      <c r="X57" s="41" t="s">
        <v>620</v>
      </c>
      <c r="Y57" s="41">
        <f t="shared" ca="1" si="17"/>
        <v>0</v>
      </c>
      <c r="Z57" s="41"/>
      <c r="AA57" s="41">
        <f t="shared" ca="1" si="0"/>
        <v>0</v>
      </c>
      <c r="AB57" s="41">
        <v>57</v>
      </c>
    </row>
    <row r="58" spans="12:31" ht="21" customHeight="1">
      <c r="V58" s="41" t="s">
        <v>487</v>
      </c>
      <c r="W58" s="50" t="s">
        <v>568</v>
      </c>
      <c r="X58" s="41" t="s">
        <v>621</v>
      </c>
      <c r="Y58" s="41">
        <f t="shared" ca="1" si="17"/>
        <v>0</v>
      </c>
      <c r="Z58" s="41"/>
      <c r="AA58" s="41">
        <f t="shared" ca="1" si="0"/>
        <v>0</v>
      </c>
      <c r="AB58" s="41">
        <v>58</v>
      </c>
    </row>
    <row r="59" spans="12:31" ht="21" customHeight="1">
      <c r="U59" s="40" t="s">
        <v>622</v>
      </c>
      <c r="V59" s="41" t="s">
        <v>623</v>
      </c>
      <c r="W59" s="50" t="s">
        <v>599</v>
      </c>
      <c r="X59" s="41" t="s">
        <v>624</v>
      </c>
      <c r="Y59" s="41">
        <f t="shared" ca="1" si="17"/>
        <v>0</v>
      </c>
      <c r="Z59" s="41"/>
      <c r="AA59" s="41">
        <f t="shared" ca="1" si="0"/>
        <v>0</v>
      </c>
      <c r="AB59" s="41">
        <v>59</v>
      </c>
    </row>
    <row r="60" spans="12:31" ht="21" customHeight="1">
      <c r="U60" s="40" t="s">
        <v>622</v>
      </c>
      <c r="V60" s="41" t="s">
        <v>439</v>
      </c>
      <c r="W60" s="50" t="s">
        <v>599</v>
      </c>
      <c r="X60" s="41" t="s">
        <v>625</v>
      </c>
      <c r="Y60" s="41">
        <f t="shared" ca="1" si="17"/>
        <v>0</v>
      </c>
      <c r="Z60" s="41"/>
      <c r="AA60" s="41">
        <f t="shared" ca="1" si="0"/>
        <v>0</v>
      </c>
      <c r="AB60" s="41">
        <v>60</v>
      </c>
    </row>
    <row r="61" spans="12:31" ht="21" customHeight="1">
      <c r="U61" s="40" t="s">
        <v>626</v>
      </c>
      <c r="V61" s="41" t="s">
        <v>578</v>
      </c>
      <c r="W61" s="50" t="s">
        <v>599</v>
      </c>
      <c r="X61" s="41" t="s">
        <v>627</v>
      </c>
      <c r="Y61" s="41">
        <f t="shared" ca="1" si="17"/>
        <v>0</v>
      </c>
      <c r="Z61" s="41"/>
      <c r="AA61" s="41">
        <f t="shared" ca="1" si="0"/>
        <v>0</v>
      </c>
      <c r="AB61" s="41">
        <v>61</v>
      </c>
    </row>
    <row r="62" spans="12:31" ht="21" customHeight="1">
      <c r="U62" s="40" t="s">
        <v>622</v>
      </c>
      <c r="V62" s="41" t="s">
        <v>583</v>
      </c>
      <c r="W62" s="50" t="s">
        <v>568</v>
      </c>
      <c r="X62" s="41" t="s">
        <v>628</v>
      </c>
      <c r="Y62" s="41">
        <f t="shared" ca="1" si="17"/>
        <v>0</v>
      </c>
      <c r="Z62" s="41"/>
      <c r="AA62" s="41">
        <f t="shared" ca="1" si="0"/>
        <v>0</v>
      </c>
      <c r="AB62" s="41">
        <v>62</v>
      </c>
    </row>
    <row r="63" spans="12:31" ht="21" customHeight="1">
      <c r="U63" s="40" t="s">
        <v>626</v>
      </c>
      <c r="V63" s="41" t="s">
        <v>452</v>
      </c>
      <c r="W63" s="50" t="s">
        <v>599</v>
      </c>
      <c r="X63" s="41" t="s">
        <v>629</v>
      </c>
      <c r="Y63" s="41">
        <f t="shared" ca="1" si="17"/>
        <v>0</v>
      </c>
      <c r="Z63" s="41"/>
      <c r="AA63" s="41">
        <f t="shared" ca="1" si="0"/>
        <v>0</v>
      </c>
      <c r="AB63" s="41">
        <v>63</v>
      </c>
    </row>
    <row r="64" spans="12:31" ht="21" customHeight="1">
      <c r="U64" s="40" t="s">
        <v>626</v>
      </c>
      <c r="V64" s="41" t="s">
        <v>418</v>
      </c>
      <c r="W64" s="50" t="s">
        <v>568</v>
      </c>
      <c r="X64" s="41" t="s">
        <v>630</v>
      </c>
      <c r="Y64" s="41">
        <f t="shared" ca="1" si="17"/>
        <v>0</v>
      </c>
      <c r="Z64" s="41"/>
      <c r="AA64" s="41">
        <f t="shared" ca="1" si="0"/>
        <v>0</v>
      </c>
      <c r="AB64" s="41">
        <v>64</v>
      </c>
    </row>
    <row r="65" spans="21:31" ht="21" customHeight="1">
      <c r="U65" s="40" t="s">
        <v>622</v>
      </c>
      <c r="V65" s="41" t="s">
        <v>462</v>
      </c>
      <c r="W65" s="50" t="s">
        <v>568</v>
      </c>
      <c r="X65" s="41" t="s">
        <v>631</v>
      </c>
      <c r="Y65" s="41">
        <f t="shared" ca="1" si="17"/>
        <v>0</v>
      </c>
      <c r="Z65" s="41"/>
      <c r="AA65" s="41">
        <f t="shared" ca="1" si="0"/>
        <v>0</v>
      </c>
      <c r="AB65" s="41">
        <v>65</v>
      </c>
      <c r="AC65" s="40"/>
      <c r="AE65" s="40"/>
    </row>
    <row r="66" spans="21:31" ht="21" customHeight="1">
      <c r="U66" s="40" t="s">
        <v>622</v>
      </c>
      <c r="V66" s="41" t="s">
        <v>428</v>
      </c>
      <c r="W66" s="50" t="s">
        <v>599</v>
      </c>
      <c r="X66" s="41" t="s">
        <v>632</v>
      </c>
      <c r="Y66" s="41">
        <f t="shared" ca="1" si="17"/>
        <v>0</v>
      </c>
      <c r="Z66" s="41"/>
      <c r="AA66" s="41">
        <f t="shared" ca="1" si="0"/>
        <v>0</v>
      </c>
      <c r="AB66" s="41">
        <v>66</v>
      </c>
      <c r="AC66" s="40"/>
      <c r="AE66" s="40"/>
    </row>
    <row r="67" spans="21:31" ht="21" customHeight="1">
      <c r="U67" s="40" t="s">
        <v>633</v>
      </c>
      <c r="V67" s="41" t="s">
        <v>634</v>
      </c>
      <c r="W67" s="50" t="s">
        <v>635</v>
      </c>
      <c r="X67" s="214" t="s">
        <v>600</v>
      </c>
      <c r="Y67" s="41">
        <f t="shared" ca="1" si="17"/>
        <v>0</v>
      </c>
      <c r="Z67" s="41"/>
      <c r="AA67" s="41">
        <f t="shared" ca="1" si="0"/>
        <v>0</v>
      </c>
      <c r="AB67" s="41">
        <v>67</v>
      </c>
      <c r="AC67" s="40"/>
      <c r="AE67" s="40"/>
    </row>
    <row r="68" spans="21:31" ht="21" customHeight="1">
      <c r="U68" s="40" t="s">
        <v>633</v>
      </c>
      <c r="V68" s="41" t="s">
        <v>390</v>
      </c>
      <c r="W68" s="50" t="s">
        <v>636</v>
      </c>
      <c r="X68" s="214" t="s">
        <v>637</v>
      </c>
      <c r="Y68" s="41">
        <f t="shared" ca="1" si="17"/>
        <v>0</v>
      </c>
      <c r="Z68" s="41"/>
      <c r="AA68" s="41">
        <f t="shared" ca="1" si="0"/>
        <v>0</v>
      </c>
      <c r="AB68" s="41">
        <v>68</v>
      </c>
      <c r="AC68" s="40"/>
      <c r="AE68" s="40"/>
    </row>
    <row r="69" spans="21:31" ht="21" customHeight="1">
      <c r="U69" s="40" t="s">
        <v>633</v>
      </c>
      <c r="V69" s="41" t="s">
        <v>578</v>
      </c>
      <c r="W69" s="50" t="s">
        <v>636</v>
      </c>
      <c r="X69" s="214" t="s">
        <v>638</v>
      </c>
      <c r="Y69" s="41">
        <f t="shared" ca="1" si="17"/>
        <v>0</v>
      </c>
      <c r="Z69" s="41"/>
      <c r="AA69" s="41">
        <f t="shared" ref="AA69:AA132" ca="1" si="18">INDIRECT($W$6&amp;"!"&amp;"B"&amp;ROW(B69))</f>
        <v>0</v>
      </c>
      <c r="AB69" s="41">
        <v>69</v>
      </c>
      <c r="AC69" s="40"/>
      <c r="AE69" s="40"/>
    </row>
    <row r="70" spans="21:31" ht="21" customHeight="1">
      <c r="U70" s="40" t="s">
        <v>633</v>
      </c>
      <c r="V70" s="41" t="s">
        <v>583</v>
      </c>
      <c r="W70" s="50" t="s">
        <v>635</v>
      </c>
      <c r="X70" s="214" t="s">
        <v>489</v>
      </c>
      <c r="Y70" s="41">
        <f t="shared" ca="1" si="17"/>
        <v>0</v>
      </c>
      <c r="Z70" s="41"/>
      <c r="AA70" s="41">
        <f t="shared" ca="1" si="18"/>
        <v>0</v>
      </c>
      <c r="AB70" s="41">
        <v>70</v>
      </c>
      <c r="AC70" s="40"/>
      <c r="AE70" s="40"/>
    </row>
    <row r="71" spans="21:31" ht="21" customHeight="1">
      <c r="U71" s="40" t="s">
        <v>633</v>
      </c>
      <c r="V71" s="41" t="s">
        <v>410</v>
      </c>
      <c r="W71" s="50" t="s">
        <v>636</v>
      </c>
      <c r="X71" s="214" t="s">
        <v>550</v>
      </c>
      <c r="Y71" s="41">
        <f t="shared" ca="1" si="17"/>
        <v>0</v>
      </c>
      <c r="Z71" s="41"/>
      <c r="AA71" s="41">
        <f t="shared" ca="1" si="18"/>
        <v>0</v>
      </c>
      <c r="AB71" s="41">
        <v>71</v>
      </c>
      <c r="AC71" s="40"/>
      <c r="AE71" s="40"/>
    </row>
    <row r="72" spans="21:31" ht="21" customHeight="1">
      <c r="U72" s="40" t="s">
        <v>639</v>
      </c>
      <c r="V72" s="41" t="s">
        <v>457</v>
      </c>
      <c r="W72" s="50" t="s">
        <v>636</v>
      </c>
      <c r="X72" s="214" t="s">
        <v>640</v>
      </c>
      <c r="Y72" s="41">
        <f t="shared" ca="1" si="17"/>
        <v>0</v>
      </c>
      <c r="Z72" s="41"/>
      <c r="AA72" s="41">
        <f t="shared" ca="1" si="18"/>
        <v>0</v>
      </c>
      <c r="AB72" s="41">
        <v>72</v>
      </c>
      <c r="AC72" s="40"/>
      <c r="AE72" s="40"/>
    </row>
    <row r="73" spans="21:31" ht="21" customHeight="1">
      <c r="U73" s="40" t="s">
        <v>633</v>
      </c>
      <c r="V73" s="41" t="s">
        <v>423</v>
      </c>
      <c r="W73" s="50" t="s">
        <v>636</v>
      </c>
      <c r="X73" s="214" t="s">
        <v>641</v>
      </c>
      <c r="Y73" s="41">
        <f t="shared" ca="1" si="17"/>
        <v>0</v>
      </c>
      <c r="Z73" s="41"/>
      <c r="AA73" s="41">
        <f t="shared" ca="1" si="18"/>
        <v>0</v>
      </c>
      <c r="AB73" s="41">
        <v>73</v>
      </c>
      <c r="AC73" s="40"/>
      <c r="AE73" s="40"/>
    </row>
    <row r="74" spans="21:31" ht="21" customHeight="1">
      <c r="U74" s="40" t="s">
        <v>642</v>
      </c>
      <c r="V74" s="41" t="s">
        <v>643</v>
      </c>
      <c r="W74" s="50" t="s">
        <v>644</v>
      </c>
      <c r="X74" s="214" t="s">
        <v>429</v>
      </c>
      <c r="Y74" s="41">
        <f t="shared" ref="Y74:Y83" ca="1" si="19">IF(Y$2=0,INDIRECT(W74&amp;"!"&amp;X74&amp;$AB$2-1),0)</f>
        <v>0</v>
      </c>
      <c r="Z74" s="41"/>
      <c r="AA74" s="41">
        <f t="shared" ca="1" si="18"/>
        <v>0</v>
      </c>
      <c r="AB74" s="41">
        <v>74</v>
      </c>
      <c r="AC74" s="40"/>
      <c r="AE74" s="40"/>
    </row>
    <row r="75" spans="21:31" ht="21" customHeight="1">
      <c r="U75" s="40" t="s">
        <v>645</v>
      </c>
      <c r="V75" s="41" t="s">
        <v>646</v>
      </c>
      <c r="W75" s="50" t="s">
        <v>644</v>
      </c>
      <c r="X75" s="214" t="s">
        <v>647</v>
      </c>
      <c r="Y75" s="41">
        <f t="shared" ca="1" si="19"/>
        <v>0</v>
      </c>
      <c r="Z75" s="41"/>
      <c r="AA75" s="41">
        <f t="shared" ca="1" si="18"/>
        <v>0</v>
      </c>
      <c r="AB75" s="41">
        <v>75</v>
      </c>
      <c r="AC75" s="40"/>
      <c r="AE75" s="40"/>
    </row>
    <row r="76" spans="21:31" ht="21" customHeight="1">
      <c r="U76" s="40" t="s">
        <v>645</v>
      </c>
      <c r="V76" s="41" t="s">
        <v>518</v>
      </c>
      <c r="W76" s="50" t="s">
        <v>644</v>
      </c>
      <c r="X76" s="214" t="s">
        <v>648</v>
      </c>
      <c r="Y76" s="41">
        <f t="shared" ca="1" si="19"/>
        <v>0</v>
      </c>
      <c r="Z76" s="41"/>
      <c r="AA76" s="41">
        <f t="shared" ca="1" si="18"/>
        <v>0</v>
      </c>
      <c r="AB76" s="41">
        <v>76</v>
      </c>
      <c r="AC76" s="40"/>
      <c r="AE76" s="40"/>
    </row>
    <row r="77" spans="21:31" ht="21" customHeight="1">
      <c r="U77" s="40" t="s">
        <v>642</v>
      </c>
      <c r="V77" s="41" t="s">
        <v>523</v>
      </c>
      <c r="W77" s="50" t="s">
        <v>649</v>
      </c>
      <c r="X77" s="214" t="s">
        <v>650</v>
      </c>
      <c r="Y77" s="41">
        <f t="shared" ca="1" si="19"/>
        <v>0</v>
      </c>
      <c r="Z77" s="41"/>
      <c r="AA77" s="41">
        <f t="shared" ca="1" si="18"/>
        <v>0</v>
      </c>
      <c r="AB77" s="41">
        <v>77</v>
      </c>
      <c r="AC77" s="40"/>
      <c r="AE77" s="40"/>
    </row>
    <row r="78" spans="21:31" ht="21" customHeight="1">
      <c r="U78" s="40" t="s">
        <v>642</v>
      </c>
      <c r="V78" s="41" t="s">
        <v>651</v>
      </c>
      <c r="W78" s="50" t="s">
        <v>649</v>
      </c>
      <c r="X78" s="214" t="s">
        <v>652</v>
      </c>
      <c r="Y78" s="41">
        <f t="shared" ca="1" si="19"/>
        <v>0</v>
      </c>
      <c r="Z78" s="41"/>
      <c r="AA78" s="41">
        <f t="shared" ca="1" si="18"/>
        <v>0</v>
      </c>
      <c r="AB78" s="41">
        <v>78</v>
      </c>
      <c r="AC78" s="40"/>
      <c r="AE78" s="40"/>
    </row>
    <row r="79" spans="21:31" ht="21" customHeight="1">
      <c r="U79" s="40" t="s">
        <v>645</v>
      </c>
      <c r="V79" s="41" t="s">
        <v>533</v>
      </c>
      <c r="W79" s="50" t="s">
        <v>649</v>
      </c>
      <c r="X79" s="214" t="s">
        <v>653</v>
      </c>
      <c r="Y79" s="41">
        <f t="shared" ca="1" si="19"/>
        <v>0</v>
      </c>
      <c r="Z79" s="41"/>
      <c r="AA79" s="41">
        <f t="shared" ca="1" si="18"/>
        <v>0</v>
      </c>
      <c r="AB79" s="41">
        <v>79</v>
      </c>
      <c r="AC79" s="40"/>
      <c r="AE79" s="40"/>
    </row>
    <row r="80" spans="21:31" ht="21" customHeight="1">
      <c r="U80" s="40" t="s">
        <v>645</v>
      </c>
      <c r="V80" s="41" t="s">
        <v>538</v>
      </c>
      <c r="W80" s="50" t="s">
        <v>644</v>
      </c>
      <c r="X80" s="214" t="s">
        <v>628</v>
      </c>
      <c r="Y80" s="41">
        <f t="shared" ca="1" si="19"/>
        <v>0</v>
      </c>
      <c r="Z80" s="41"/>
      <c r="AA80" s="41">
        <f t="shared" ca="1" si="18"/>
        <v>0</v>
      </c>
      <c r="AB80" s="41">
        <v>80</v>
      </c>
      <c r="AC80" s="40"/>
      <c r="AE80" s="40"/>
    </row>
    <row r="81" spans="21:31" ht="21" customHeight="1">
      <c r="U81" s="40" t="s">
        <v>645</v>
      </c>
      <c r="V81" s="41" t="s">
        <v>654</v>
      </c>
      <c r="W81" s="50" t="s">
        <v>644</v>
      </c>
      <c r="X81" s="214" t="s">
        <v>655</v>
      </c>
      <c r="Y81" s="41">
        <f t="shared" ca="1" si="19"/>
        <v>0</v>
      </c>
      <c r="Z81" s="41"/>
      <c r="AA81" s="41">
        <f t="shared" ca="1" si="18"/>
        <v>0</v>
      </c>
      <c r="AB81" s="41">
        <v>81</v>
      </c>
      <c r="AC81" s="40"/>
      <c r="AE81" s="40"/>
    </row>
    <row r="82" spans="21:31" ht="21" customHeight="1">
      <c r="U82" s="40" t="s">
        <v>645</v>
      </c>
      <c r="V82" s="41" t="s">
        <v>656</v>
      </c>
      <c r="W82" s="50" t="s">
        <v>649</v>
      </c>
      <c r="X82" s="214" t="s">
        <v>630</v>
      </c>
      <c r="Y82" s="41">
        <f t="shared" ca="1" si="19"/>
        <v>0</v>
      </c>
      <c r="Z82" s="41"/>
      <c r="AA82" s="41">
        <f t="shared" ca="1" si="18"/>
        <v>0</v>
      </c>
      <c r="AB82" s="41">
        <v>82</v>
      </c>
      <c r="AC82" s="40"/>
      <c r="AE82" s="40"/>
    </row>
    <row r="83" spans="21:31" ht="21" customHeight="1">
      <c r="U83" s="40" t="s">
        <v>645</v>
      </c>
      <c r="V83" s="41" t="s">
        <v>553</v>
      </c>
      <c r="W83" s="50" t="s">
        <v>644</v>
      </c>
      <c r="X83" s="214" t="s">
        <v>631</v>
      </c>
      <c r="Y83" s="41">
        <f t="shared" ca="1" si="19"/>
        <v>0</v>
      </c>
      <c r="Z83" s="41"/>
      <c r="AA83" s="41">
        <f t="shared" ca="1" si="18"/>
        <v>0</v>
      </c>
      <c r="AB83" s="41">
        <v>83</v>
      </c>
      <c r="AC83" s="40"/>
      <c r="AE83" s="40"/>
    </row>
    <row r="84" spans="21:31" ht="21" customHeight="1">
      <c r="U84" s="40" t="s">
        <v>642</v>
      </c>
      <c r="V84" s="41" t="s">
        <v>657</v>
      </c>
      <c r="W84" s="50" t="s">
        <v>649</v>
      </c>
      <c r="X84" s="214"/>
      <c r="Z84" s="41"/>
      <c r="AA84" s="41">
        <f t="shared" ca="1" si="18"/>
        <v>0</v>
      </c>
      <c r="AB84" s="41">
        <v>84</v>
      </c>
      <c r="AC84" s="40"/>
      <c r="AE84" s="40"/>
    </row>
    <row r="85" spans="21:31" ht="21" customHeight="1">
      <c r="U85" s="40" t="s">
        <v>642</v>
      </c>
      <c r="V85" s="41" t="s">
        <v>563</v>
      </c>
      <c r="W85" s="50" t="s">
        <v>644</v>
      </c>
      <c r="X85" s="214"/>
      <c r="Z85" s="41"/>
      <c r="AA85" s="41">
        <f t="shared" ca="1" si="18"/>
        <v>0</v>
      </c>
      <c r="AB85" s="41">
        <v>85</v>
      </c>
      <c r="AC85" s="40"/>
      <c r="AE85" s="40"/>
    </row>
    <row r="86" spans="21:31" ht="21" customHeight="1">
      <c r="U86" s="40" t="s">
        <v>642</v>
      </c>
      <c r="V86" s="41" t="s">
        <v>566</v>
      </c>
      <c r="W86" s="50" t="s">
        <v>649</v>
      </c>
      <c r="X86" s="214"/>
      <c r="Z86" s="41"/>
      <c r="AA86" s="41">
        <f t="shared" ca="1" si="18"/>
        <v>0</v>
      </c>
      <c r="AB86" s="41">
        <v>86</v>
      </c>
      <c r="AC86" s="40"/>
      <c r="AE86" s="40"/>
    </row>
    <row r="87" spans="21:31" ht="21" customHeight="1">
      <c r="U87" s="40" t="s">
        <v>642</v>
      </c>
      <c r="V87" s="41" t="s">
        <v>572</v>
      </c>
      <c r="W87" s="50" t="s">
        <v>644</v>
      </c>
      <c r="X87" s="214"/>
      <c r="Z87" s="41"/>
      <c r="AA87" s="41">
        <f t="shared" ca="1" si="18"/>
        <v>0</v>
      </c>
      <c r="AB87" s="41">
        <v>87</v>
      </c>
      <c r="AC87" s="40"/>
      <c r="AE87" s="40"/>
    </row>
    <row r="88" spans="21:31" ht="21" customHeight="1">
      <c r="U88" s="40" t="s">
        <v>642</v>
      </c>
      <c r="V88" s="41" t="s">
        <v>577</v>
      </c>
      <c r="W88" s="50" t="s">
        <v>644</v>
      </c>
      <c r="X88" s="214"/>
      <c r="Z88" s="41"/>
      <c r="AA88" s="41">
        <f t="shared" ca="1" si="18"/>
        <v>0</v>
      </c>
      <c r="AB88" s="41">
        <v>88</v>
      </c>
      <c r="AC88" s="40"/>
      <c r="AE88" s="40"/>
    </row>
    <row r="89" spans="21:31" ht="21" customHeight="1">
      <c r="U89" s="40" t="s">
        <v>642</v>
      </c>
      <c r="V89" s="41" t="s">
        <v>658</v>
      </c>
      <c r="W89" s="50" t="s">
        <v>649</v>
      </c>
      <c r="X89" s="214"/>
      <c r="Z89" s="41"/>
      <c r="AA89" s="41">
        <f t="shared" ca="1" si="18"/>
        <v>0</v>
      </c>
      <c r="AB89" s="41">
        <v>89</v>
      </c>
      <c r="AC89" s="40"/>
      <c r="AE89" s="40"/>
    </row>
    <row r="90" spans="21:31" ht="21" customHeight="1">
      <c r="U90" s="40" t="s">
        <v>642</v>
      </c>
      <c r="V90" s="41" t="s">
        <v>659</v>
      </c>
      <c r="W90" s="50" t="s">
        <v>644</v>
      </c>
      <c r="X90" s="214"/>
      <c r="Z90" s="41"/>
      <c r="AA90" s="41">
        <f t="shared" ca="1" si="18"/>
        <v>0</v>
      </c>
      <c r="AB90" s="41">
        <v>90</v>
      </c>
      <c r="AC90" s="40"/>
      <c r="AE90" s="40"/>
    </row>
    <row r="91" spans="21:31" ht="21" customHeight="1">
      <c r="U91" s="40" t="s">
        <v>645</v>
      </c>
      <c r="V91" s="41" t="s">
        <v>660</v>
      </c>
      <c r="W91" s="50" t="s">
        <v>649</v>
      </c>
      <c r="X91" s="214" t="s">
        <v>661</v>
      </c>
      <c r="Y91" s="41">
        <f t="shared" ref="Y91:Y122" ca="1" si="20">IF(Y$2=0,INDIRECT(W91&amp;"!"&amp;X91&amp;$AB$2-1),0)</f>
        <v>0</v>
      </c>
      <c r="Z91" s="41"/>
      <c r="AA91" s="41">
        <f t="shared" ca="1" si="18"/>
        <v>0</v>
      </c>
      <c r="AB91" s="41">
        <v>91</v>
      </c>
      <c r="AC91" s="40"/>
      <c r="AE91" s="40"/>
    </row>
    <row r="92" spans="21:31" ht="21" customHeight="1">
      <c r="U92" s="40" t="s">
        <v>642</v>
      </c>
      <c r="V92" s="41" t="s">
        <v>352</v>
      </c>
      <c r="W92" s="50" t="s">
        <v>649</v>
      </c>
      <c r="X92" s="214" t="s">
        <v>662</v>
      </c>
      <c r="Y92" s="41">
        <f t="shared" ca="1" si="20"/>
        <v>0</v>
      </c>
      <c r="Z92" s="41"/>
      <c r="AA92" s="41">
        <f t="shared" ca="1" si="18"/>
        <v>0</v>
      </c>
      <c r="AB92" s="41">
        <v>92</v>
      </c>
      <c r="AC92" s="40"/>
      <c r="AE92" s="40"/>
    </row>
    <row r="93" spans="21:31" ht="21" customHeight="1">
      <c r="U93" s="40" t="s">
        <v>663</v>
      </c>
      <c r="V93" s="41" t="s">
        <v>643</v>
      </c>
      <c r="W93" s="50" t="s">
        <v>644</v>
      </c>
      <c r="X93" s="214" t="s">
        <v>664</v>
      </c>
      <c r="Y93" s="41">
        <f t="shared" ca="1" si="20"/>
        <v>0</v>
      </c>
      <c r="Z93" s="41"/>
      <c r="AA93" s="41">
        <f t="shared" ca="1" si="18"/>
        <v>0</v>
      </c>
      <c r="AB93" s="41">
        <v>93</v>
      </c>
      <c r="AC93" s="40"/>
      <c r="AE93" s="40"/>
    </row>
    <row r="94" spans="21:31" ht="21" customHeight="1">
      <c r="U94" s="40" t="s">
        <v>663</v>
      </c>
      <c r="V94" s="41" t="s">
        <v>646</v>
      </c>
      <c r="W94" s="50" t="s">
        <v>649</v>
      </c>
      <c r="X94" s="214" t="s">
        <v>665</v>
      </c>
      <c r="Y94" s="41">
        <f t="shared" ca="1" si="20"/>
        <v>0</v>
      </c>
      <c r="AA94" s="41">
        <f t="shared" ca="1" si="18"/>
        <v>0</v>
      </c>
      <c r="AB94" s="41">
        <v>94</v>
      </c>
      <c r="AC94" s="40"/>
      <c r="AE94" s="40"/>
    </row>
    <row r="95" spans="21:31" ht="21" customHeight="1">
      <c r="U95" s="40" t="s">
        <v>666</v>
      </c>
      <c r="V95" s="41" t="s">
        <v>667</v>
      </c>
      <c r="W95" s="50" t="s">
        <v>644</v>
      </c>
      <c r="X95" s="214" t="s">
        <v>668</v>
      </c>
      <c r="Y95" s="41">
        <f t="shared" ca="1" si="20"/>
        <v>0</v>
      </c>
      <c r="AA95" s="41">
        <f t="shared" ca="1" si="18"/>
        <v>0</v>
      </c>
      <c r="AB95" s="41">
        <v>95</v>
      </c>
      <c r="AC95" s="40"/>
      <c r="AE95" s="40"/>
    </row>
    <row r="96" spans="21:31" ht="21" customHeight="1">
      <c r="U96" s="40" t="s">
        <v>663</v>
      </c>
      <c r="V96" s="41" t="s">
        <v>669</v>
      </c>
      <c r="W96" s="50" t="s">
        <v>649</v>
      </c>
      <c r="X96" s="214" t="s">
        <v>670</v>
      </c>
      <c r="Y96" s="41">
        <f t="shared" ca="1" si="20"/>
        <v>0</v>
      </c>
      <c r="AA96" s="41">
        <f t="shared" ca="1" si="18"/>
        <v>0</v>
      </c>
      <c r="AB96" s="41">
        <v>96</v>
      </c>
      <c r="AC96" s="40"/>
      <c r="AE96" s="40"/>
    </row>
    <row r="97" spans="21:31" ht="21" customHeight="1">
      <c r="U97" s="40" t="s">
        <v>666</v>
      </c>
      <c r="V97" s="41" t="s">
        <v>651</v>
      </c>
      <c r="W97" s="50" t="s">
        <v>649</v>
      </c>
      <c r="X97" s="214" t="s">
        <v>671</v>
      </c>
      <c r="Y97" s="41">
        <f t="shared" ca="1" si="20"/>
        <v>0</v>
      </c>
      <c r="AA97" s="41">
        <f t="shared" ca="1" si="18"/>
        <v>0</v>
      </c>
      <c r="AB97" s="41">
        <v>97</v>
      </c>
      <c r="AC97" s="40"/>
      <c r="AE97" s="40"/>
    </row>
    <row r="98" spans="21:31" ht="21" customHeight="1">
      <c r="U98" s="40" t="s">
        <v>666</v>
      </c>
      <c r="V98" s="41" t="s">
        <v>533</v>
      </c>
      <c r="W98" s="50" t="s">
        <v>644</v>
      </c>
      <c r="X98" s="214" t="s">
        <v>672</v>
      </c>
      <c r="Y98" s="41">
        <f t="shared" ca="1" si="20"/>
        <v>0</v>
      </c>
      <c r="AA98" s="41">
        <f t="shared" ca="1" si="18"/>
        <v>0</v>
      </c>
      <c r="AB98" s="41">
        <v>98</v>
      </c>
      <c r="AC98" s="40"/>
      <c r="AE98" s="40"/>
    </row>
    <row r="99" spans="21:31" ht="21" customHeight="1">
      <c r="U99" s="40" t="s">
        <v>666</v>
      </c>
      <c r="V99" s="41" t="s">
        <v>673</v>
      </c>
      <c r="W99" s="50" t="s">
        <v>649</v>
      </c>
      <c r="X99" s="214" t="s">
        <v>674</v>
      </c>
      <c r="Y99" s="41">
        <f t="shared" ca="1" si="20"/>
        <v>0</v>
      </c>
      <c r="AA99" s="41">
        <f t="shared" ca="1" si="18"/>
        <v>0</v>
      </c>
      <c r="AB99" s="41">
        <v>99</v>
      </c>
      <c r="AC99" s="40"/>
      <c r="AE99" s="40"/>
    </row>
    <row r="100" spans="21:31" ht="21" customHeight="1">
      <c r="U100" s="40" t="s">
        <v>663</v>
      </c>
      <c r="V100" s="41" t="s">
        <v>654</v>
      </c>
      <c r="W100" s="50" t="s">
        <v>644</v>
      </c>
      <c r="X100" s="214" t="s">
        <v>675</v>
      </c>
      <c r="Y100" s="41">
        <f t="shared" ca="1" si="20"/>
        <v>0</v>
      </c>
      <c r="AA100" s="41">
        <f t="shared" ca="1" si="18"/>
        <v>0</v>
      </c>
      <c r="AB100" s="41">
        <v>100</v>
      </c>
      <c r="AC100" s="40"/>
      <c r="AE100" s="40"/>
    </row>
    <row r="101" spans="21:31" ht="21" customHeight="1">
      <c r="U101" s="40" t="s">
        <v>663</v>
      </c>
      <c r="V101" s="41" t="s">
        <v>656</v>
      </c>
      <c r="W101" s="50" t="s">
        <v>644</v>
      </c>
      <c r="X101" s="214" t="s">
        <v>435</v>
      </c>
      <c r="Y101" s="41">
        <f t="shared" ca="1" si="20"/>
        <v>0</v>
      </c>
      <c r="AA101" s="41">
        <f t="shared" ca="1" si="18"/>
        <v>0</v>
      </c>
      <c r="AB101" s="41">
        <v>101</v>
      </c>
      <c r="AC101" s="40"/>
      <c r="AE101" s="40"/>
    </row>
    <row r="102" spans="21:31" ht="21" customHeight="1">
      <c r="U102" s="40" t="s">
        <v>666</v>
      </c>
      <c r="V102" s="41" t="s">
        <v>553</v>
      </c>
      <c r="W102" s="50" t="s">
        <v>644</v>
      </c>
      <c r="X102" s="214" t="s">
        <v>676</v>
      </c>
      <c r="Y102" s="41">
        <f t="shared" ca="1" si="20"/>
        <v>0</v>
      </c>
      <c r="AA102" s="41">
        <f t="shared" ca="1" si="18"/>
        <v>0</v>
      </c>
      <c r="AB102" s="41">
        <v>102</v>
      </c>
      <c r="AC102" s="40"/>
      <c r="AE102" s="40"/>
    </row>
    <row r="103" spans="21:31" ht="21" customHeight="1">
      <c r="U103" s="40" t="s">
        <v>663</v>
      </c>
      <c r="V103" s="41" t="s">
        <v>558</v>
      </c>
      <c r="W103" s="50" t="s">
        <v>644</v>
      </c>
      <c r="X103" s="214" t="s">
        <v>677</v>
      </c>
      <c r="Y103" s="41">
        <f t="shared" ca="1" si="20"/>
        <v>0</v>
      </c>
      <c r="AA103" s="41">
        <f t="shared" ca="1" si="18"/>
        <v>0</v>
      </c>
      <c r="AB103" s="41">
        <v>103</v>
      </c>
      <c r="AC103" s="40"/>
      <c r="AE103" s="40"/>
    </row>
    <row r="104" spans="21:31" ht="21" customHeight="1">
      <c r="U104" s="40" t="s">
        <v>663</v>
      </c>
      <c r="V104" s="41" t="s">
        <v>678</v>
      </c>
      <c r="W104" s="50" t="s">
        <v>644</v>
      </c>
      <c r="X104" s="214" t="s">
        <v>679</v>
      </c>
      <c r="Y104" s="41">
        <f t="shared" ca="1" si="20"/>
        <v>0</v>
      </c>
      <c r="AA104" s="41">
        <f t="shared" ca="1" si="18"/>
        <v>0</v>
      </c>
      <c r="AB104" s="41">
        <v>104</v>
      </c>
      <c r="AC104" s="40"/>
      <c r="AE104" s="40"/>
    </row>
    <row r="105" spans="21:31" ht="21" customHeight="1">
      <c r="U105" s="40" t="s">
        <v>666</v>
      </c>
      <c r="V105" s="41" t="s">
        <v>566</v>
      </c>
      <c r="W105" s="50" t="s">
        <v>644</v>
      </c>
      <c r="X105" s="214" t="s">
        <v>680</v>
      </c>
      <c r="Y105" s="41">
        <f t="shared" ca="1" si="20"/>
        <v>0</v>
      </c>
      <c r="AA105" s="41">
        <f t="shared" ca="1" si="18"/>
        <v>0</v>
      </c>
      <c r="AB105" s="41">
        <v>105</v>
      </c>
      <c r="AC105" s="40"/>
      <c r="AE105" s="40"/>
    </row>
    <row r="106" spans="21:31" ht="21" customHeight="1">
      <c r="U106" s="40" t="s">
        <v>666</v>
      </c>
      <c r="V106" s="41" t="s">
        <v>572</v>
      </c>
      <c r="W106" s="50" t="s">
        <v>644</v>
      </c>
      <c r="X106" s="214" t="s">
        <v>681</v>
      </c>
      <c r="Y106" s="41">
        <f t="shared" ca="1" si="20"/>
        <v>0</v>
      </c>
      <c r="AA106" s="41">
        <f t="shared" ca="1" si="18"/>
        <v>0</v>
      </c>
      <c r="AB106" s="41">
        <v>106</v>
      </c>
      <c r="AC106" s="40"/>
      <c r="AE106" s="40"/>
    </row>
    <row r="107" spans="21:31" ht="21" customHeight="1">
      <c r="U107" s="40" t="s">
        <v>666</v>
      </c>
      <c r="V107" s="41" t="s">
        <v>577</v>
      </c>
      <c r="W107" s="50" t="s">
        <v>649</v>
      </c>
      <c r="X107" s="214" t="s">
        <v>682</v>
      </c>
      <c r="Y107" s="41">
        <f t="shared" ca="1" si="20"/>
        <v>0</v>
      </c>
      <c r="AA107" s="41">
        <f t="shared" ca="1" si="18"/>
        <v>0</v>
      </c>
      <c r="AB107" s="41">
        <v>107</v>
      </c>
      <c r="AC107" s="40"/>
      <c r="AE107" s="40"/>
    </row>
    <row r="108" spans="21:31" ht="21" customHeight="1">
      <c r="U108" s="40" t="s">
        <v>666</v>
      </c>
      <c r="V108" s="41" t="s">
        <v>683</v>
      </c>
      <c r="W108" s="50" t="s">
        <v>644</v>
      </c>
      <c r="X108" s="214" t="s">
        <v>684</v>
      </c>
      <c r="Y108" s="41">
        <f t="shared" ca="1" si="20"/>
        <v>0</v>
      </c>
      <c r="AA108" s="41">
        <f t="shared" ca="1" si="18"/>
        <v>0</v>
      </c>
      <c r="AB108" s="41">
        <v>108</v>
      </c>
      <c r="AC108" s="40"/>
      <c r="AE108" s="40"/>
    </row>
    <row r="109" spans="21:31" ht="21" customHeight="1">
      <c r="U109" s="40" t="s">
        <v>663</v>
      </c>
      <c r="V109" s="41" t="s">
        <v>685</v>
      </c>
      <c r="W109" s="50" t="s">
        <v>644</v>
      </c>
      <c r="X109" s="214" t="s">
        <v>686</v>
      </c>
      <c r="Y109" s="41">
        <f t="shared" ca="1" si="20"/>
        <v>0</v>
      </c>
      <c r="AA109" s="41">
        <f t="shared" ca="1" si="18"/>
        <v>0</v>
      </c>
      <c r="AB109" s="41">
        <v>109</v>
      </c>
      <c r="AC109" s="40"/>
      <c r="AE109" s="40"/>
    </row>
    <row r="110" spans="21:31" ht="21" customHeight="1">
      <c r="U110" s="40" t="s">
        <v>666</v>
      </c>
      <c r="V110" s="41" t="s">
        <v>659</v>
      </c>
      <c r="W110" s="50" t="s">
        <v>644</v>
      </c>
      <c r="X110" s="214" t="s">
        <v>687</v>
      </c>
      <c r="Y110" s="41">
        <f t="shared" ca="1" si="20"/>
        <v>0</v>
      </c>
      <c r="AA110" s="41">
        <f t="shared" ca="1" si="18"/>
        <v>0</v>
      </c>
      <c r="AB110" s="41">
        <v>110</v>
      </c>
      <c r="AC110" s="40"/>
      <c r="AE110" s="40"/>
    </row>
    <row r="111" spans="21:31" ht="21" customHeight="1">
      <c r="U111" s="40" t="s">
        <v>666</v>
      </c>
      <c r="V111" s="41" t="s">
        <v>688</v>
      </c>
      <c r="W111" s="50" t="s">
        <v>644</v>
      </c>
      <c r="X111" s="214" t="s">
        <v>689</v>
      </c>
      <c r="Y111" s="41">
        <f t="shared" ca="1" si="20"/>
        <v>0</v>
      </c>
      <c r="AA111" s="41">
        <f t="shared" ca="1" si="18"/>
        <v>0</v>
      </c>
      <c r="AB111" s="41">
        <v>111</v>
      </c>
      <c r="AC111" s="40"/>
      <c r="AE111" s="40"/>
    </row>
    <row r="112" spans="21:31" ht="21" customHeight="1">
      <c r="U112" s="40" t="s">
        <v>666</v>
      </c>
      <c r="V112" s="41" t="s">
        <v>352</v>
      </c>
      <c r="W112" s="50" t="s">
        <v>644</v>
      </c>
      <c r="X112" s="214" t="s">
        <v>690</v>
      </c>
      <c r="Y112" s="41">
        <f t="shared" ca="1" si="20"/>
        <v>0</v>
      </c>
      <c r="AA112" s="41">
        <f t="shared" ca="1" si="18"/>
        <v>0</v>
      </c>
      <c r="AB112" s="41">
        <v>112</v>
      </c>
      <c r="AC112" s="40"/>
      <c r="AE112" s="40"/>
    </row>
    <row r="113" spans="21:31" ht="21" customHeight="1">
      <c r="U113" s="40" t="s">
        <v>691</v>
      </c>
      <c r="V113" s="41" t="s">
        <v>643</v>
      </c>
      <c r="W113" s="50" t="s">
        <v>644</v>
      </c>
      <c r="X113" s="214" t="s">
        <v>692</v>
      </c>
      <c r="Y113" s="41">
        <f t="shared" ca="1" si="20"/>
        <v>0</v>
      </c>
      <c r="AA113" s="41">
        <f t="shared" ca="1" si="18"/>
        <v>0</v>
      </c>
      <c r="AB113" s="41">
        <v>113</v>
      </c>
      <c r="AC113" s="40"/>
      <c r="AE113" s="40"/>
    </row>
    <row r="114" spans="21:31" ht="21" customHeight="1">
      <c r="U114" s="40" t="s">
        <v>693</v>
      </c>
      <c r="V114" s="41" t="s">
        <v>512</v>
      </c>
      <c r="W114" s="50" t="s">
        <v>644</v>
      </c>
      <c r="X114" s="214" t="s">
        <v>694</v>
      </c>
      <c r="Y114" s="41">
        <f t="shared" ca="1" si="20"/>
        <v>0</v>
      </c>
      <c r="AA114" s="41">
        <f t="shared" ca="1" si="18"/>
        <v>0</v>
      </c>
      <c r="AB114" s="41">
        <v>114</v>
      </c>
      <c r="AC114" s="40"/>
      <c r="AE114" s="40"/>
    </row>
    <row r="115" spans="21:31" ht="21" customHeight="1">
      <c r="U115" s="40" t="s">
        <v>693</v>
      </c>
      <c r="V115" s="41" t="s">
        <v>667</v>
      </c>
      <c r="W115" s="50" t="s">
        <v>644</v>
      </c>
      <c r="X115" s="214" t="s">
        <v>695</v>
      </c>
      <c r="Y115" s="41">
        <f t="shared" ca="1" si="20"/>
        <v>0</v>
      </c>
      <c r="AA115" s="41">
        <f t="shared" ca="1" si="18"/>
        <v>0</v>
      </c>
      <c r="AB115" s="41">
        <v>115</v>
      </c>
      <c r="AC115" s="40"/>
      <c r="AE115" s="40"/>
    </row>
    <row r="116" spans="21:31" ht="21" customHeight="1">
      <c r="U116" s="40" t="s">
        <v>693</v>
      </c>
      <c r="V116" s="41" t="s">
        <v>669</v>
      </c>
      <c r="W116" s="50" t="s">
        <v>644</v>
      </c>
      <c r="X116" s="214" t="s">
        <v>696</v>
      </c>
      <c r="Y116" s="41">
        <f t="shared" ca="1" si="20"/>
        <v>0</v>
      </c>
      <c r="AA116" s="41">
        <f t="shared" ca="1" si="18"/>
        <v>0</v>
      </c>
      <c r="AB116" s="41">
        <v>116</v>
      </c>
      <c r="AC116" s="40"/>
      <c r="AE116" s="40"/>
    </row>
    <row r="117" spans="21:31" ht="21" customHeight="1">
      <c r="U117" s="40" t="s">
        <v>693</v>
      </c>
      <c r="V117" s="41" t="s">
        <v>528</v>
      </c>
      <c r="W117" s="50" t="s">
        <v>649</v>
      </c>
      <c r="X117" s="214" t="s">
        <v>697</v>
      </c>
      <c r="Y117" s="41">
        <f t="shared" ca="1" si="20"/>
        <v>0</v>
      </c>
      <c r="AA117" s="41">
        <f t="shared" ca="1" si="18"/>
        <v>0</v>
      </c>
      <c r="AB117" s="41">
        <v>117</v>
      </c>
      <c r="AC117" s="40"/>
      <c r="AE117" s="40"/>
    </row>
    <row r="118" spans="21:31" ht="21" customHeight="1">
      <c r="U118" s="40" t="s">
        <v>693</v>
      </c>
      <c r="V118" s="41" t="s">
        <v>698</v>
      </c>
      <c r="W118" s="50" t="s">
        <v>644</v>
      </c>
      <c r="X118" s="214" t="s">
        <v>699</v>
      </c>
      <c r="Y118" s="41">
        <f t="shared" ca="1" si="20"/>
        <v>0</v>
      </c>
      <c r="AA118" s="41">
        <f t="shared" ca="1" si="18"/>
        <v>0</v>
      </c>
      <c r="AB118" s="41">
        <v>118</v>
      </c>
      <c r="AC118" s="40"/>
      <c r="AE118" s="40"/>
    </row>
    <row r="119" spans="21:31" ht="21" customHeight="1">
      <c r="U119" s="40" t="s">
        <v>693</v>
      </c>
      <c r="V119" s="41" t="s">
        <v>673</v>
      </c>
      <c r="W119" s="50" t="s">
        <v>649</v>
      </c>
      <c r="X119" s="214" t="s">
        <v>700</v>
      </c>
      <c r="Y119" s="41">
        <f t="shared" ca="1" si="20"/>
        <v>0</v>
      </c>
      <c r="AA119" s="41">
        <f t="shared" ca="1" si="18"/>
        <v>0</v>
      </c>
      <c r="AB119" s="41">
        <v>119</v>
      </c>
      <c r="AC119" s="40"/>
      <c r="AE119" s="40"/>
    </row>
    <row r="120" spans="21:31" ht="21" customHeight="1">
      <c r="U120" s="40" t="s">
        <v>693</v>
      </c>
      <c r="V120" s="41" t="s">
        <v>654</v>
      </c>
      <c r="W120" s="50" t="s">
        <v>649</v>
      </c>
      <c r="X120" s="214" t="s">
        <v>701</v>
      </c>
      <c r="Y120" s="41">
        <f t="shared" ca="1" si="20"/>
        <v>0</v>
      </c>
      <c r="AA120" s="41">
        <f t="shared" ca="1" si="18"/>
        <v>0</v>
      </c>
      <c r="AB120" s="41">
        <v>120</v>
      </c>
      <c r="AC120" s="40"/>
      <c r="AE120" s="40"/>
    </row>
    <row r="121" spans="21:31" ht="21" customHeight="1">
      <c r="U121" s="40" t="s">
        <v>693</v>
      </c>
      <c r="V121" s="41" t="s">
        <v>702</v>
      </c>
      <c r="W121" s="50" t="s">
        <v>644</v>
      </c>
      <c r="X121" s="214" t="s">
        <v>703</v>
      </c>
      <c r="Y121" s="41">
        <f t="shared" ca="1" si="20"/>
        <v>0</v>
      </c>
      <c r="AA121" s="41">
        <f t="shared" ca="1" si="18"/>
        <v>0</v>
      </c>
      <c r="AB121" s="41">
        <v>121</v>
      </c>
      <c r="AC121" s="40"/>
      <c r="AE121" s="40"/>
    </row>
    <row r="122" spans="21:31" ht="21" customHeight="1">
      <c r="U122" s="40" t="s">
        <v>691</v>
      </c>
      <c r="V122" s="41" t="s">
        <v>704</v>
      </c>
      <c r="W122" s="50" t="s">
        <v>644</v>
      </c>
      <c r="X122" s="214" t="s">
        <v>705</v>
      </c>
      <c r="Y122" s="41">
        <f t="shared" ca="1" si="20"/>
        <v>0</v>
      </c>
      <c r="AA122" s="41">
        <f t="shared" ca="1" si="18"/>
        <v>0</v>
      </c>
      <c r="AB122" s="41">
        <v>122</v>
      </c>
      <c r="AC122" s="40"/>
      <c r="AE122" s="40"/>
    </row>
    <row r="123" spans="21:31" ht="21" customHeight="1">
      <c r="U123" s="40" t="s">
        <v>693</v>
      </c>
      <c r="V123" s="41" t="s">
        <v>558</v>
      </c>
      <c r="W123" s="50" t="s">
        <v>644</v>
      </c>
      <c r="X123" s="214"/>
      <c r="AA123" s="41">
        <f t="shared" ca="1" si="18"/>
        <v>0</v>
      </c>
      <c r="AB123" s="41">
        <v>123</v>
      </c>
      <c r="AC123" s="40"/>
      <c r="AE123" s="40"/>
    </row>
    <row r="124" spans="21:31" ht="21" customHeight="1">
      <c r="U124" s="40" t="s">
        <v>691</v>
      </c>
      <c r="V124" s="41" t="s">
        <v>563</v>
      </c>
      <c r="W124" s="50" t="s">
        <v>644</v>
      </c>
      <c r="X124" s="214"/>
      <c r="AA124" s="41">
        <f t="shared" ca="1" si="18"/>
        <v>0</v>
      </c>
      <c r="AB124" s="41">
        <v>124</v>
      </c>
      <c r="AC124" s="40"/>
      <c r="AE124" s="40"/>
    </row>
    <row r="125" spans="21:31" ht="21" customHeight="1">
      <c r="U125" s="40" t="s">
        <v>691</v>
      </c>
      <c r="V125" s="41" t="s">
        <v>706</v>
      </c>
      <c r="W125" s="50" t="s">
        <v>644</v>
      </c>
      <c r="X125" s="214"/>
      <c r="AA125" s="41">
        <f t="shared" ca="1" si="18"/>
        <v>0</v>
      </c>
      <c r="AB125" s="41">
        <v>125</v>
      </c>
      <c r="AC125" s="40"/>
      <c r="AE125" s="40"/>
    </row>
    <row r="126" spans="21:31" ht="21" customHeight="1">
      <c r="U126" s="40" t="s">
        <v>693</v>
      </c>
      <c r="V126" s="41" t="s">
        <v>572</v>
      </c>
      <c r="W126" s="50" t="s">
        <v>644</v>
      </c>
      <c r="X126" s="214"/>
      <c r="AA126" s="41">
        <f t="shared" ca="1" si="18"/>
        <v>0</v>
      </c>
      <c r="AB126" s="41">
        <v>126</v>
      </c>
      <c r="AC126" s="40"/>
      <c r="AE126" s="40"/>
    </row>
    <row r="127" spans="21:31" ht="21" customHeight="1">
      <c r="U127" s="40" t="s">
        <v>691</v>
      </c>
      <c r="V127" s="41" t="s">
        <v>707</v>
      </c>
      <c r="W127" s="50" t="s">
        <v>644</v>
      </c>
      <c r="X127" s="214"/>
      <c r="AA127" s="41">
        <f t="shared" ca="1" si="18"/>
        <v>0</v>
      </c>
      <c r="AB127" s="41">
        <v>127</v>
      </c>
      <c r="AC127" s="40"/>
      <c r="AE127" s="40"/>
    </row>
    <row r="128" spans="21:31" ht="21" customHeight="1">
      <c r="U128" s="40" t="s">
        <v>691</v>
      </c>
      <c r="V128" s="41" t="s">
        <v>658</v>
      </c>
      <c r="W128" s="50" t="s">
        <v>644</v>
      </c>
      <c r="X128" s="214"/>
      <c r="AA128" s="41">
        <f t="shared" ca="1" si="18"/>
        <v>0</v>
      </c>
      <c r="AB128" s="41">
        <v>128</v>
      </c>
      <c r="AC128" s="40"/>
      <c r="AE128" s="40"/>
    </row>
    <row r="129" spans="21:31" ht="21" customHeight="1">
      <c r="U129" s="40" t="s">
        <v>693</v>
      </c>
      <c r="V129" s="41" t="s">
        <v>659</v>
      </c>
      <c r="W129" s="50" t="s">
        <v>649</v>
      </c>
      <c r="X129" s="214"/>
      <c r="AA129" s="41">
        <f t="shared" ca="1" si="18"/>
        <v>0</v>
      </c>
      <c r="AB129" s="41">
        <v>129</v>
      </c>
      <c r="AC129" s="40"/>
      <c r="AE129" s="40"/>
    </row>
    <row r="130" spans="21:31" ht="21" customHeight="1">
      <c r="U130" s="40" t="s">
        <v>693</v>
      </c>
      <c r="V130" s="41" t="s">
        <v>660</v>
      </c>
      <c r="W130" s="50" t="s">
        <v>649</v>
      </c>
      <c r="X130" s="214" t="s">
        <v>479</v>
      </c>
      <c r="Y130" s="41">
        <f ca="1">IF(Y$2=0,INDIRECT(W130&amp;"!"&amp;X130&amp;$AB$2-1),0)</f>
        <v>0</v>
      </c>
      <c r="AA130" s="41">
        <f t="shared" ca="1" si="18"/>
        <v>0</v>
      </c>
      <c r="AB130" s="41">
        <v>130</v>
      </c>
      <c r="AC130" s="40"/>
      <c r="AE130" s="40"/>
    </row>
    <row r="131" spans="21:31" ht="21" customHeight="1">
      <c r="U131" s="40" t="s">
        <v>693</v>
      </c>
      <c r="V131" s="41" t="s">
        <v>424</v>
      </c>
      <c r="W131" s="50" t="s">
        <v>644</v>
      </c>
      <c r="X131" s="214" t="s">
        <v>708</v>
      </c>
      <c r="Y131" s="41">
        <f ca="1">IF(Y$2=0,INDIRECT(W131&amp;"!"&amp;X131&amp;$AB$2-1),0)</f>
        <v>0</v>
      </c>
      <c r="AA131" s="41">
        <f t="shared" ca="1" si="18"/>
        <v>0</v>
      </c>
      <c r="AB131" s="41">
        <v>131</v>
      </c>
      <c r="AC131" s="40"/>
      <c r="AE131" s="40"/>
    </row>
    <row r="132" spans="21:31" ht="21" customHeight="1">
      <c r="AA132" s="41">
        <f t="shared" ca="1" si="18"/>
        <v>0</v>
      </c>
      <c r="AB132" s="41">
        <v>132</v>
      </c>
    </row>
    <row r="133" spans="21:31" ht="21" customHeight="1">
      <c r="V133" s="41" t="s">
        <v>709</v>
      </c>
      <c r="W133" s="50" t="s">
        <v>434</v>
      </c>
      <c r="X133" s="50" t="s">
        <v>710</v>
      </c>
      <c r="Y133" s="41">
        <f ca="1">IF(Y$2=0,INDIRECT(W133&amp;"!"&amp;X133&amp;$AB$2+1),0)</f>
        <v>0</v>
      </c>
      <c r="AA133" s="41">
        <f t="shared" ref="AA133:AA196" ca="1" si="21">INDIRECT($W$6&amp;"!"&amp;"B"&amp;ROW(B133))</f>
        <v>0</v>
      </c>
      <c r="AB133" s="41">
        <v>133</v>
      </c>
    </row>
    <row r="134" spans="21:31" ht="21" customHeight="1">
      <c r="AA134" s="41">
        <f t="shared" ca="1" si="21"/>
        <v>0</v>
      </c>
      <c r="AB134" s="41">
        <v>134</v>
      </c>
    </row>
    <row r="135" spans="21:31" ht="21" customHeight="1">
      <c r="U135" s="40" t="s">
        <v>711</v>
      </c>
      <c r="V135" s="41" t="s">
        <v>712</v>
      </c>
      <c r="W135" s="50" t="s">
        <v>599</v>
      </c>
      <c r="X135" s="41" t="s">
        <v>713</v>
      </c>
      <c r="Y135" s="41">
        <f t="shared" ref="Y135:Y143" ca="1" si="22">IF(Y$2=0,INDIRECT(W135&amp;"!"&amp;X135&amp;$AB$2),0)</f>
        <v>0</v>
      </c>
      <c r="AA135" s="41">
        <f t="shared" ca="1" si="21"/>
        <v>0</v>
      </c>
      <c r="AB135" s="41">
        <v>135</v>
      </c>
    </row>
    <row r="136" spans="21:31" ht="21" customHeight="1">
      <c r="U136" s="40" t="s">
        <v>714</v>
      </c>
      <c r="V136" s="215" t="s">
        <v>715</v>
      </c>
      <c r="W136" s="50" t="s">
        <v>599</v>
      </c>
      <c r="X136" s="41" t="s">
        <v>716</v>
      </c>
      <c r="Y136" s="41">
        <f t="shared" ca="1" si="22"/>
        <v>0</v>
      </c>
      <c r="AA136" s="41">
        <f t="shared" ca="1" si="21"/>
        <v>0</v>
      </c>
      <c r="AB136" s="41">
        <v>136</v>
      </c>
    </row>
    <row r="137" spans="21:31" ht="21" customHeight="1">
      <c r="U137" s="40" t="s">
        <v>711</v>
      </c>
      <c r="V137" s="41" t="s">
        <v>397</v>
      </c>
      <c r="W137" s="50" t="s">
        <v>568</v>
      </c>
      <c r="X137" s="41" t="s">
        <v>717</v>
      </c>
      <c r="Y137" s="41">
        <f t="shared" ca="1" si="22"/>
        <v>0</v>
      </c>
      <c r="AA137" s="41">
        <f t="shared" ca="1" si="21"/>
        <v>0</v>
      </c>
      <c r="AB137" s="41">
        <v>137</v>
      </c>
    </row>
    <row r="138" spans="21:31" ht="21" customHeight="1">
      <c r="U138" s="40" t="s">
        <v>714</v>
      </c>
      <c r="V138" s="41" t="s">
        <v>583</v>
      </c>
      <c r="W138" s="50" t="s">
        <v>568</v>
      </c>
      <c r="X138" s="41" t="s">
        <v>718</v>
      </c>
      <c r="Y138" s="41">
        <f t="shared" ca="1" si="22"/>
        <v>0</v>
      </c>
      <c r="AA138" s="41">
        <f t="shared" ca="1" si="21"/>
        <v>0</v>
      </c>
      <c r="AB138" s="41">
        <v>138</v>
      </c>
    </row>
    <row r="139" spans="21:31" ht="21" customHeight="1">
      <c r="U139" s="40" t="s">
        <v>714</v>
      </c>
      <c r="V139" s="41" t="s">
        <v>410</v>
      </c>
      <c r="W139" s="50" t="s">
        <v>599</v>
      </c>
      <c r="X139" s="41" t="s">
        <v>719</v>
      </c>
      <c r="Y139" s="41">
        <f t="shared" ca="1" si="22"/>
        <v>0</v>
      </c>
      <c r="AA139" s="41">
        <f t="shared" ca="1" si="21"/>
        <v>0</v>
      </c>
      <c r="AB139" s="41">
        <v>139</v>
      </c>
    </row>
    <row r="140" spans="21:31" ht="21" customHeight="1">
      <c r="U140" s="40" t="s">
        <v>714</v>
      </c>
      <c r="V140" s="215" t="s">
        <v>720</v>
      </c>
      <c r="W140" s="50" t="s">
        <v>599</v>
      </c>
      <c r="X140" s="41" t="s">
        <v>721</v>
      </c>
      <c r="Y140" s="41">
        <f t="shared" ca="1" si="22"/>
        <v>0</v>
      </c>
      <c r="AA140" s="41">
        <f t="shared" ca="1" si="21"/>
        <v>0</v>
      </c>
      <c r="AB140" s="41">
        <v>140</v>
      </c>
    </row>
    <row r="141" spans="21:31" ht="21" customHeight="1">
      <c r="U141" s="40" t="s">
        <v>714</v>
      </c>
      <c r="V141" s="41" t="s">
        <v>462</v>
      </c>
      <c r="W141" s="50" t="s">
        <v>568</v>
      </c>
      <c r="X141" s="41" t="s">
        <v>722</v>
      </c>
      <c r="Y141" s="41">
        <f t="shared" ca="1" si="22"/>
        <v>0</v>
      </c>
      <c r="AA141" s="41">
        <f t="shared" ca="1" si="21"/>
        <v>0</v>
      </c>
      <c r="AB141" s="41">
        <v>141</v>
      </c>
    </row>
    <row r="142" spans="21:31" ht="21" customHeight="1">
      <c r="U142" s="40" t="s">
        <v>714</v>
      </c>
      <c r="V142" s="41" t="s">
        <v>723</v>
      </c>
      <c r="W142" s="50" t="s">
        <v>568</v>
      </c>
      <c r="X142" s="41" t="s">
        <v>662</v>
      </c>
      <c r="Y142" s="41">
        <f t="shared" ca="1" si="22"/>
        <v>0</v>
      </c>
      <c r="AA142" s="41">
        <f t="shared" ca="1" si="21"/>
        <v>0</v>
      </c>
      <c r="AB142" s="41">
        <v>142</v>
      </c>
    </row>
    <row r="143" spans="21:31" ht="21" customHeight="1">
      <c r="U143" s="40" t="s">
        <v>714</v>
      </c>
      <c r="V143" s="215" t="s">
        <v>724</v>
      </c>
      <c r="W143" s="50" t="s">
        <v>599</v>
      </c>
      <c r="X143" s="41" t="s">
        <v>725</v>
      </c>
      <c r="Y143" s="41">
        <f t="shared" ca="1" si="22"/>
        <v>0</v>
      </c>
      <c r="AA143" s="41">
        <f t="shared" ca="1" si="21"/>
        <v>0</v>
      </c>
      <c r="AB143" s="41">
        <v>143</v>
      </c>
    </row>
    <row r="144" spans="21:31" ht="21" customHeight="1">
      <c r="U144" s="40" t="s">
        <v>711</v>
      </c>
      <c r="V144" s="41" t="s">
        <v>492</v>
      </c>
      <c r="AA144" s="41">
        <f t="shared" ca="1" si="21"/>
        <v>0</v>
      </c>
      <c r="AB144" s="41">
        <v>144</v>
      </c>
    </row>
    <row r="145" spans="22:31" ht="21" customHeight="1">
      <c r="Z145" s="40"/>
      <c r="AA145" s="41">
        <f t="shared" ca="1" si="21"/>
        <v>0</v>
      </c>
      <c r="AB145" s="41">
        <v>145</v>
      </c>
      <c r="AC145" s="40"/>
      <c r="AD145" s="40"/>
      <c r="AE145" s="40"/>
    </row>
    <row r="146" spans="22:31" ht="21" customHeight="1">
      <c r="Z146" s="40"/>
      <c r="AA146" s="41">
        <f t="shared" ca="1" si="21"/>
        <v>0</v>
      </c>
      <c r="AB146" s="41">
        <v>146</v>
      </c>
      <c r="AC146" s="40"/>
      <c r="AD146" s="40"/>
      <c r="AE146" s="40"/>
    </row>
    <row r="147" spans="22:31" ht="21" customHeight="1">
      <c r="Z147" s="40"/>
      <c r="AA147" s="41">
        <f t="shared" ca="1" si="21"/>
        <v>0</v>
      </c>
      <c r="AB147" s="41">
        <v>147</v>
      </c>
      <c r="AC147" s="40"/>
      <c r="AD147" s="40"/>
      <c r="AE147" s="40"/>
    </row>
    <row r="148" spans="22:31" ht="21" customHeight="1">
      <c r="V148" s="40"/>
      <c r="W148" s="40"/>
      <c r="X148" s="40"/>
      <c r="Y148" s="40"/>
      <c r="Z148" s="40"/>
      <c r="AA148" s="41">
        <f t="shared" ca="1" si="21"/>
        <v>0</v>
      </c>
      <c r="AB148" s="41">
        <v>148</v>
      </c>
      <c r="AC148" s="40"/>
      <c r="AD148" s="40"/>
      <c r="AE148" s="40"/>
    </row>
    <row r="149" spans="22:31" ht="21" customHeight="1">
      <c r="V149" s="40"/>
      <c r="W149" s="40"/>
      <c r="X149" s="40"/>
      <c r="Y149" s="40"/>
      <c r="Z149" s="40"/>
      <c r="AA149" s="41">
        <f t="shared" ca="1" si="21"/>
        <v>0</v>
      </c>
      <c r="AB149" s="41">
        <v>149</v>
      </c>
      <c r="AC149" s="40"/>
      <c r="AD149" s="40"/>
      <c r="AE149" s="40"/>
    </row>
    <row r="150" spans="22:31" ht="21" customHeight="1">
      <c r="V150" s="40"/>
      <c r="W150" s="40"/>
      <c r="X150" s="40"/>
      <c r="Y150" s="40"/>
      <c r="Z150" s="40"/>
      <c r="AA150" s="41">
        <f t="shared" ca="1" si="21"/>
        <v>0</v>
      </c>
      <c r="AB150" s="41">
        <v>150</v>
      </c>
      <c r="AC150" s="40"/>
      <c r="AD150" s="40"/>
      <c r="AE150" s="40"/>
    </row>
    <row r="151" spans="22:31" ht="21" customHeight="1">
      <c r="V151" s="40"/>
      <c r="W151" s="40"/>
      <c r="X151" s="40"/>
      <c r="Y151" s="40"/>
      <c r="Z151" s="40"/>
      <c r="AA151" s="41">
        <f t="shared" ca="1" si="21"/>
        <v>0</v>
      </c>
      <c r="AB151" s="41">
        <v>151</v>
      </c>
      <c r="AC151" s="40"/>
      <c r="AD151" s="40"/>
      <c r="AE151" s="40"/>
    </row>
    <row r="152" spans="22:31" ht="21" customHeight="1">
      <c r="V152" s="40"/>
      <c r="W152" s="40"/>
      <c r="X152" s="40"/>
      <c r="Y152" s="40"/>
      <c r="Z152" s="40"/>
      <c r="AA152" s="41">
        <f t="shared" ca="1" si="21"/>
        <v>0</v>
      </c>
      <c r="AB152" s="41">
        <v>152</v>
      </c>
      <c r="AC152" s="40"/>
      <c r="AD152" s="40"/>
      <c r="AE152" s="40"/>
    </row>
    <row r="153" spans="22:31" ht="21" customHeight="1">
      <c r="V153" s="40"/>
      <c r="W153" s="40"/>
      <c r="X153" s="40"/>
      <c r="Y153" s="40"/>
      <c r="Z153" s="40"/>
      <c r="AA153" s="41">
        <f t="shared" ca="1" si="21"/>
        <v>0</v>
      </c>
      <c r="AB153" s="41">
        <v>153</v>
      </c>
      <c r="AC153" s="40"/>
      <c r="AD153" s="40"/>
      <c r="AE153" s="40"/>
    </row>
    <row r="154" spans="22:31" ht="21" customHeight="1">
      <c r="V154" s="40"/>
      <c r="W154" s="40"/>
      <c r="X154" s="40"/>
      <c r="Y154" s="40"/>
      <c r="Z154" s="40"/>
      <c r="AA154" s="41">
        <f t="shared" ca="1" si="21"/>
        <v>0</v>
      </c>
      <c r="AB154" s="41">
        <v>154</v>
      </c>
      <c r="AC154" s="40"/>
      <c r="AD154" s="40"/>
      <c r="AE154" s="40"/>
    </row>
    <row r="155" spans="22:31" ht="21" customHeight="1">
      <c r="V155" s="40"/>
      <c r="W155" s="40"/>
      <c r="X155" s="40"/>
      <c r="Y155" s="40"/>
      <c r="Z155" s="40"/>
      <c r="AA155" s="41">
        <f t="shared" ca="1" si="21"/>
        <v>0</v>
      </c>
      <c r="AB155" s="41">
        <v>155</v>
      </c>
      <c r="AC155" s="40"/>
      <c r="AD155" s="40"/>
      <c r="AE155" s="40"/>
    </row>
    <row r="156" spans="22:31" ht="21" customHeight="1">
      <c r="V156" s="40"/>
      <c r="W156" s="40"/>
      <c r="X156" s="40"/>
      <c r="Y156" s="40"/>
      <c r="Z156" s="40"/>
      <c r="AA156" s="41">
        <f t="shared" ca="1" si="21"/>
        <v>0</v>
      </c>
      <c r="AB156" s="41">
        <v>156</v>
      </c>
      <c r="AC156" s="40"/>
      <c r="AD156" s="40"/>
      <c r="AE156" s="40"/>
    </row>
    <row r="157" spans="22:31" ht="21" customHeight="1">
      <c r="V157" s="40"/>
      <c r="W157" s="40"/>
      <c r="X157" s="40"/>
      <c r="Y157" s="40"/>
      <c r="Z157" s="40"/>
      <c r="AA157" s="41">
        <f t="shared" ca="1" si="21"/>
        <v>0</v>
      </c>
      <c r="AB157" s="41">
        <v>157</v>
      </c>
      <c r="AC157" s="40"/>
      <c r="AD157" s="40"/>
      <c r="AE157" s="40"/>
    </row>
    <row r="158" spans="22:31" ht="21" customHeight="1">
      <c r="V158" s="40"/>
      <c r="W158" s="40"/>
      <c r="X158" s="40"/>
      <c r="Y158" s="40"/>
      <c r="Z158" s="40"/>
      <c r="AA158" s="41">
        <f t="shared" ca="1" si="21"/>
        <v>0</v>
      </c>
      <c r="AB158" s="41">
        <v>158</v>
      </c>
      <c r="AC158" s="40"/>
      <c r="AD158" s="40"/>
      <c r="AE158" s="40"/>
    </row>
    <row r="159" spans="22:31" ht="21" customHeight="1">
      <c r="V159" s="40"/>
      <c r="W159" s="40"/>
      <c r="X159" s="40"/>
      <c r="Y159" s="40"/>
      <c r="Z159" s="40"/>
      <c r="AA159" s="41">
        <f t="shared" ca="1" si="21"/>
        <v>0</v>
      </c>
      <c r="AB159" s="41">
        <v>159</v>
      </c>
      <c r="AC159" s="40"/>
      <c r="AD159" s="40"/>
      <c r="AE159" s="40"/>
    </row>
    <row r="160" spans="22:31" ht="21" customHeight="1">
      <c r="V160" s="40"/>
      <c r="W160" s="40"/>
      <c r="X160" s="40"/>
      <c r="Y160" s="40"/>
      <c r="Z160" s="40"/>
      <c r="AA160" s="41">
        <f t="shared" ca="1" si="21"/>
        <v>0</v>
      </c>
      <c r="AB160" s="41">
        <v>160</v>
      </c>
      <c r="AC160" s="40"/>
      <c r="AD160" s="40"/>
      <c r="AE160" s="40"/>
    </row>
    <row r="161" spans="22:31" ht="21" customHeight="1">
      <c r="V161" s="40"/>
      <c r="W161" s="40"/>
      <c r="X161" s="40"/>
      <c r="Y161" s="40"/>
      <c r="Z161" s="40"/>
      <c r="AA161" s="41">
        <f t="shared" ca="1" si="21"/>
        <v>0</v>
      </c>
      <c r="AB161" s="41">
        <v>161</v>
      </c>
      <c r="AC161" s="40"/>
      <c r="AD161" s="40"/>
      <c r="AE161" s="40"/>
    </row>
    <row r="162" spans="22:31" ht="21" customHeight="1">
      <c r="V162" s="40"/>
      <c r="W162" s="40"/>
      <c r="X162" s="40"/>
      <c r="Y162" s="40"/>
      <c r="Z162" s="40"/>
      <c r="AA162" s="41">
        <f t="shared" ca="1" si="21"/>
        <v>0</v>
      </c>
      <c r="AB162" s="41">
        <v>162</v>
      </c>
      <c r="AC162" s="40"/>
      <c r="AD162" s="40"/>
      <c r="AE162" s="40"/>
    </row>
    <row r="163" spans="22:31" ht="21" customHeight="1">
      <c r="V163" s="40"/>
      <c r="W163" s="40"/>
      <c r="X163" s="40"/>
      <c r="Y163" s="40"/>
      <c r="Z163" s="40"/>
      <c r="AA163" s="41">
        <f t="shared" ca="1" si="21"/>
        <v>0</v>
      </c>
      <c r="AB163" s="41">
        <v>163</v>
      </c>
      <c r="AC163" s="40"/>
      <c r="AD163" s="40"/>
      <c r="AE163" s="40"/>
    </row>
    <row r="164" spans="22:31" ht="21" customHeight="1">
      <c r="V164" s="40"/>
      <c r="W164" s="40"/>
      <c r="X164" s="40"/>
      <c r="Y164" s="40"/>
      <c r="Z164" s="40"/>
      <c r="AA164" s="41">
        <f t="shared" ca="1" si="21"/>
        <v>0</v>
      </c>
      <c r="AB164" s="41">
        <v>164</v>
      </c>
      <c r="AC164" s="40"/>
      <c r="AD164" s="40"/>
      <c r="AE164" s="40"/>
    </row>
    <row r="165" spans="22:31" ht="21" customHeight="1">
      <c r="V165" s="40"/>
      <c r="W165" s="40"/>
      <c r="X165" s="40"/>
      <c r="Y165" s="40"/>
      <c r="Z165" s="40"/>
      <c r="AA165" s="41">
        <f t="shared" ca="1" si="21"/>
        <v>0</v>
      </c>
      <c r="AB165" s="41">
        <v>165</v>
      </c>
      <c r="AC165" s="40"/>
      <c r="AD165" s="40"/>
      <c r="AE165" s="40"/>
    </row>
    <row r="166" spans="22:31" ht="21" customHeight="1">
      <c r="V166" s="40"/>
      <c r="W166" s="40"/>
      <c r="X166" s="40"/>
      <c r="Y166" s="40"/>
      <c r="Z166" s="40"/>
      <c r="AA166" s="41">
        <f t="shared" ca="1" si="21"/>
        <v>0</v>
      </c>
      <c r="AB166" s="41">
        <v>166</v>
      </c>
      <c r="AC166" s="40"/>
      <c r="AD166" s="40"/>
      <c r="AE166" s="40"/>
    </row>
    <row r="167" spans="22:31" ht="21" customHeight="1">
      <c r="V167" s="40"/>
      <c r="W167" s="40"/>
      <c r="X167" s="40"/>
      <c r="Y167" s="40"/>
      <c r="Z167" s="40"/>
      <c r="AA167" s="41">
        <f t="shared" ca="1" si="21"/>
        <v>0</v>
      </c>
      <c r="AB167" s="41">
        <v>167</v>
      </c>
      <c r="AC167" s="40"/>
      <c r="AD167" s="40"/>
      <c r="AE167" s="40"/>
    </row>
    <row r="168" spans="22:31" ht="21" customHeight="1">
      <c r="V168" s="40"/>
      <c r="W168" s="40"/>
      <c r="X168" s="40"/>
      <c r="Y168" s="40"/>
      <c r="Z168" s="40"/>
      <c r="AA168" s="41">
        <f t="shared" ca="1" si="21"/>
        <v>0</v>
      </c>
      <c r="AB168" s="41">
        <v>168</v>
      </c>
      <c r="AC168" s="40"/>
      <c r="AD168" s="40"/>
      <c r="AE168" s="40"/>
    </row>
    <row r="169" spans="22:31" ht="21" customHeight="1">
      <c r="V169" s="40"/>
      <c r="W169" s="40"/>
      <c r="X169" s="40"/>
      <c r="Y169" s="40"/>
      <c r="Z169" s="40"/>
      <c r="AA169" s="41">
        <f t="shared" ca="1" si="21"/>
        <v>0</v>
      </c>
      <c r="AB169" s="41">
        <v>169</v>
      </c>
      <c r="AC169" s="40"/>
      <c r="AD169" s="40"/>
      <c r="AE169" s="40"/>
    </row>
    <row r="170" spans="22:31" ht="21" customHeight="1">
      <c r="V170" s="40"/>
      <c r="W170" s="40"/>
      <c r="X170" s="40"/>
      <c r="Y170" s="40"/>
      <c r="Z170" s="40"/>
      <c r="AA170" s="41">
        <f t="shared" ca="1" si="21"/>
        <v>0</v>
      </c>
      <c r="AB170" s="41">
        <v>170</v>
      </c>
      <c r="AC170" s="40"/>
      <c r="AD170" s="40"/>
      <c r="AE170" s="40"/>
    </row>
    <row r="171" spans="22:31" ht="21" customHeight="1">
      <c r="V171" s="40"/>
      <c r="W171" s="40"/>
      <c r="X171" s="40"/>
      <c r="Y171" s="40"/>
      <c r="Z171" s="40"/>
      <c r="AA171" s="41">
        <f t="shared" ca="1" si="21"/>
        <v>0</v>
      </c>
      <c r="AB171" s="41">
        <v>171</v>
      </c>
      <c r="AC171" s="40"/>
      <c r="AD171" s="40"/>
      <c r="AE171" s="40"/>
    </row>
    <row r="172" spans="22:31" ht="21" customHeight="1">
      <c r="V172" s="40"/>
      <c r="W172" s="40"/>
      <c r="X172" s="40"/>
      <c r="Y172" s="40"/>
      <c r="Z172" s="40"/>
      <c r="AA172" s="41">
        <f t="shared" ca="1" si="21"/>
        <v>0</v>
      </c>
      <c r="AB172" s="41">
        <v>172</v>
      </c>
      <c r="AC172" s="40"/>
      <c r="AD172" s="40"/>
      <c r="AE172" s="40"/>
    </row>
    <row r="173" spans="22:31" ht="21" customHeight="1">
      <c r="V173" s="40"/>
      <c r="W173" s="40"/>
      <c r="X173" s="40"/>
      <c r="Y173" s="40"/>
      <c r="Z173" s="40"/>
      <c r="AA173" s="41">
        <f t="shared" ca="1" si="21"/>
        <v>0</v>
      </c>
      <c r="AB173" s="41">
        <v>173</v>
      </c>
      <c r="AC173" s="40"/>
      <c r="AD173" s="40"/>
      <c r="AE173" s="40"/>
    </row>
    <row r="174" spans="22:31" ht="21" customHeight="1">
      <c r="V174" s="40"/>
      <c r="W174" s="40"/>
      <c r="X174" s="40"/>
      <c r="Y174" s="40"/>
      <c r="Z174" s="40"/>
      <c r="AA174" s="41">
        <f t="shared" ca="1" si="21"/>
        <v>0</v>
      </c>
      <c r="AB174" s="41">
        <v>174</v>
      </c>
      <c r="AC174" s="40"/>
      <c r="AD174" s="40"/>
      <c r="AE174" s="40"/>
    </row>
    <row r="175" spans="22:31" ht="21" customHeight="1">
      <c r="V175" s="40"/>
      <c r="W175" s="40"/>
      <c r="X175" s="40"/>
      <c r="Y175" s="40"/>
      <c r="Z175" s="40"/>
      <c r="AA175" s="41">
        <f t="shared" ca="1" si="21"/>
        <v>0</v>
      </c>
      <c r="AB175" s="41">
        <v>175</v>
      </c>
      <c r="AC175" s="40"/>
      <c r="AD175" s="40"/>
      <c r="AE175" s="40"/>
    </row>
    <row r="176" spans="22:31" ht="21" customHeight="1">
      <c r="V176" s="40"/>
      <c r="W176" s="40"/>
      <c r="X176" s="40"/>
      <c r="Y176" s="40"/>
      <c r="Z176" s="40"/>
      <c r="AA176" s="41">
        <f t="shared" ca="1" si="21"/>
        <v>0</v>
      </c>
      <c r="AB176" s="41">
        <v>176</v>
      </c>
      <c r="AC176" s="40"/>
      <c r="AD176" s="40"/>
      <c r="AE176" s="40"/>
    </row>
    <row r="177" spans="22:31" ht="21" customHeight="1">
      <c r="V177" s="40"/>
      <c r="W177" s="40"/>
      <c r="X177" s="40"/>
      <c r="Y177" s="40"/>
      <c r="Z177" s="40"/>
      <c r="AA177" s="41">
        <f t="shared" ca="1" si="21"/>
        <v>0</v>
      </c>
      <c r="AB177" s="41">
        <v>177</v>
      </c>
      <c r="AC177" s="40"/>
      <c r="AD177" s="40"/>
      <c r="AE177" s="40"/>
    </row>
    <row r="178" spans="22:31" ht="21" customHeight="1">
      <c r="V178" s="40"/>
      <c r="W178" s="40"/>
      <c r="X178" s="40"/>
      <c r="Y178" s="40"/>
      <c r="Z178" s="40"/>
      <c r="AA178" s="41">
        <f t="shared" ca="1" si="21"/>
        <v>0</v>
      </c>
      <c r="AB178" s="41">
        <v>178</v>
      </c>
      <c r="AC178" s="40"/>
      <c r="AD178" s="40"/>
      <c r="AE178" s="40"/>
    </row>
    <row r="179" spans="22:31" ht="21" customHeight="1">
      <c r="V179" s="40"/>
      <c r="W179" s="40"/>
      <c r="X179" s="40"/>
      <c r="Y179" s="40"/>
      <c r="Z179" s="40"/>
      <c r="AA179" s="41">
        <f t="shared" ca="1" si="21"/>
        <v>0</v>
      </c>
      <c r="AB179" s="41">
        <v>179</v>
      </c>
      <c r="AC179" s="40"/>
      <c r="AD179" s="40"/>
      <c r="AE179" s="40"/>
    </row>
    <row r="180" spans="22:31" ht="21" customHeight="1">
      <c r="V180" s="40"/>
      <c r="W180" s="40"/>
      <c r="X180" s="40"/>
      <c r="Y180" s="40"/>
      <c r="Z180" s="40"/>
      <c r="AA180" s="41">
        <f t="shared" ca="1" si="21"/>
        <v>0</v>
      </c>
      <c r="AB180" s="41">
        <v>180</v>
      </c>
      <c r="AC180" s="40"/>
      <c r="AD180" s="40"/>
      <c r="AE180" s="40"/>
    </row>
    <row r="181" spans="22:31" ht="21" customHeight="1">
      <c r="V181" s="40"/>
      <c r="W181" s="40"/>
      <c r="X181" s="40"/>
      <c r="Y181" s="40"/>
      <c r="Z181" s="40"/>
      <c r="AA181" s="41">
        <f t="shared" ca="1" si="21"/>
        <v>0</v>
      </c>
      <c r="AB181" s="41">
        <v>181</v>
      </c>
      <c r="AC181" s="40"/>
      <c r="AD181" s="40"/>
      <c r="AE181" s="40"/>
    </row>
    <row r="182" spans="22:31" ht="21" customHeight="1">
      <c r="V182" s="40"/>
      <c r="W182" s="40"/>
      <c r="X182" s="40"/>
      <c r="Y182" s="40"/>
      <c r="Z182" s="40"/>
      <c r="AA182" s="41">
        <f t="shared" ca="1" si="21"/>
        <v>0</v>
      </c>
      <c r="AB182" s="41">
        <v>182</v>
      </c>
      <c r="AC182" s="40"/>
      <c r="AD182" s="40"/>
      <c r="AE182" s="40"/>
    </row>
    <row r="183" spans="22:31" ht="21" customHeight="1">
      <c r="V183" s="40"/>
      <c r="W183" s="40"/>
      <c r="X183" s="40"/>
      <c r="Y183" s="40"/>
      <c r="Z183" s="40"/>
      <c r="AA183" s="41">
        <f t="shared" ca="1" si="21"/>
        <v>0</v>
      </c>
      <c r="AB183" s="41">
        <v>183</v>
      </c>
      <c r="AC183" s="40"/>
      <c r="AD183" s="40"/>
      <c r="AE183" s="40"/>
    </row>
    <row r="184" spans="22:31" ht="21" customHeight="1">
      <c r="V184" s="40"/>
      <c r="W184" s="40"/>
      <c r="X184" s="40"/>
      <c r="Y184" s="40"/>
      <c r="Z184" s="40"/>
      <c r="AA184" s="41">
        <f t="shared" ca="1" si="21"/>
        <v>0</v>
      </c>
      <c r="AB184" s="41">
        <v>184</v>
      </c>
      <c r="AC184" s="40"/>
      <c r="AD184" s="40"/>
      <c r="AE184" s="40"/>
    </row>
    <row r="185" spans="22:31" ht="21" customHeight="1">
      <c r="V185" s="40"/>
      <c r="W185" s="40"/>
      <c r="X185" s="40"/>
      <c r="Y185" s="40"/>
      <c r="Z185" s="40"/>
      <c r="AA185" s="41">
        <f t="shared" ca="1" si="21"/>
        <v>0</v>
      </c>
      <c r="AB185" s="41">
        <v>185</v>
      </c>
      <c r="AC185" s="40"/>
      <c r="AD185" s="40"/>
      <c r="AE185" s="40"/>
    </row>
    <row r="186" spans="22:31" ht="21" customHeight="1">
      <c r="V186" s="40"/>
      <c r="W186" s="40"/>
      <c r="X186" s="40"/>
      <c r="Y186" s="40"/>
      <c r="Z186" s="40"/>
      <c r="AA186" s="41">
        <f t="shared" ca="1" si="21"/>
        <v>0</v>
      </c>
      <c r="AB186" s="41">
        <v>186</v>
      </c>
      <c r="AC186" s="40"/>
      <c r="AD186" s="40"/>
      <c r="AE186" s="40"/>
    </row>
    <row r="187" spans="22:31" ht="21" customHeight="1">
      <c r="V187" s="40"/>
      <c r="W187" s="40"/>
      <c r="X187" s="40"/>
      <c r="Y187" s="40"/>
      <c r="Z187" s="40"/>
      <c r="AA187" s="41">
        <f t="shared" ca="1" si="21"/>
        <v>0</v>
      </c>
      <c r="AB187" s="41">
        <v>187</v>
      </c>
      <c r="AC187" s="40"/>
      <c r="AD187" s="40"/>
      <c r="AE187" s="40"/>
    </row>
    <row r="188" spans="22:31" ht="21" customHeight="1">
      <c r="V188" s="40"/>
      <c r="W188" s="40"/>
      <c r="X188" s="40"/>
      <c r="Y188" s="40"/>
      <c r="Z188" s="40"/>
      <c r="AA188" s="41">
        <f t="shared" ca="1" si="21"/>
        <v>0</v>
      </c>
      <c r="AB188" s="41">
        <v>188</v>
      </c>
      <c r="AC188" s="40"/>
      <c r="AD188" s="40"/>
      <c r="AE188" s="40"/>
    </row>
    <row r="189" spans="22:31" ht="21" customHeight="1">
      <c r="V189" s="40"/>
      <c r="W189" s="40"/>
      <c r="X189" s="40"/>
      <c r="Y189" s="40"/>
      <c r="Z189" s="40"/>
      <c r="AA189" s="41">
        <f t="shared" ca="1" si="21"/>
        <v>0</v>
      </c>
      <c r="AB189" s="41">
        <v>189</v>
      </c>
      <c r="AC189" s="40"/>
      <c r="AD189" s="40"/>
      <c r="AE189" s="40"/>
    </row>
    <row r="190" spans="22:31" ht="21" customHeight="1">
      <c r="V190" s="40"/>
      <c r="W190" s="40"/>
      <c r="X190" s="40"/>
      <c r="Y190" s="40"/>
      <c r="Z190" s="40"/>
      <c r="AA190" s="41">
        <f t="shared" ca="1" si="21"/>
        <v>0</v>
      </c>
      <c r="AB190" s="41">
        <v>190</v>
      </c>
      <c r="AC190" s="40"/>
      <c r="AD190" s="40"/>
      <c r="AE190" s="40"/>
    </row>
    <row r="191" spans="22:31" ht="21" customHeight="1">
      <c r="V191" s="40"/>
      <c r="W191" s="40"/>
      <c r="X191" s="40"/>
      <c r="Y191" s="40"/>
      <c r="Z191" s="40"/>
      <c r="AA191" s="41">
        <f t="shared" ca="1" si="21"/>
        <v>0</v>
      </c>
      <c r="AB191" s="41">
        <v>191</v>
      </c>
      <c r="AC191" s="40"/>
      <c r="AD191" s="40"/>
      <c r="AE191" s="40"/>
    </row>
    <row r="192" spans="22:31" ht="21" customHeight="1">
      <c r="V192" s="40"/>
      <c r="W192" s="40"/>
      <c r="X192" s="40"/>
      <c r="Y192" s="40"/>
      <c r="Z192" s="40"/>
      <c r="AA192" s="41">
        <f t="shared" ca="1" si="21"/>
        <v>0</v>
      </c>
      <c r="AB192" s="41">
        <v>192</v>
      </c>
      <c r="AC192" s="40"/>
      <c r="AD192" s="40"/>
      <c r="AE192" s="40"/>
    </row>
    <row r="193" spans="22:31" ht="21" customHeight="1">
      <c r="V193" s="40"/>
      <c r="W193" s="40"/>
      <c r="X193" s="40"/>
      <c r="Y193" s="40"/>
      <c r="Z193" s="40"/>
      <c r="AA193" s="41">
        <f t="shared" ca="1" si="21"/>
        <v>0</v>
      </c>
      <c r="AB193" s="41">
        <v>193</v>
      </c>
      <c r="AC193" s="40"/>
      <c r="AD193" s="40"/>
      <c r="AE193" s="40"/>
    </row>
    <row r="194" spans="22:31" ht="21" customHeight="1">
      <c r="V194" s="40"/>
      <c r="W194" s="40"/>
      <c r="X194" s="40"/>
      <c r="Y194" s="40"/>
      <c r="Z194" s="40"/>
      <c r="AA194" s="41">
        <f t="shared" ca="1" si="21"/>
        <v>0</v>
      </c>
      <c r="AB194" s="41">
        <v>194</v>
      </c>
      <c r="AC194" s="40"/>
      <c r="AD194" s="40"/>
      <c r="AE194" s="40"/>
    </row>
    <row r="195" spans="22:31" ht="21" customHeight="1">
      <c r="V195" s="40"/>
      <c r="W195" s="40"/>
      <c r="X195" s="40"/>
      <c r="Y195" s="40"/>
      <c r="Z195" s="40"/>
      <c r="AA195" s="41">
        <f t="shared" ca="1" si="21"/>
        <v>0</v>
      </c>
      <c r="AB195" s="41">
        <v>195</v>
      </c>
      <c r="AC195" s="40"/>
      <c r="AD195" s="40"/>
      <c r="AE195" s="40"/>
    </row>
    <row r="196" spans="22:31" ht="21" customHeight="1">
      <c r="V196" s="40"/>
      <c r="W196" s="40"/>
      <c r="X196" s="40"/>
      <c r="Y196" s="40"/>
      <c r="Z196" s="40"/>
      <c r="AA196" s="41">
        <f t="shared" ca="1" si="21"/>
        <v>0</v>
      </c>
      <c r="AB196" s="41">
        <v>196</v>
      </c>
      <c r="AC196" s="40"/>
      <c r="AD196" s="40"/>
      <c r="AE196" s="40"/>
    </row>
    <row r="197" spans="22:31" ht="21" customHeight="1">
      <c r="V197" s="40"/>
      <c r="W197" s="40"/>
      <c r="X197" s="40"/>
      <c r="Y197" s="40"/>
      <c r="Z197" s="40"/>
      <c r="AA197" s="41">
        <f t="shared" ref="AA197:AA260" ca="1" si="23">INDIRECT($W$6&amp;"!"&amp;"B"&amp;ROW(B197))</f>
        <v>0</v>
      </c>
      <c r="AB197" s="41">
        <v>197</v>
      </c>
      <c r="AC197" s="40"/>
      <c r="AD197" s="40"/>
      <c r="AE197" s="40"/>
    </row>
    <row r="198" spans="22:31" ht="21" customHeight="1">
      <c r="V198" s="40"/>
      <c r="W198" s="40"/>
      <c r="X198" s="40"/>
      <c r="Y198" s="40"/>
      <c r="Z198" s="40"/>
      <c r="AA198" s="41">
        <f t="shared" ca="1" si="23"/>
        <v>0</v>
      </c>
      <c r="AB198" s="41">
        <v>198</v>
      </c>
      <c r="AC198" s="40"/>
      <c r="AD198" s="40"/>
      <c r="AE198" s="40"/>
    </row>
    <row r="199" spans="22:31" ht="21" customHeight="1">
      <c r="V199" s="40"/>
      <c r="W199" s="40"/>
      <c r="X199" s="40"/>
      <c r="Y199" s="40"/>
      <c r="Z199" s="40"/>
      <c r="AA199" s="41">
        <f t="shared" ca="1" si="23"/>
        <v>0</v>
      </c>
      <c r="AB199" s="41">
        <v>199</v>
      </c>
      <c r="AC199" s="40"/>
      <c r="AD199" s="40"/>
      <c r="AE199" s="40"/>
    </row>
    <row r="200" spans="22:31" ht="21" customHeight="1">
      <c r="V200" s="40"/>
      <c r="W200" s="40"/>
      <c r="X200" s="40"/>
      <c r="Y200" s="40"/>
      <c r="Z200" s="40"/>
      <c r="AA200" s="41">
        <f t="shared" ca="1" si="23"/>
        <v>0</v>
      </c>
      <c r="AB200" s="41">
        <v>200</v>
      </c>
      <c r="AC200" s="40"/>
      <c r="AD200" s="40"/>
      <c r="AE200" s="40"/>
    </row>
    <row r="201" spans="22:31" ht="21" customHeight="1">
      <c r="V201" s="40"/>
      <c r="W201" s="40"/>
      <c r="X201" s="40"/>
      <c r="Y201" s="40"/>
      <c r="Z201" s="40"/>
      <c r="AA201" s="41">
        <f t="shared" ca="1" si="23"/>
        <v>0</v>
      </c>
      <c r="AB201" s="41">
        <v>201</v>
      </c>
      <c r="AC201" s="40"/>
      <c r="AD201" s="40"/>
      <c r="AE201" s="40"/>
    </row>
    <row r="202" spans="22:31" ht="21" customHeight="1">
      <c r="V202" s="40"/>
      <c r="W202" s="40"/>
      <c r="X202" s="40"/>
      <c r="Y202" s="40"/>
      <c r="Z202" s="40"/>
      <c r="AA202" s="41">
        <f t="shared" ca="1" si="23"/>
        <v>0</v>
      </c>
      <c r="AB202" s="41">
        <v>202</v>
      </c>
      <c r="AC202" s="40"/>
      <c r="AD202" s="40"/>
      <c r="AE202" s="40"/>
    </row>
    <row r="203" spans="22:31" ht="21" customHeight="1">
      <c r="V203" s="40"/>
      <c r="W203" s="40"/>
      <c r="X203" s="40"/>
      <c r="Y203" s="40"/>
      <c r="Z203" s="40"/>
      <c r="AA203" s="41">
        <f t="shared" ca="1" si="23"/>
        <v>0</v>
      </c>
      <c r="AB203" s="41">
        <v>203</v>
      </c>
      <c r="AC203" s="40"/>
      <c r="AD203" s="40"/>
      <c r="AE203" s="40"/>
    </row>
    <row r="204" spans="22:31" ht="21" customHeight="1">
      <c r="V204" s="40"/>
      <c r="W204" s="40"/>
      <c r="X204" s="40"/>
      <c r="Y204" s="40"/>
      <c r="Z204" s="40"/>
      <c r="AA204" s="41">
        <f t="shared" ca="1" si="23"/>
        <v>0</v>
      </c>
      <c r="AB204" s="41">
        <v>204</v>
      </c>
      <c r="AC204" s="40"/>
      <c r="AD204" s="40"/>
      <c r="AE204" s="40"/>
    </row>
    <row r="205" spans="22:31" ht="21" customHeight="1">
      <c r="V205" s="40"/>
      <c r="W205" s="40"/>
      <c r="X205" s="40"/>
      <c r="Y205" s="40"/>
      <c r="Z205" s="40"/>
      <c r="AA205" s="41">
        <f t="shared" ca="1" si="23"/>
        <v>0</v>
      </c>
      <c r="AB205" s="41">
        <v>205</v>
      </c>
      <c r="AC205" s="40"/>
      <c r="AD205" s="40"/>
      <c r="AE205" s="40"/>
    </row>
    <row r="206" spans="22:31" ht="21" customHeight="1">
      <c r="V206" s="40"/>
      <c r="W206" s="40"/>
      <c r="X206" s="40"/>
      <c r="Y206" s="40"/>
      <c r="Z206" s="40"/>
      <c r="AA206" s="41">
        <f t="shared" ca="1" si="23"/>
        <v>0</v>
      </c>
      <c r="AB206" s="41">
        <v>206</v>
      </c>
      <c r="AC206" s="40"/>
      <c r="AD206" s="40"/>
      <c r="AE206" s="40"/>
    </row>
    <row r="207" spans="22:31" ht="21" customHeight="1">
      <c r="V207" s="40"/>
      <c r="W207" s="40"/>
      <c r="X207" s="40"/>
      <c r="Y207" s="40"/>
      <c r="Z207" s="40"/>
      <c r="AA207" s="41">
        <f t="shared" ca="1" si="23"/>
        <v>0</v>
      </c>
      <c r="AB207" s="41">
        <v>207</v>
      </c>
      <c r="AC207" s="40"/>
      <c r="AD207" s="40"/>
      <c r="AE207" s="40"/>
    </row>
    <row r="208" spans="22:31" ht="21" customHeight="1">
      <c r="V208" s="40"/>
      <c r="W208" s="40"/>
      <c r="X208" s="40"/>
      <c r="Y208" s="40"/>
      <c r="Z208" s="40"/>
      <c r="AA208" s="41">
        <f t="shared" ca="1" si="23"/>
        <v>0</v>
      </c>
      <c r="AB208" s="41">
        <v>208</v>
      </c>
      <c r="AC208" s="40"/>
      <c r="AD208" s="40"/>
      <c r="AE208" s="40"/>
    </row>
    <row r="209" spans="22:31" ht="21" customHeight="1">
      <c r="V209" s="40"/>
      <c r="W209" s="40"/>
      <c r="X209" s="40"/>
      <c r="Y209" s="40"/>
      <c r="Z209" s="40"/>
      <c r="AA209" s="41">
        <f t="shared" ca="1" si="23"/>
        <v>0</v>
      </c>
      <c r="AB209" s="41">
        <v>209</v>
      </c>
      <c r="AC209" s="40"/>
      <c r="AD209" s="40"/>
      <c r="AE209" s="40"/>
    </row>
    <row r="210" spans="22:31" ht="21" customHeight="1">
      <c r="V210" s="40"/>
      <c r="W210" s="40"/>
      <c r="X210" s="40"/>
      <c r="Y210" s="40"/>
      <c r="Z210" s="40"/>
      <c r="AA210" s="41">
        <f t="shared" ca="1" si="23"/>
        <v>0</v>
      </c>
      <c r="AB210" s="41">
        <v>210</v>
      </c>
      <c r="AC210" s="40"/>
      <c r="AD210" s="40"/>
      <c r="AE210" s="40"/>
    </row>
    <row r="211" spans="22:31" ht="21" customHeight="1">
      <c r="V211" s="40"/>
      <c r="W211" s="40"/>
      <c r="X211" s="40"/>
      <c r="Y211" s="40"/>
      <c r="Z211" s="40"/>
      <c r="AA211" s="41">
        <f t="shared" ca="1" si="23"/>
        <v>0</v>
      </c>
      <c r="AB211" s="41">
        <v>211</v>
      </c>
      <c r="AC211" s="40"/>
      <c r="AD211" s="40"/>
      <c r="AE211" s="40"/>
    </row>
    <row r="212" spans="22:31" ht="21" customHeight="1">
      <c r="V212" s="40"/>
      <c r="W212" s="40"/>
      <c r="X212" s="40"/>
      <c r="Y212" s="40"/>
      <c r="Z212" s="40"/>
      <c r="AA212" s="41">
        <f t="shared" ca="1" si="23"/>
        <v>0</v>
      </c>
      <c r="AB212" s="41">
        <v>212</v>
      </c>
      <c r="AC212" s="40"/>
      <c r="AD212" s="40"/>
      <c r="AE212" s="40"/>
    </row>
    <row r="213" spans="22:31" ht="21" customHeight="1">
      <c r="V213" s="40"/>
      <c r="W213" s="40"/>
      <c r="X213" s="40"/>
      <c r="Y213" s="40"/>
      <c r="Z213" s="40"/>
      <c r="AA213" s="41">
        <f t="shared" ca="1" si="23"/>
        <v>0</v>
      </c>
      <c r="AB213" s="41">
        <v>213</v>
      </c>
      <c r="AC213" s="40"/>
      <c r="AD213" s="40"/>
      <c r="AE213" s="40"/>
    </row>
    <row r="214" spans="22:31" ht="21" customHeight="1">
      <c r="V214" s="40"/>
      <c r="W214" s="40"/>
      <c r="X214" s="40"/>
      <c r="Y214" s="40"/>
      <c r="Z214" s="40"/>
      <c r="AA214" s="41">
        <f t="shared" ca="1" si="23"/>
        <v>0</v>
      </c>
      <c r="AB214" s="41">
        <v>214</v>
      </c>
      <c r="AC214" s="40"/>
      <c r="AD214" s="40"/>
      <c r="AE214" s="40"/>
    </row>
    <row r="215" spans="22:31" ht="21" customHeight="1">
      <c r="V215" s="40"/>
      <c r="W215" s="40"/>
      <c r="X215" s="40"/>
      <c r="Y215" s="40"/>
      <c r="Z215" s="40"/>
      <c r="AA215" s="41">
        <f t="shared" ca="1" si="23"/>
        <v>0</v>
      </c>
      <c r="AB215" s="41">
        <v>215</v>
      </c>
      <c r="AC215" s="40"/>
      <c r="AD215" s="40"/>
      <c r="AE215" s="40"/>
    </row>
    <row r="216" spans="22:31" ht="21" customHeight="1">
      <c r="V216" s="40"/>
      <c r="W216" s="40"/>
      <c r="X216" s="40"/>
      <c r="Y216" s="40"/>
      <c r="Z216" s="40"/>
      <c r="AA216" s="41">
        <f t="shared" ca="1" si="23"/>
        <v>0</v>
      </c>
      <c r="AB216" s="41">
        <v>216</v>
      </c>
      <c r="AC216" s="40"/>
      <c r="AD216" s="40"/>
      <c r="AE216" s="40"/>
    </row>
    <row r="217" spans="22:31" ht="21" customHeight="1">
      <c r="V217" s="40"/>
      <c r="W217" s="40"/>
      <c r="X217" s="40"/>
      <c r="Y217" s="40"/>
      <c r="Z217" s="40"/>
      <c r="AA217" s="41">
        <f t="shared" ca="1" si="23"/>
        <v>0</v>
      </c>
      <c r="AB217" s="41">
        <v>217</v>
      </c>
      <c r="AC217" s="40"/>
      <c r="AD217" s="40"/>
      <c r="AE217" s="40"/>
    </row>
    <row r="218" spans="22:31" ht="21" customHeight="1">
      <c r="V218" s="40"/>
      <c r="W218" s="40"/>
      <c r="X218" s="40"/>
      <c r="Y218" s="40"/>
      <c r="Z218" s="40"/>
      <c r="AA218" s="41">
        <f t="shared" ca="1" si="23"/>
        <v>0</v>
      </c>
      <c r="AB218" s="41">
        <v>218</v>
      </c>
      <c r="AC218" s="40"/>
      <c r="AD218" s="40"/>
      <c r="AE218" s="40"/>
    </row>
    <row r="219" spans="22:31" ht="21" customHeight="1">
      <c r="V219" s="40"/>
      <c r="W219" s="40"/>
      <c r="X219" s="40"/>
      <c r="Y219" s="40"/>
      <c r="Z219" s="40"/>
      <c r="AA219" s="41">
        <f t="shared" ca="1" si="23"/>
        <v>0</v>
      </c>
      <c r="AB219" s="41">
        <v>219</v>
      </c>
      <c r="AC219" s="40"/>
      <c r="AD219" s="40"/>
      <c r="AE219" s="40"/>
    </row>
    <row r="220" spans="22:31" ht="21" customHeight="1">
      <c r="V220" s="40"/>
      <c r="W220" s="40"/>
      <c r="X220" s="40"/>
      <c r="Y220" s="40"/>
      <c r="Z220" s="40"/>
      <c r="AA220" s="41">
        <f t="shared" ca="1" si="23"/>
        <v>0</v>
      </c>
      <c r="AB220" s="41">
        <v>220</v>
      </c>
      <c r="AC220" s="40"/>
      <c r="AD220" s="40"/>
      <c r="AE220" s="40"/>
    </row>
    <row r="221" spans="22:31" ht="21" customHeight="1">
      <c r="V221" s="40"/>
      <c r="W221" s="40"/>
      <c r="X221" s="40"/>
      <c r="Y221" s="40"/>
      <c r="Z221" s="40"/>
      <c r="AA221" s="41">
        <f t="shared" ca="1" si="23"/>
        <v>0</v>
      </c>
      <c r="AB221" s="41">
        <v>221</v>
      </c>
      <c r="AC221" s="40"/>
      <c r="AD221" s="40"/>
      <c r="AE221" s="40"/>
    </row>
    <row r="222" spans="22:31" ht="21" customHeight="1">
      <c r="V222" s="40"/>
      <c r="W222" s="40"/>
      <c r="X222" s="40"/>
      <c r="Y222" s="40"/>
      <c r="Z222" s="40"/>
      <c r="AA222" s="41">
        <f t="shared" ca="1" si="23"/>
        <v>0</v>
      </c>
      <c r="AB222" s="41">
        <v>222</v>
      </c>
      <c r="AC222" s="40"/>
      <c r="AD222" s="40"/>
      <c r="AE222" s="40"/>
    </row>
    <row r="223" spans="22:31" ht="21" customHeight="1">
      <c r="V223" s="40"/>
      <c r="W223" s="40"/>
      <c r="X223" s="40"/>
      <c r="Y223" s="40"/>
      <c r="Z223" s="40"/>
      <c r="AA223" s="41">
        <f t="shared" ca="1" si="23"/>
        <v>0</v>
      </c>
      <c r="AB223" s="41">
        <v>223</v>
      </c>
      <c r="AC223" s="40"/>
      <c r="AD223" s="40"/>
      <c r="AE223" s="40"/>
    </row>
    <row r="224" spans="22:31" ht="21" customHeight="1">
      <c r="V224" s="40"/>
      <c r="W224" s="40"/>
      <c r="X224" s="40"/>
      <c r="Y224" s="40"/>
      <c r="Z224" s="40"/>
      <c r="AA224" s="41">
        <f t="shared" ca="1" si="23"/>
        <v>0</v>
      </c>
      <c r="AB224" s="41">
        <v>224</v>
      </c>
      <c r="AC224" s="40"/>
      <c r="AD224" s="40"/>
      <c r="AE224" s="40"/>
    </row>
    <row r="225" spans="22:31" ht="21" customHeight="1">
      <c r="V225" s="40"/>
      <c r="W225" s="40"/>
      <c r="X225" s="40"/>
      <c r="Y225" s="40"/>
      <c r="Z225" s="40"/>
      <c r="AA225" s="41">
        <f t="shared" ca="1" si="23"/>
        <v>0</v>
      </c>
      <c r="AB225" s="41">
        <v>225</v>
      </c>
      <c r="AC225" s="40"/>
      <c r="AD225" s="40"/>
      <c r="AE225" s="40"/>
    </row>
    <row r="226" spans="22:31" ht="21" customHeight="1">
      <c r="V226" s="40"/>
      <c r="W226" s="40"/>
      <c r="X226" s="40"/>
      <c r="Y226" s="40"/>
      <c r="Z226" s="40"/>
      <c r="AA226" s="41">
        <f t="shared" ca="1" si="23"/>
        <v>0</v>
      </c>
      <c r="AB226" s="41">
        <v>226</v>
      </c>
      <c r="AC226" s="40"/>
      <c r="AD226" s="40"/>
      <c r="AE226" s="40"/>
    </row>
    <row r="227" spans="22:31" ht="21" customHeight="1">
      <c r="V227" s="40"/>
      <c r="W227" s="40"/>
      <c r="X227" s="40"/>
      <c r="Y227" s="40"/>
      <c r="Z227" s="40"/>
      <c r="AA227" s="41">
        <f t="shared" ca="1" si="23"/>
        <v>0</v>
      </c>
      <c r="AB227" s="41">
        <v>227</v>
      </c>
      <c r="AC227" s="40"/>
      <c r="AD227" s="40"/>
      <c r="AE227" s="40"/>
    </row>
    <row r="228" spans="22:31" ht="21" customHeight="1">
      <c r="V228" s="40"/>
      <c r="W228" s="40"/>
      <c r="X228" s="40"/>
      <c r="Y228" s="40"/>
      <c r="Z228" s="40"/>
      <c r="AA228" s="41">
        <f t="shared" ca="1" si="23"/>
        <v>0</v>
      </c>
      <c r="AB228" s="41">
        <v>228</v>
      </c>
      <c r="AC228" s="40"/>
      <c r="AD228" s="40"/>
      <c r="AE228" s="40"/>
    </row>
    <row r="229" spans="22:31" ht="21" customHeight="1">
      <c r="V229" s="40"/>
      <c r="W229" s="40"/>
      <c r="X229" s="40"/>
      <c r="Y229" s="40"/>
      <c r="Z229" s="40"/>
      <c r="AA229" s="41">
        <f t="shared" ca="1" si="23"/>
        <v>0</v>
      </c>
      <c r="AB229" s="41">
        <v>229</v>
      </c>
      <c r="AC229" s="40"/>
      <c r="AD229" s="40"/>
      <c r="AE229" s="40"/>
    </row>
    <row r="230" spans="22:31" ht="21" customHeight="1">
      <c r="V230" s="40"/>
      <c r="W230" s="40"/>
      <c r="X230" s="40"/>
      <c r="Y230" s="40"/>
      <c r="Z230" s="40"/>
      <c r="AA230" s="41">
        <f t="shared" ca="1" si="23"/>
        <v>0</v>
      </c>
      <c r="AB230" s="41">
        <v>230</v>
      </c>
      <c r="AC230" s="40"/>
      <c r="AD230" s="40"/>
      <c r="AE230" s="40"/>
    </row>
    <row r="231" spans="22:31" ht="21" customHeight="1">
      <c r="V231" s="40"/>
      <c r="W231" s="40"/>
      <c r="X231" s="40"/>
      <c r="Y231" s="40"/>
      <c r="Z231" s="40"/>
      <c r="AA231" s="41">
        <f t="shared" ca="1" si="23"/>
        <v>0</v>
      </c>
      <c r="AB231" s="41">
        <v>231</v>
      </c>
      <c r="AC231" s="40"/>
      <c r="AD231" s="40"/>
      <c r="AE231" s="40"/>
    </row>
    <row r="232" spans="22:31" ht="21" customHeight="1">
      <c r="V232" s="40"/>
      <c r="W232" s="40"/>
      <c r="X232" s="40"/>
      <c r="Y232" s="40"/>
      <c r="Z232" s="40"/>
      <c r="AA232" s="41">
        <f t="shared" ca="1" si="23"/>
        <v>0</v>
      </c>
      <c r="AB232" s="41">
        <v>232</v>
      </c>
      <c r="AC232" s="40"/>
      <c r="AD232" s="40"/>
      <c r="AE232" s="40"/>
    </row>
    <row r="233" spans="22:31" ht="21" customHeight="1">
      <c r="V233" s="40"/>
      <c r="W233" s="40"/>
      <c r="X233" s="40"/>
      <c r="Y233" s="40"/>
      <c r="Z233" s="40"/>
      <c r="AA233" s="41">
        <f t="shared" ca="1" si="23"/>
        <v>0</v>
      </c>
      <c r="AB233" s="41">
        <v>233</v>
      </c>
      <c r="AC233" s="40"/>
      <c r="AD233" s="40"/>
      <c r="AE233" s="40"/>
    </row>
    <row r="234" spans="22:31" ht="21" customHeight="1">
      <c r="V234" s="40"/>
      <c r="W234" s="40"/>
      <c r="X234" s="40"/>
      <c r="Y234" s="40"/>
      <c r="Z234" s="40"/>
      <c r="AA234" s="41">
        <f t="shared" ca="1" si="23"/>
        <v>0</v>
      </c>
      <c r="AB234" s="41">
        <v>234</v>
      </c>
      <c r="AC234" s="40"/>
      <c r="AD234" s="40"/>
      <c r="AE234" s="40"/>
    </row>
    <row r="235" spans="22:31" ht="21" customHeight="1">
      <c r="V235" s="40"/>
      <c r="W235" s="40"/>
      <c r="X235" s="40"/>
      <c r="Y235" s="40"/>
      <c r="Z235" s="40"/>
      <c r="AA235" s="41">
        <f t="shared" ca="1" si="23"/>
        <v>0</v>
      </c>
      <c r="AB235" s="41">
        <v>235</v>
      </c>
      <c r="AC235" s="40"/>
      <c r="AD235" s="40"/>
      <c r="AE235" s="40"/>
    </row>
    <row r="236" spans="22:31" ht="21" customHeight="1">
      <c r="V236" s="40"/>
      <c r="W236" s="40"/>
      <c r="X236" s="40"/>
      <c r="Y236" s="40"/>
      <c r="Z236" s="40"/>
      <c r="AA236" s="41">
        <f t="shared" ca="1" si="23"/>
        <v>0</v>
      </c>
      <c r="AB236" s="41">
        <v>236</v>
      </c>
      <c r="AC236" s="40"/>
      <c r="AD236" s="40"/>
      <c r="AE236" s="40"/>
    </row>
    <row r="237" spans="22:31" ht="21" customHeight="1">
      <c r="V237" s="40"/>
      <c r="W237" s="40"/>
      <c r="X237" s="40"/>
      <c r="Y237" s="40"/>
      <c r="Z237" s="40"/>
      <c r="AA237" s="41">
        <f t="shared" ca="1" si="23"/>
        <v>0</v>
      </c>
      <c r="AB237" s="41">
        <v>237</v>
      </c>
      <c r="AC237" s="40"/>
      <c r="AD237" s="40"/>
      <c r="AE237" s="40"/>
    </row>
    <row r="238" spans="22:31" ht="21" customHeight="1">
      <c r="V238" s="40"/>
      <c r="W238" s="40"/>
      <c r="X238" s="40"/>
      <c r="Y238" s="40"/>
      <c r="Z238" s="40"/>
      <c r="AA238" s="41">
        <f t="shared" ca="1" si="23"/>
        <v>0</v>
      </c>
      <c r="AB238" s="41">
        <v>238</v>
      </c>
      <c r="AC238" s="40"/>
      <c r="AD238" s="40"/>
      <c r="AE238" s="40"/>
    </row>
    <row r="239" spans="22:31" ht="21" customHeight="1">
      <c r="V239" s="40"/>
      <c r="W239" s="40"/>
      <c r="X239" s="40"/>
      <c r="Y239" s="40"/>
      <c r="Z239" s="40"/>
      <c r="AA239" s="41">
        <f t="shared" ca="1" si="23"/>
        <v>0</v>
      </c>
      <c r="AB239" s="41">
        <v>239</v>
      </c>
      <c r="AC239" s="40"/>
      <c r="AD239" s="40"/>
      <c r="AE239" s="40"/>
    </row>
    <row r="240" spans="22:31" ht="21" customHeight="1">
      <c r="V240" s="40"/>
      <c r="W240" s="40"/>
      <c r="X240" s="40"/>
      <c r="Y240" s="40"/>
      <c r="Z240" s="40"/>
      <c r="AA240" s="41">
        <f t="shared" ca="1" si="23"/>
        <v>0</v>
      </c>
      <c r="AB240" s="41">
        <v>240</v>
      </c>
      <c r="AC240" s="40"/>
      <c r="AD240" s="40"/>
      <c r="AE240" s="40"/>
    </row>
    <row r="241" spans="22:31" ht="21" customHeight="1">
      <c r="V241" s="40"/>
      <c r="W241" s="40"/>
      <c r="X241" s="40"/>
      <c r="Y241" s="40"/>
      <c r="Z241" s="40"/>
      <c r="AA241" s="41">
        <f t="shared" ca="1" si="23"/>
        <v>0</v>
      </c>
      <c r="AB241" s="41">
        <v>241</v>
      </c>
      <c r="AC241" s="40"/>
      <c r="AD241" s="40"/>
      <c r="AE241" s="40"/>
    </row>
    <row r="242" spans="22:31" ht="21" customHeight="1">
      <c r="V242" s="40"/>
      <c r="W242" s="40"/>
      <c r="X242" s="40"/>
      <c r="Y242" s="40"/>
      <c r="Z242" s="40"/>
      <c r="AA242" s="41">
        <f t="shared" ca="1" si="23"/>
        <v>0</v>
      </c>
      <c r="AB242" s="41">
        <v>242</v>
      </c>
      <c r="AC242" s="40"/>
      <c r="AD242" s="40"/>
      <c r="AE242" s="40"/>
    </row>
    <row r="243" spans="22:31" ht="21" customHeight="1">
      <c r="V243" s="40"/>
      <c r="W243" s="40"/>
      <c r="X243" s="40"/>
      <c r="Y243" s="40"/>
      <c r="Z243" s="40"/>
      <c r="AA243" s="41">
        <f t="shared" ca="1" si="23"/>
        <v>0</v>
      </c>
      <c r="AB243" s="41">
        <v>243</v>
      </c>
      <c r="AC243" s="40"/>
      <c r="AD243" s="40"/>
      <c r="AE243" s="40"/>
    </row>
    <row r="244" spans="22:31" ht="21" customHeight="1">
      <c r="V244" s="40"/>
      <c r="W244" s="40"/>
      <c r="X244" s="40"/>
      <c r="Y244" s="40"/>
      <c r="Z244" s="40"/>
      <c r="AA244" s="41">
        <f t="shared" ca="1" si="23"/>
        <v>0</v>
      </c>
      <c r="AB244" s="41">
        <v>244</v>
      </c>
      <c r="AC244" s="40"/>
      <c r="AD244" s="40"/>
      <c r="AE244" s="40"/>
    </row>
    <row r="245" spans="22:31" ht="21" customHeight="1">
      <c r="V245" s="40"/>
      <c r="W245" s="40"/>
      <c r="X245" s="40"/>
      <c r="Y245" s="40"/>
      <c r="Z245" s="40"/>
      <c r="AA245" s="41">
        <f t="shared" ca="1" si="23"/>
        <v>0</v>
      </c>
      <c r="AB245" s="41">
        <v>245</v>
      </c>
      <c r="AC245" s="40"/>
      <c r="AD245" s="40"/>
      <c r="AE245" s="40"/>
    </row>
    <row r="246" spans="22:31" ht="21" customHeight="1">
      <c r="V246" s="40"/>
      <c r="W246" s="40"/>
      <c r="X246" s="40"/>
      <c r="Y246" s="40"/>
      <c r="Z246" s="40"/>
      <c r="AA246" s="41">
        <f t="shared" ca="1" si="23"/>
        <v>0</v>
      </c>
      <c r="AB246" s="41">
        <v>246</v>
      </c>
      <c r="AC246" s="40"/>
      <c r="AD246" s="40"/>
      <c r="AE246" s="40"/>
    </row>
    <row r="247" spans="22:31" ht="21" customHeight="1">
      <c r="V247" s="40"/>
      <c r="W247" s="40"/>
      <c r="X247" s="40"/>
      <c r="Y247" s="40"/>
      <c r="Z247" s="40"/>
      <c r="AA247" s="41">
        <f t="shared" ca="1" si="23"/>
        <v>0</v>
      </c>
      <c r="AB247" s="41">
        <v>247</v>
      </c>
      <c r="AC247" s="40"/>
      <c r="AD247" s="40"/>
      <c r="AE247" s="40"/>
    </row>
    <row r="248" spans="22:31" ht="21" customHeight="1">
      <c r="V248" s="40"/>
      <c r="W248" s="40"/>
      <c r="X248" s="40"/>
      <c r="Y248" s="40"/>
      <c r="Z248" s="40"/>
      <c r="AA248" s="41">
        <f t="shared" ca="1" si="23"/>
        <v>0</v>
      </c>
      <c r="AB248" s="41">
        <v>248</v>
      </c>
      <c r="AC248" s="40"/>
      <c r="AD248" s="40"/>
      <c r="AE248" s="40"/>
    </row>
    <row r="249" spans="22:31" ht="21" customHeight="1">
      <c r="V249" s="40"/>
      <c r="W249" s="40"/>
      <c r="X249" s="40"/>
      <c r="Y249" s="40"/>
      <c r="Z249" s="40"/>
      <c r="AA249" s="41">
        <f t="shared" ca="1" si="23"/>
        <v>0</v>
      </c>
      <c r="AB249" s="41">
        <v>249</v>
      </c>
      <c r="AC249" s="40"/>
      <c r="AD249" s="40"/>
      <c r="AE249" s="40"/>
    </row>
    <row r="250" spans="22:31" ht="21" customHeight="1">
      <c r="V250" s="40"/>
      <c r="W250" s="40"/>
      <c r="X250" s="40"/>
      <c r="Y250" s="40"/>
      <c r="Z250" s="40"/>
      <c r="AA250" s="41">
        <f t="shared" ca="1" si="23"/>
        <v>0</v>
      </c>
      <c r="AB250" s="41">
        <v>250</v>
      </c>
      <c r="AC250" s="40"/>
      <c r="AD250" s="40"/>
      <c r="AE250" s="40"/>
    </row>
    <row r="251" spans="22:31" ht="21" customHeight="1">
      <c r="AA251" s="41">
        <f t="shared" ca="1" si="23"/>
        <v>0</v>
      </c>
      <c r="AB251" s="41">
        <v>251</v>
      </c>
    </row>
    <row r="252" spans="22:31" ht="21" customHeight="1">
      <c r="AA252" s="41">
        <f t="shared" ca="1" si="23"/>
        <v>0</v>
      </c>
      <c r="AB252" s="41">
        <v>252</v>
      </c>
    </row>
    <row r="253" spans="22:31" ht="21" customHeight="1">
      <c r="AA253" s="41">
        <f t="shared" ca="1" si="23"/>
        <v>0</v>
      </c>
      <c r="AB253" s="41">
        <v>253</v>
      </c>
    </row>
    <row r="254" spans="22:31" ht="21" customHeight="1">
      <c r="AA254" s="41">
        <f t="shared" ca="1" si="23"/>
        <v>0</v>
      </c>
      <c r="AB254" s="41">
        <v>254</v>
      </c>
    </row>
    <row r="255" spans="22:31" ht="21" customHeight="1">
      <c r="AA255" s="41">
        <f t="shared" ca="1" si="23"/>
        <v>0</v>
      </c>
      <c r="AB255" s="41">
        <v>255</v>
      </c>
    </row>
    <row r="256" spans="22:31" ht="21" customHeight="1">
      <c r="AA256" s="41">
        <f t="shared" ca="1" si="23"/>
        <v>0</v>
      </c>
      <c r="AB256" s="41">
        <v>256</v>
      </c>
    </row>
    <row r="257" spans="27:28" ht="21" customHeight="1">
      <c r="AA257" s="41">
        <f t="shared" ca="1" si="23"/>
        <v>0</v>
      </c>
      <c r="AB257" s="41">
        <v>257</v>
      </c>
    </row>
    <row r="258" spans="27:28" ht="21" customHeight="1">
      <c r="AA258" s="41">
        <f t="shared" ca="1" si="23"/>
        <v>0</v>
      </c>
      <c r="AB258" s="41">
        <v>258</v>
      </c>
    </row>
    <row r="259" spans="27:28" ht="21" customHeight="1">
      <c r="AA259" s="41">
        <f t="shared" ca="1" si="23"/>
        <v>0</v>
      </c>
      <c r="AB259" s="41">
        <v>259</v>
      </c>
    </row>
    <row r="260" spans="27:28" ht="21" customHeight="1">
      <c r="AA260" s="41">
        <f t="shared" ca="1" si="23"/>
        <v>0</v>
      </c>
      <c r="AB260" s="41">
        <v>260</v>
      </c>
    </row>
    <row r="261" spans="27:28" ht="21" customHeight="1">
      <c r="AA261" s="41">
        <f t="shared" ref="AA261:AA324" ca="1" si="24">INDIRECT($W$6&amp;"!"&amp;"B"&amp;ROW(B261))</f>
        <v>0</v>
      </c>
      <c r="AB261" s="41">
        <v>261</v>
      </c>
    </row>
    <row r="262" spans="27:28" ht="21" customHeight="1">
      <c r="AA262" s="41">
        <f t="shared" ca="1" si="24"/>
        <v>0</v>
      </c>
      <c r="AB262" s="41">
        <v>262</v>
      </c>
    </row>
    <row r="263" spans="27:28" ht="21" customHeight="1">
      <c r="AA263" s="41">
        <f t="shared" ca="1" si="24"/>
        <v>0</v>
      </c>
      <c r="AB263" s="41">
        <v>263</v>
      </c>
    </row>
    <row r="264" spans="27:28" ht="21" customHeight="1">
      <c r="AA264" s="41">
        <f t="shared" ca="1" si="24"/>
        <v>0</v>
      </c>
      <c r="AB264" s="41">
        <v>264</v>
      </c>
    </row>
    <row r="265" spans="27:28" ht="21" customHeight="1">
      <c r="AA265" s="41">
        <f t="shared" ca="1" si="24"/>
        <v>0</v>
      </c>
      <c r="AB265" s="41">
        <v>265</v>
      </c>
    </row>
    <row r="266" spans="27:28" ht="21" customHeight="1">
      <c r="AA266" s="41">
        <f t="shared" ca="1" si="24"/>
        <v>0</v>
      </c>
      <c r="AB266" s="41">
        <v>266</v>
      </c>
    </row>
    <row r="267" spans="27:28" ht="21" customHeight="1">
      <c r="AA267" s="41">
        <f t="shared" ca="1" si="24"/>
        <v>0</v>
      </c>
      <c r="AB267" s="41">
        <v>267</v>
      </c>
    </row>
    <row r="268" spans="27:28" ht="21" customHeight="1">
      <c r="AA268" s="41">
        <f t="shared" ca="1" si="24"/>
        <v>0</v>
      </c>
      <c r="AB268" s="41">
        <v>268</v>
      </c>
    </row>
    <row r="269" spans="27:28" ht="21" customHeight="1">
      <c r="AA269" s="41">
        <f t="shared" ca="1" si="24"/>
        <v>0</v>
      </c>
      <c r="AB269" s="41">
        <v>269</v>
      </c>
    </row>
    <row r="270" spans="27:28" ht="21" customHeight="1">
      <c r="AA270" s="41">
        <f t="shared" ca="1" si="24"/>
        <v>0</v>
      </c>
      <c r="AB270" s="41">
        <v>270</v>
      </c>
    </row>
    <row r="271" spans="27:28" ht="21" customHeight="1">
      <c r="AA271" s="41">
        <f t="shared" ca="1" si="24"/>
        <v>0</v>
      </c>
      <c r="AB271" s="41">
        <v>271</v>
      </c>
    </row>
    <row r="272" spans="27:28" ht="21" customHeight="1">
      <c r="AA272" s="41">
        <f t="shared" ca="1" si="24"/>
        <v>0</v>
      </c>
      <c r="AB272" s="41">
        <v>272</v>
      </c>
    </row>
    <row r="273" spans="27:28" ht="21" customHeight="1">
      <c r="AA273" s="41">
        <f t="shared" ca="1" si="24"/>
        <v>0</v>
      </c>
      <c r="AB273" s="41">
        <v>273</v>
      </c>
    </row>
    <row r="274" spans="27:28" ht="21" customHeight="1">
      <c r="AA274" s="41">
        <f t="shared" ca="1" si="24"/>
        <v>0</v>
      </c>
      <c r="AB274" s="41">
        <v>274</v>
      </c>
    </row>
    <row r="275" spans="27:28" ht="21" customHeight="1">
      <c r="AA275" s="41">
        <f t="shared" ca="1" si="24"/>
        <v>0</v>
      </c>
      <c r="AB275" s="41">
        <v>275</v>
      </c>
    </row>
    <row r="276" spans="27:28" ht="21" customHeight="1">
      <c r="AA276" s="41">
        <f t="shared" ca="1" si="24"/>
        <v>0</v>
      </c>
      <c r="AB276" s="41">
        <v>276</v>
      </c>
    </row>
    <row r="277" spans="27:28" ht="21" customHeight="1">
      <c r="AA277" s="41">
        <f t="shared" ca="1" si="24"/>
        <v>0</v>
      </c>
      <c r="AB277" s="41">
        <v>277</v>
      </c>
    </row>
    <row r="278" spans="27:28" ht="21" customHeight="1">
      <c r="AA278" s="41">
        <f t="shared" ca="1" si="24"/>
        <v>0</v>
      </c>
      <c r="AB278" s="41">
        <v>278</v>
      </c>
    </row>
    <row r="279" spans="27:28" ht="21" customHeight="1">
      <c r="AA279" s="41">
        <f t="shared" ca="1" si="24"/>
        <v>0</v>
      </c>
      <c r="AB279" s="41">
        <v>279</v>
      </c>
    </row>
    <row r="280" spans="27:28" ht="21" customHeight="1">
      <c r="AA280" s="41">
        <f t="shared" ca="1" si="24"/>
        <v>0</v>
      </c>
      <c r="AB280" s="41">
        <v>280</v>
      </c>
    </row>
    <row r="281" spans="27:28" ht="21" customHeight="1">
      <c r="AA281" s="41">
        <f t="shared" ca="1" si="24"/>
        <v>0</v>
      </c>
      <c r="AB281" s="41">
        <v>281</v>
      </c>
    </row>
    <row r="282" spans="27:28" ht="21" customHeight="1">
      <c r="AA282" s="41">
        <f t="shared" ca="1" si="24"/>
        <v>0</v>
      </c>
      <c r="AB282" s="41">
        <v>282</v>
      </c>
    </row>
    <row r="283" spans="27:28" ht="21" customHeight="1">
      <c r="AA283" s="41">
        <f t="shared" ca="1" si="24"/>
        <v>0</v>
      </c>
      <c r="AB283" s="41">
        <v>283</v>
      </c>
    </row>
    <row r="284" spans="27:28" ht="21" customHeight="1">
      <c r="AA284" s="41">
        <f t="shared" ca="1" si="24"/>
        <v>0</v>
      </c>
      <c r="AB284" s="41">
        <v>284</v>
      </c>
    </row>
    <row r="285" spans="27:28" ht="21" customHeight="1">
      <c r="AA285" s="41">
        <f t="shared" ca="1" si="24"/>
        <v>0</v>
      </c>
      <c r="AB285" s="41">
        <v>285</v>
      </c>
    </row>
    <row r="286" spans="27:28" ht="21" customHeight="1">
      <c r="AA286" s="41">
        <f t="shared" ca="1" si="24"/>
        <v>0</v>
      </c>
      <c r="AB286" s="41">
        <v>286</v>
      </c>
    </row>
    <row r="287" spans="27:28" ht="21" customHeight="1">
      <c r="AA287" s="41">
        <f t="shared" ca="1" si="24"/>
        <v>0</v>
      </c>
      <c r="AB287" s="41">
        <v>287</v>
      </c>
    </row>
    <row r="288" spans="27:28" ht="21" customHeight="1">
      <c r="AA288" s="41">
        <f t="shared" ca="1" si="24"/>
        <v>0</v>
      </c>
      <c r="AB288" s="41">
        <v>288</v>
      </c>
    </row>
    <row r="289" spans="27:28" ht="21" customHeight="1">
      <c r="AA289" s="41">
        <f t="shared" ca="1" si="24"/>
        <v>0</v>
      </c>
      <c r="AB289" s="41">
        <v>289</v>
      </c>
    </row>
    <row r="290" spans="27:28" ht="21" customHeight="1">
      <c r="AA290" s="41">
        <f t="shared" ca="1" si="24"/>
        <v>0</v>
      </c>
      <c r="AB290" s="41">
        <v>290</v>
      </c>
    </row>
    <row r="291" spans="27:28" ht="21" customHeight="1">
      <c r="AA291" s="41">
        <f t="shared" ca="1" si="24"/>
        <v>0</v>
      </c>
      <c r="AB291" s="41">
        <v>291</v>
      </c>
    </row>
    <row r="292" spans="27:28" ht="21" customHeight="1">
      <c r="AA292" s="41">
        <f t="shared" ca="1" si="24"/>
        <v>0</v>
      </c>
      <c r="AB292" s="41">
        <v>292</v>
      </c>
    </row>
    <row r="293" spans="27:28" ht="21" customHeight="1">
      <c r="AA293" s="41">
        <f t="shared" ca="1" si="24"/>
        <v>0</v>
      </c>
      <c r="AB293" s="41">
        <v>293</v>
      </c>
    </row>
    <row r="294" spans="27:28" ht="21" customHeight="1">
      <c r="AA294" s="41">
        <f t="shared" ca="1" si="24"/>
        <v>0</v>
      </c>
      <c r="AB294" s="41">
        <v>294</v>
      </c>
    </row>
    <row r="295" spans="27:28" ht="21" customHeight="1">
      <c r="AA295" s="41">
        <f t="shared" ca="1" si="24"/>
        <v>0</v>
      </c>
      <c r="AB295" s="41">
        <v>295</v>
      </c>
    </row>
    <row r="296" spans="27:28" ht="21" customHeight="1">
      <c r="AA296" s="41">
        <f t="shared" ca="1" si="24"/>
        <v>0</v>
      </c>
      <c r="AB296" s="41">
        <v>296</v>
      </c>
    </row>
    <row r="297" spans="27:28" ht="21" customHeight="1">
      <c r="AA297" s="41">
        <f t="shared" ca="1" si="24"/>
        <v>0</v>
      </c>
      <c r="AB297" s="41">
        <v>297</v>
      </c>
    </row>
    <row r="298" spans="27:28" ht="21" customHeight="1">
      <c r="AA298" s="41">
        <f t="shared" ca="1" si="24"/>
        <v>0</v>
      </c>
      <c r="AB298" s="41">
        <v>298</v>
      </c>
    </row>
    <row r="299" spans="27:28" ht="21" customHeight="1">
      <c r="AA299" s="41">
        <f t="shared" ca="1" si="24"/>
        <v>0</v>
      </c>
      <c r="AB299" s="41">
        <v>299</v>
      </c>
    </row>
    <row r="300" spans="27:28" ht="21" customHeight="1">
      <c r="AA300" s="41">
        <f t="shared" ca="1" si="24"/>
        <v>0</v>
      </c>
      <c r="AB300" s="41">
        <v>300</v>
      </c>
    </row>
    <row r="301" spans="27:28" ht="21" customHeight="1">
      <c r="AA301" s="41">
        <f t="shared" ca="1" si="24"/>
        <v>0</v>
      </c>
      <c r="AB301" s="41">
        <v>301</v>
      </c>
    </row>
    <row r="302" spans="27:28" ht="21" customHeight="1">
      <c r="AA302" s="41">
        <f t="shared" ca="1" si="24"/>
        <v>0</v>
      </c>
      <c r="AB302" s="41">
        <v>302</v>
      </c>
    </row>
    <row r="303" spans="27:28" ht="21" customHeight="1">
      <c r="AA303" s="41">
        <f t="shared" ca="1" si="24"/>
        <v>0</v>
      </c>
      <c r="AB303" s="41">
        <v>303</v>
      </c>
    </row>
    <row r="304" spans="27:28" ht="21" customHeight="1">
      <c r="AA304" s="41">
        <f t="shared" ca="1" si="24"/>
        <v>0</v>
      </c>
      <c r="AB304" s="41">
        <v>304</v>
      </c>
    </row>
    <row r="305" spans="27:28" ht="21" customHeight="1">
      <c r="AA305" s="41">
        <f t="shared" ca="1" si="24"/>
        <v>0</v>
      </c>
      <c r="AB305" s="41">
        <v>305</v>
      </c>
    </row>
    <row r="306" spans="27:28" ht="21" customHeight="1">
      <c r="AA306" s="41">
        <f t="shared" ca="1" si="24"/>
        <v>0</v>
      </c>
      <c r="AB306" s="41">
        <v>306</v>
      </c>
    </row>
    <row r="307" spans="27:28" ht="21" customHeight="1">
      <c r="AA307" s="41">
        <f t="shared" ca="1" si="24"/>
        <v>0</v>
      </c>
      <c r="AB307" s="41">
        <v>307</v>
      </c>
    </row>
    <row r="308" spans="27:28" ht="21" customHeight="1">
      <c r="AA308" s="41">
        <f t="shared" ca="1" si="24"/>
        <v>0</v>
      </c>
      <c r="AB308" s="41">
        <v>308</v>
      </c>
    </row>
    <row r="309" spans="27:28" ht="21" customHeight="1">
      <c r="AA309" s="41">
        <f t="shared" ca="1" si="24"/>
        <v>0</v>
      </c>
      <c r="AB309" s="41">
        <v>309</v>
      </c>
    </row>
    <row r="310" spans="27:28" ht="21" customHeight="1">
      <c r="AA310" s="41">
        <f t="shared" ca="1" si="24"/>
        <v>0</v>
      </c>
      <c r="AB310" s="41">
        <v>310</v>
      </c>
    </row>
    <row r="311" spans="27:28" ht="21" customHeight="1">
      <c r="AA311" s="41">
        <f t="shared" ca="1" si="24"/>
        <v>0</v>
      </c>
      <c r="AB311" s="41">
        <v>311</v>
      </c>
    </row>
    <row r="312" spans="27:28" ht="21" customHeight="1">
      <c r="AA312" s="41">
        <f t="shared" ca="1" si="24"/>
        <v>0</v>
      </c>
      <c r="AB312" s="41">
        <v>312</v>
      </c>
    </row>
    <row r="313" spans="27:28" ht="21" customHeight="1">
      <c r="AA313" s="41">
        <f t="shared" ca="1" si="24"/>
        <v>0</v>
      </c>
      <c r="AB313" s="41">
        <v>313</v>
      </c>
    </row>
    <row r="314" spans="27:28" ht="21" customHeight="1">
      <c r="AA314" s="41">
        <f t="shared" ca="1" si="24"/>
        <v>0</v>
      </c>
      <c r="AB314" s="41">
        <v>314</v>
      </c>
    </row>
    <row r="315" spans="27:28" ht="21" customHeight="1">
      <c r="AA315" s="41">
        <f t="shared" ca="1" si="24"/>
        <v>0</v>
      </c>
      <c r="AB315" s="41">
        <v>315</v>
      </c>
    </row>
    <row r="316" spans="27:28" ht="21" customHeight="1">
      <c r="AA316" s="41">
        <f t="shared" ca="1" si="24"/>
        <v>0</v>
      </c>
      <c r="AB316" s="41">
        <v>316</v>
      </c>
    </row>
    <row r="317" spans="27:28" ht="21" customHeight="1">
      <c r="AA317" s="41">
        <f t="shared" ca="1" si="24"/>
        <v>0</v>
      </c>
      <c r="AB317" s="41">
        <v>317</v>
      </c>
    </row>
    <row r="318" spans="27:28" ht="21" customHeight="1">
      <c r="AA318" s="41">
        <f t="shared" ca="1" si="24"/>
        <v>0</v>
      </c>
      <c r="AB318" s="41">
        <v>318</v>
      </c>
    </row>
    <row r="319" spans="27:28" ht="21" customHeight="1">
      <c r="AA319" s="41">
        <f t="shared" ca="1" si="24"/>
        <v>0</v>
      </c>
      <c r="AB319" s="41">
        <v>319</v>
      </c>
    </row>
    <row r="320" spans="27:28" ht="21" customHeight="1">
      <c r="AA320" s="41">
        <f t="shared" ca="1" si="24"/>
        <v>0</v>
      </c>
      <c r="AB320" s="41">
        <v>320</v>
      </c>
    </row>
    <row r="321" spans="27:28" ht="21" customHeight="1">
      <c r="AA321" s="41">
        <f t="shared" ca="1" si="24"/>
        <v>0</v>
      </c>
      <c r="AB321" s="41">
        <v>321</v>
      </c>
    </row>
    <row r="322" spans="27:28" ht="21" customHeight="1">
      <c r="AA322" s="41">
        <f t="shared" ca="1" si="24"/>
        <v>0</v>
      </c>
      <c r="AB322" s="41">
        <v>322</v>
      </c>
    </row>
    <row r="323" spans="27:28" ht="21" customHeight="1">
      <c r="AA323" s="41">
        <f t="shared" ca="1" si="24"/>
        <v>0</v>
      </c>
      <c r="AB323" s="41">
        <v>323</v>
      </c>
    </row>
    <row r="324" spans="27:28" ht="21" customHeight="1">
      <c r="AA324" s="41">
        <f t="shared" ca="1" si="24"/>
        <v>0</v>
      </c>
      <c r="AB324" s="41">
        <v>324</v>
      </c>
    </row>
    <row r="325" spans="27:28" ht="21" customHeight="1">
      <c r="AA325" s="41">
        <f t="shared" ref="AA325:AA388" ca="1" si="25">INDIRECT($W$6&amp;"!"&amp;"B"&amp;ROW(B325))</f>
        <v>0</v>
      </c>
      <c r="AB325" s="41">
        <v>325</v>
      </c>
    </row>
    <row r="326" spans="27:28" ht="21" customHeight="1">
      <c r="AA326" s="41">
        <f t="shared" ca="1" si="25"/>
        <v>0</v>
      </c>
      <c r="AB326" s="41">
        <v>326</v>
      </c>
    </row>
    <row r="327" spans="27:28" ht="21" customHeight="1">
      <c r="AA327" s="41">
        <f t="shared" ca="1" si="25"/>
        <v>0</v>
      </c>
      <c r="AB327" s="41">
        <v>327</v>
      </c>
    </row>
    <row r="328" spans="27:28" ht="21" customHeight="1">
      <c r="AA328" s="41">
        <f t="shared" ca="1" si="25"/>
        <v>0</v>
      </c>
      <c r="AB328" s="41">
        <v>328</v>
      </c>
    </row>
    <row r="329" spans="27:28" ht="21" customHeight="1">
      <c r="AA329" s="41">
        <f t="shared" ca="1" si="25"/>
        <v>0</v>
      </c>
      <c r="AB329" s="41">
        <v>329</v>
      </c>
    </row>
    <row r="330" spans="27:28" ht="21" customHeight="1">
      <c r="AA330" s="41">
        <f t="shared" ca="1" si="25"/>
        <v>0</v>
      </c>
      <c r="AB330" s="41">
        <v>330</v>
      </c>
    </row>
    <row r="331" spans="27:28" ht="21" customHeight="1">
      <c r="AA331" s="41">
        <f t="shared" ca="1" si="25"/>
        <v>0</v>
      </c>
      <c r="AB331" s="41">
        <v>331</v>
      </c>
    </row>
    <row r="332" spans="27:28" ht="21" customHeight="1">
      <c r="AA332" s="41">
        <f t="shared" ca="1" si="25"/>
        <v>0</v>
      </c>
      <c r="AB332" s="41">
        <v>332</v>
      </c>
    </row>
    <row r="333" spans="27:28" ht="21" customHeight="1">
      <c r="AA333" s="41">
        <f t="shared" ca="1" si="25"/>
        <v>0</v>
      </c>
      <c r="AB333" s="41">
        <v>333</v>
      </c>
    </row>
    <row r="334" spans="27:28" ht="21" customHeight="1">
      <c r="AA334" s="41">
        <f t="shared" ca="1" si="25"/>
        <v>0</v>
      </c>
      <c r="AB334" s="41">
        <v>334</v>
      </c>
    </row>
    <row r="335" spans="27:28" ht="21" customHeight="1">
      <c r="AA335" s="41">
        <f t="shared" ca="1" si="25"/>
        <v>0</v>
      </c>
      <c r="AB335" s="41">
        <v>335</v>
      </c>
    </row>
    <row r="336" spans="27:28" ht="21" customHeight="1">
      <c r="AA336" s="41">
        <f t="shared" ca="1" si="25"/>
        <v>0</v>
      </c>
      <c r="AB336" s="41">
        <v>336</v>
      </c>
    </row>
    <row r="337" spans="27:28" ht="21" customHeight="1">
      <c r="AA337" s="41">
        <f t="shared" ca="1" si="25"/>
        <v>0</v>
      </c>
      <c r="AB337" s="41">
        <v>337</v>
      </c>
    </row>
    <row r="338" spans="27:28" ht="21" customHeight="1">
      <c r="AA338" s="41">
        <f t="shared" ca="1" si="25"/>
        <v>0</v>
      </c>
      <c r="AB338" s="41">
        <v>338</v>
      </c>
    </row>
    <row r="339" spans="27:28" ht="21" customHeight="1">
      <c r="AA339" s="41">
        <f t="shared" ca="1" si="25"/>
        <v>0</v>
      </c>
      <c r="AB339" s="41">
        <v>339</v>
      </c>
    </row>
    <row r="340" spans="27:28" ht="21" customHeight="1">
      <c r="AA340" s="41">
        <f t="shared" ca="1" si="25"/>
        <v>0</v>
      </c>
      <c r="AB340" s="41">
        <v>340</v>
      </c>
    </row>
    <row r="341" spans="27:28" ht="21" customHeight="1">
      <c r="AA341" s="41">
        <f t="shared" ca="1" si="25"/>
        <v>0</v>
      </c>
      <c r="AB341" s="41">
        <v>341</v>
      </c>
    </row>
    <row r="342" spans="27:28" ht="21" customHeight="1">
      <c r="AA342" s="41">
        <f t="shared" ca="1" si="25"/>
        <v>0</v>
      </c>
      <c r="AB342" s="41">
        <v>342</v>
      </c>
    </row>
    <row r="343" spans="27:28" ht="21" customHeight="1">
      <c r="AA343" s="41">
        <f t="shared" ca="1" si="25"/>
        <v>0</v>
      </c>
      <c r="AB343" s="41">
        <v>343</v>
      </c>
    </row>
    <row r="344" spans="27:28" ht="21" customHeight="1">
      <c r="AA344" s="41">
        <f t="shared" ca="1" si="25"/>
        <v>0</v>
      </c>
      <c r="AB344" s="41">
        <v>344</v>
      </c>
    </row>
    <row r="345" spans="27:28" ht="21" customHeight="1">
      <c r="AA345" s="41">
        <f t="shared" ca="1" si="25"/>
        <v>0</v>
      </c>
      <c r="AB345" s="41">
        <v>345</v>
      </c>
    </row>
    <row r="346" spans="27:28" ht="21" customHeight="1">
      <c r="AA346" s="41">
        <f t="shared" ca="1" si="25"/>
        <v>0</v>
      </c>
      <c r="AB346" s="41">
        <v>346</v>
      </c>
    </row>
    <row r="347" spans="27:28" ht="21" customHeight="1">
      <c r="AA347" s="41">
        <f t="shared" ca="1" si="25"/>
        <v>0</v>
      </c>
      <c r="AB347" s="41">
        <v>347</v>
      </c>
    </row>
    <row r="348" spans="27:28" ht="21" customHeight="1">
      <c r="AA348" s="41">
        <f t="shared" ca="1" si="25"/>
        <v>0</v>
      </c>
      <c r="AB348" s="41">
        <v>348</v>
      </c>
    </row>
    <row r="349" spans="27:28" ht="21" customHeight="1">
      <c r="AA349" s="41">
        <f t="shared" ca="1" si="25"/>
        <v>0</v>
      </c>
      <c r="AB349" s="41">
        <v>349</v>
      </c>
    </row>
    <row r="350" spans="27:28" ht="21" customHeight="1">
      <c r="AA350" s="41">
        <f t="shared" ca="1" si="25"/>
        <v>0</v>
      </c>
      <c r="AB350" s="41">
        <v>350</v>
      </c>
    </row>
    <row r="351" spans="27:28" ht="21" customHeight="1">
      <c r="AA351" s="41">
        <f t="shared" ca="1" si="25"/>
        <v>0</v>
      </c>
      <c r="AB351" s="41">
        <v>351</v>
      </c>
    </row>
    <row r="352" spans="27:28" ht="21" customHeight="1">
      <c r="AA352" s="41">
        <f t="shared" ca="1" si="25"/>
        <v>0</v>
      </c>
      <c r="AB352" s="41">
        <v>352</v>
      </c>
    </row>
    <row r="353" spans="27:28" ht="21" customHeight="1">
      <c r="AA353" s="41">
        <f t="shared" ca="1" si="25"/>
        <v>0</v>
      </c>
      <c r="AB353" s="41">
        <v>353</v>
      </c>
    </row>
    <row r="354" spans="27:28" ht="21" customHeight="1">
      <c r="AA354" s="41">
        <f t="shared" ca="1" si="25"/>
        <v>0</v>
      </c>
      <c r="AB354" s="41">
        <v>354</v>
      </c>
    </row>
    <row r="355" spans="27:28" ht="21" customHeight="1">
      <c r="AA355" s="41">
        <f t="shared" ca="1" si="25"/>
        <v>0</v>
      </c>
      <c r="AB355" s="41">
        <v>355</v>
      </c>
    </row>
    <row r="356" spans="27:28" ht="21" customHeight="1">
      <c r="AA356" s="41">
        <f t="shared" ca="1" si="25"/>
        <v>0</v>
      </c>
      <c r="AB356" s="41">
        <v>356</v>
      </c>
    </row>
    <row r="357" spans="27:28" ht="21" customHeight="1">
      <c r="AA357" s="41">
        <f t="shared" ca="1" si="25"/>
        <v>0</v>
      </c>
      <c r="AB357" s="41">
        <v>357</v>
      </c>
    </row>
    <row r="358" spans="27:28" ht="21" customHeight="1">
      <c r="AA358" s="41">
        <f t="shared" ca="1" si="25"/>
        <v>0</v>
      </c>
      <c r="AB358" s="41">
        <v>358</v>
      </c>
    </row>
    <row r="359" spans="27:28" ht="21" customHeight="1">
      <c r="AA359" s="41">
        <f t="shared" ca="1" si="25"/>
        <v>0</v>
      </c>
      <c r="AB359" s="41">
        <v>359</v>
      </c>
    </row>
    <row r="360" spans="27:28" ht="21" customHeight="1">
      <c r="AA360" s="41">
        <f t="shared" ca="1" si="25"/>
        <v>0</v>
      </c>
      <c r="AB360" s="41">
        <v>360</v>
      </c>
    </row>
    <row r="361" spans="27:28" ht="21" customHeight="1">
      <c r="AA361" s="41">
        <f t="shared" ca="1" si="25"/>
        <v>0</v>
      </c>
      <c r="AB361" s="41">
        <v>361</v>
      </c>
    </row>
    <row r="362" spans="27:28" ht="21" customHeight="1">
      <c r="AA362" s="41">
        <f t="shared" ca="1" si="25"/>
        <v>0</v>
      </c>
      <c r="AB362" s="41">
        <v>362</v>
      </c>
    </row>
    <row r="363" spans="27:28" ht="21" customHeight="1">
      <c r="AA363" s="41">
        <f t="shared" ca="1" si="25"/>
        <v>0</v>
      </c>
      <c r="AB363" s="41">
        <v>363</v>
      </c>
    </row>
    <row r="364" spans="27:28" ht="21" customHeight="1">
      <c r="AA364" s="41">
        <f t="shared" ca="1" si="25"/>
        <v>0</v>
      </c>
      <c r="AB364" s="41">
        <v>364</v>
      </c>
    </row>
    <row r="365" spans="27:28" ht="21" customHeight="1">
      <c r="AA365" s="41">
        <f t="shared" ca="1" si="25"/>
        <v>0</v>
      </c>
      <c r="AB365" s="41">
        <v>365</v>
      </c>
    </row>
    <row r="366" spans="27:28" ht="21" customHeight="1">
      <c r="AA366" s="41">
        <f t="shared" ca="1" si="25"/>
        <v>0</v>
      </c>
      <c r="AB366" s="41">
        <v>366</v>
      </c>
    </row>
    <row r="367" spans="27:28" ht="21" customHeight="1">
      <c r="AA367" s="41">
        <f t="shared" ca="1" si="25"/>
        <v>0</v>
      </c>
      <c r="AB367" s="41">
        <v>367</v>
      </c>
    </row>
    <row r="368" spans="27:28" ht="21" customHeight="1">
      <c r="AA368" s="41">
        <f t="shared" ca="1" si="25"/>
        <v>0</v>
      </c>
      <c r="AB368" s="41">
        <v>368</v>
      </c>
    </row>
    <row r="369" spans="27:28" ht="21" customHeight="1">
      <c r="AA369" s="41">
        <f t="shared" ca="1" si="25"/>
        <v>0</v>
      </c>
      <c r="AB369" s="41">
        <v>369</v>
      </c>
    </row>
    <row r="370" spans="27:28" ht="21" customHeight="1">
      <c r="AA370" s="41">
        <f t="shared" ca="1" si="25"/>
        <v>0</v>
      </c>
      <c r="AB370" s="41">
        <v>370</v>
      </c>
    </row>
    <row r="371" spans="27:28" ht="21" customHeight="1">
      <c r="AA371" s="41">
        <f t="shared" ca="1" si="25"/>
        <v>0</v>
      </c>
      <c r="AB371" s="41">
        <v>371</v>
      </c>
    </row>
    <row r="372" spans="27:28" ht="21" customHeight="1">
      <c r="AA372" s="41">
        <f t="shared" ca="1" si="25"/>
        <v>0</v>
      </c>
      <c r="AB372" s="41">
        <v>372</v>
      </c>
    </row>
    <row r="373" spans="27:28" ht="21" customHeight="1">
      <c r="AA373" s="41">
        <f t="shared" ca="1" si="25"/>
        <v>0</v>
      </c>
      <c r="AB373" s="41">
        <v>373</v>
      </c>
    </row>
    <row r="374" spans="27:28" ht="21" customHeight="1">
      <c r="AA374" s="41">
        <f t="shared" ca="1" si="25"/>
        <v>0</v>
      </c>
      <c r="AB374" s="41">
        <v>374</v>
      </c>
    </row>
    <row r="375" spans="27:28" ht="21" customHeight="1">
      <c r="AA375" s="41">
        <f t="shared" ca="1" si="25"/>
        <v>0</v>
      </c>
      <c r="AB375" s="41">
        <v>375</v>
      </c>
    </row>
    <row r="376" spans="27:28" ht="21" customHeight="1">
      <c r="AA376" s="41">
        <f t="shared" ca="1" si="25"/>
        <v>0</v>
      </c>
      <c r="AB376" s="41">
        <v>376</v>
      </c>
    </row>
    <row r="377" spans="27:28" ht="21" customHeight="1">
      <c r="AA377" s="41">
        <f t="shared" ca="1" si="25"/>
        <v>0</v>
      </c>
      <c r="AB377" s="41">
        <v>377</v>
      </c>
    </row>
    <row r="378" spans="27:28" ht="21" customHeight="1">
      <c r="AA378" s="41">
        <f t="shared" ca="1" si="25"/>
        <v>0</v>
      </c>
      <c r="AB378" s="41">
        <v>378</v>
      </c>
    </row>
    <row r="379" spans="27:28" ht="21" customHeight="1">
      <c r="AA379" s="41">
        <f t="shared" ca="1" si="25"/>
        <v>0</v>
      </c>
      <c r="AB379" s="41">
        <v>379</v>
      </c>
    </row>
    <row r="380" spans="27:28" ht="21" customHeight="1">
      <c r="AA380" s="41">
        <f t="shared" ca="1" si="25"/>
        <v>0</v>
      </c>
      <c r="AB380" s="41">
        <v>380</v>
      </c>
    </row>
    <row r="381" spans="27:28" ht="21" customHeight="1">
      <c r="AA381" s="41">
        <f t="shared" ca="1" si="25"/>
        <v>0</v>
      </c>
      <c r="AB381" s="41">
        <v>381</v>
      </c>
    </row>
    <row r="382" spans="27:28" ht="21" customHeight="1">
      <c r="AA382" s="41">
        <f t="shared" ca="1" si="25"/>
        <v>0</v>
      </c>
      <c r="AB382" s="41">
        <v>382</v>
      </c>
    </row>
    <row r="383" spans="27:28" ht="21" customHeight="1">
      <c r="AA383" s="41">
        <f t="shared" ca="1" si="25"/>
        <v>0</v>
      </c>
      <c r="AB383" s="41">
        <v>383</v>
      </c>
    </row>
    <row r="384" spans="27:28" ht="21" customHeight="1">
      <c r="AA384" s="41">
        <f t="shared" ca="1" si="25"/>
        <v>0</v>
      </c>
      <c r="AB384" s="41">
        <v>384</v>
      </c>
    </row>
    <row r="385" spans="27:28" ht="21" customHeight="1">
      <c r="AA385" s="41">
        <f t="shared" ca="1" si="25"/>
        <v>0</v>
      </c>
      <c r="AB385" s="41">
        <v>385</v>
      </c>
    </row>
    <row r="386" spans="27:28" ht="21" customHeight="1">
      <c r="AA386" s="41">
        <f t="shared" ca="1" si="25"/>
        <v>0</v>
      </c>
      <c r="AB386" s="41">
        <v>386</v>
      </c>
    </row>
    <row r="387" spans="27:28" ht="21" customHeight="1">
      <c r="AA387" s="41">
        <f t="shared" ca="1" si="25"/>
        <v>0</v>
      </c>
      <c r="AB387" s="41">
        <v>387</v>
      </c>
    </row>
    <row r="388" spans="27:28" ht="21" customHeight="1">
      <c r="AA388" s="41">
        <f t="shared" ca="1" si="25"/>
        <v>0</v>
      </c>
      <c r="AB388" s="41">
        <v>388</v>
      </c>
    </row>
    <row r="389" spans="27:28" ht="21" customHeight="1">
      <c r="AA389" s="41">
        <f t="shared" ref="AA389:AA452" ca="1" si="26">INDIRECT($W$6&amp;"!"&amp;"B"&amp;ROW(B389))</f>
        <v>0</v>
      </c>
      <c r="AB389" s="41">
        <v>389</v>
      </c>
    </row>
    <row r="390" spans="27:28" ht="21" customHeight="1">
      <c r="AA390" s="41">
        <f t="shared" ca="1" si="26"/>
        <v>0</v>
      </c>
      <c r="AB390" s="41">
        <v>390</v>
      </c>
    </row>
    <row r="391" spans="27:28" ht="21" customHeight="1">
      <c r="AA391" s="41">
        <f t="shared" ca="1" si="26"/>
        <v>0</v>
      </c>
      <c r="AB391" s="41">
        <v>391</v>
      </c>
    </row>
    <row r="392" spans="27:28" ht="21" customHeight="1">
      <c r="AA392" s="41">
        <f t="shared" ca="1" si="26"/>
        <v>0</v>
      </c>
      <c r="AB392" s="41">
        <v>392</v>
      </c>
    </row>
    <row r="393" spans="27:28" ht="21" customHeight="1">
      <c r="AA393" s="41">
        <f t="shared" ca="1" si="26"/>
        <v>0</v>
      </c>
      <c r="AB393" s="41">
        <v>393</v>
      </c>
    </row>
    <row r="394" spans="27:28" ht="21" customHeight="1">
      <c r="AA394" s="41">
        <f t="shared" ca="1" si="26"/>
        <v>0</v>
      </c>
      <c r="AB394" s="41">
        <v>394</v>
      </c>
    </row>
    <row r="395" spans="27:28" ht="21" customHeight="1">
      <c r="AA395" s="41">
        <f t="shared" ca="1" si="26"/>
        <v>0</v>
      </c>
      <c r="AB395" s="41">
        <v>395</v>
      </c>
    </row>
    <row r="396" spans="27:28" ht="21" customHeight="1">
      <c r="AA396" s="41">
        <f t="shared" ca="1" si="26"/>
        <v>0</v>
      </c>
      <c r="AB396" s="41">
        <v>396</v>
      </c>
    </row>
    <row r="397" spans="27:28" ht="21" customHeight="1">
      <c r="AA397" s="41">
        <f t="shared" ca="1" si="26"/>
        <v>0</v>
      </c>
      <c r="AB397" s="41">
        <v>397</v>
      </c>
    </row>
    <row r="398" spans="27:28" ht="21" customHeight="1">
      <c r="AA398" s="41">
        <f t="shared" ca="1" si="26"/>
        <v>0</v>
      </c>
      <c r="AB398" s="41">
        <v>398</v>
      </c>
    </row>
    <row r="399" spans="27:28" ht="21" customHeight="1">
      <c r="AA399" s="41">
        <f t="shared" ca="1" si="26"/>
        <v>0</v>
      </c>
      <c r="AB399" s="41">
        <v>399</v>
      </c>
    </row>
    <row r="400" spans="27:28" ht="21" customHeight="1">
      <c r="AA400" s="41">
        <f t="shared" ca="1" si="26"/>
        <v>0</v>
      </c>
      <c r="AB400" s="41">
        <v>400</v>
      </c>
    </row>
    <row r="401" spans="27:28" ht="21" customHeight="1">
      <c r="AA401" s="41">
        <f t="shared" ca="1" si="26"/>
        <v>0</v>
      </c>
      <c r="AB401" s="41">
        <v>401</v>
      </c>
    </row>
    <row r="402" spans="27:28" ht="21" customHeight="1">
      <c r="AA402" s="41">
        <f t="shared" ca="1" si="26"/>
        <v>0</v>
      </c>
      <c r="AB402" s="41">
        <v>402</v>
      </c>
    </row>
    <row r="403" spans="27:28" ht="21" customHeight="1">
      <c r="AA403" s="41">
        <f t="shared" ca="1" si="26"/>
        <v>0</v>
      </c>
      <c r="AB403" s="41">
        <v>403</v>
      </c>
    </row>
    <row r="404" spans="27:28" ht="21" customHeight="1">
      <c r="AA404" s="41">
        <f t="shared" ca="1" si="26"/>
        <v>0</v>
      </c>
      <c r="AB404" s="41">
        <v>404</v>
      </c>
    </row>
    <row r="405" spans="27:28" ht="21" customHeight="1">
      <c r="AA405" s="41">
        <f t="shared" ca="1" si="26"/>
        <v>0</v>
      </c>
      <c r="AB405" s="41">
        <v>405</v>
      </c>
    </row>
    <row r="406" spans="27:28" ht="21" customHeight="1">
      <c r="AA406" s="41">
        <f t="shared" ca="1" si="26"/>
        <v>0</v>
      </c>
      <c r="AB406" s="41">
        <v>406</v>
      </c>
    </row>
    <row r="407" spans="27:28" ht="21" customHeight="1">
      <c r="AA407" s="41">
        <f t="shared" ca="1" si="26"/>
        <v>0</v>
      </c>
      <c r="AB407" s="41">
        <v>407</v>
      </c>
    </row>
    <row r="408" spans="27:28" ht="21" customHeight="1">
      <c r="AA408" s="41">
        <f t="shared" ca="1" si="26"/>
        <v>0</v>
      </c>
      <c r="AB408" s="41">
        <v>408</v>
      </c>
    </row>
    <row r="409" spans="27:28" ht="21" customHeight="1">
      <c r="AA409" s="41">
        <f t="shared" ca="1" si="26"/>
        <v>0</v>
      </c>
      <c r="AB409" s="41">
        <v>409</v>
      </c>
    </row>
    <row r="410" spans="27:28" ht="21" customHeight="1">
      <c r="AA410" s="41">
        <f t="shared" ca="1" si="26"/>
        <v>0</v>
      </c>
      <c r="AB410" s="41">
        <v>410</v>
      </c>
    </row>
    <row r="411" spans="27:28" ht="21" customHeight="1">
      <c r="AA411" s="41">
        <f t="shared" ca="1" si="26"/>
        <v>0</v>
      </c>
      <c r="AB411" s="41">
        <v>411</v>
      </c>
    </row>
    <row r="412" spans="27:28" ht="21" customHeight="1">
      <c r="AA412" s="41">
        <f t="shared" ca="1" si="26"/>
        <v>0</v>
      </c>
      <c r="AB412" s="41">
        <v>412</v>
      </c>
    </row>
    <row r="413" spans="27:28" ht="21" customHeight="1">
      <c r="AA413" s="41">
        <f t="shared" ca="1" si="26"/>
        <v>0</v>
      </c>
      <c r="AB413" s="41">
        <v>413</v>
      </c>
    </row>
    <row r="414" spans="27:28" ht="21" customHeight="1">
      <c r="AA414" s="41">
        <f t="shared" ca="1" si="26"/>
        <v>0</v>
      </c>
      <c r="AB414" s="41">
        <v>414</v>
      </c>
    </row>
    <row r="415" spans="27:28" ht="21" customHeight="1">
      <c r="AA415" s="41">
        <f t="shared" ca="1" si="26"/>
        <v>0</v>
      </c>
      <c r="AB415" s="41">
        <v>415</v>
      </c>
    </row>
    <row r="416" spans="27:28" ht="21" customHeight="1">
      <c r="AA416" s="41">
        <f t="shared" ca="1" si="26"/>
        <v>0</v>
      </c>
      <c r="AB416" s="41">
        <v>416</v>
      </c>
    </row>
    <row r="417" spans="27:28" ht="21" customHeight="1">
      <c r="AA417" s="41">
        <f t="shared" ca="1" si="26"/>
        <v>0</v>
      </c>
      <c r="AB417" s="41">
        <v>417</v>
      </c>
    </row>
    <row r="418" spans="27:28" ht="21" customHeight="1">
      <c r="AA418" s="41">
        <f t="shared" ca="1" si="26"/>
        <v>0</v>
      </c>
      <c r="AB418" s="41">
        <v>418</v>
      </c>
    </row>
    <row r="419" spans="27:28" ht="21" customHeight="1">
      <c r="AA419" s="41">
        <f t="shared" ca="1" si="26"/>
        <v>0</v>
      </c>
      <c r="AB419" s="41">
        <v>419</v>
      </c>
    </row>
    <row r="420" spans="27:28" ht="21" customHeight="1">
      <c r="AA420" s="41">
        <f t="shared" ca="1" si="26"/>
        <v>0</v>
      </c>
      <c r="AB420" s="41">
        <v>420</v>
      </c>
    </row>
    <row r="421" spans="27:28" ht="21" customHeight="1">
      <c r="AA421" s="41">
        <f t="shared" ca="1" si="26"/>
        <v>0</v>
      </c>
      <c r="AB421" s="41">
        <v>421</v>
      </c>
    </row>
    <row r="422" spans="27:28" ht="21" customHeight="1">
      <c r="AA422" s="41">
        <f t="shared" ca="1" si="26"/>
        <v>0</v>
      </c>
      <c r="AB422" s="41">
        <v>422</v>
      </c>
    </row>
    <row r="423" spans="27:28" ht="21" customHeight="1">
      <c r="AA423" s="41">
        <f t="shared" ca="1" si="26"/>
        <v>0</v>
      </c>
      <c r="AB423" s="41">
        <v>423</v>
      </c>
    </row>
    <row r="424" spans="27:28" ht="21" customHeight="1">
      <c r="AA424" s="41">
        <f t="shared" ca="1" si="26"/>
        <v>0</v>
      </c>
      <c r="AB424" s="41">
        <v>424</v>
      </c>
    </row>
    <row r="425" spans="27:28" ht="21" customHeight="1">
      <c r="AA425" s="41">
        <f t="shared" ca="1" si="26"/>
        <v>0</v>
      </c>
      <c r="AB425" s="41">
        <v>425</v>
      </c>
    </row>
    <row r="426" spans="27:28" ht="21" customHeight="1">
      <c r="AA426" s="41">
        <f t="shared" ca="1" si="26"/>
        <v>0</v>
      </c>
      <c r="AB426" s="41">
        <v>426</v>
      </c>
    </row>
    <row r="427" spans="27:28" ht="21" customHeight="1">
      <c r="AA427" s="41">
        <f t="shared" ca="1" si="26"/>
        <v>0</v>
      </c>
      <c r="AB427" s="41">
        <v>427</v>
      </c>
    </row>
    <row r="428" spans="27:28" ht="21" customHeight="1">
      <c r="AA428" s="41">
        <f t="shared" ca="1" si="26"/>
        <v>0</v>
      </c>
      <c r="AB428" s="41">
        <v>428</v>
      </c>
    </row>
    <row r="429" spans="27:28" ht="21" customHeight="1">
      <c r="AA429" s="41">
        <f t="shared" ca="1" si="26"/>
        <v>0</v>
      </c>
      <c r="AB429" s="41">
        <v>429</v>
      </c>
    </row>
    <row r="430" spans="27:28" ht="21" customHeight="1">
      <c r="AA430" s="41">
        <f t="shared" ca="1" si="26"/>
        <v>0</v>
      </c>
      <c r="AB430" s="41">
        <v>430</v>
      </c>
    </row>
    <row r="431" spans="27:28" ht="21" customHeight="1">
      <c r="AA431" s="41">
        <f t="shared" ca="1" si="26"/>
        <v>0</v>
      </c>
      <c r="AB431" s="41">
        <v>431</v>
      </c>
    </row>
    <row r="432" spans="27:28" ht="21" customHeight="1">
      <c r="AA432" s="41">
        <f t="shared" ca="1" si="26"/>
        <v>0</v>
      </c>
      <c r="AB432" s="41">
        <v>432</v>
      </c>
    </row>
    <row r="433" spans="27:28" ht="21" customHeight="1">
      <c r="AA433" s="41">
        <f t="shared" ca="1" si="26"/>
        <v>0</v>
      </c>
      <c r="AB433" s="41">
        <v>433</v>
      </c>
    </row>
    <row r="434" spans="27:28" ht="21" customHeight="1">
      <c r="AA434" s="41">
        <f t="shared" ca="1" si="26"/>
        <v>0</v>
      </c>
      <c r="AB434" s="41">
        <v>434</v>
      </c>
    </row>
    <row r="435" spans="27:28" ht="21" customHeight="1">
      <c r="AA435" s="41">
        <f t="shared" ca="1" si="26"/>
        <v>0</v>
      </c>
      <c r="AB435" s="41">
        <v>435</v>
      </c>
    </row>
    <row r="436" spans="27:28" ht="21" customHeight="1">
      <c r="AA436" s="41">
        <f t="shared" ca="1" si="26"/>
        <v>0</v>
      </c>
      <c r="AB436" s="41">
        <v>436</v>
      </c>
    </row>
    <row r="437" spans="27:28" ht="21" customHeight="1">
      <c r="AA437" s="41">
        <f t="shared" ca="1" si="26"/>
        <v>0</v>
      </c>
      <c r="AB437" s="41">
        <v>437</v>
      </c>
    </row>
    <row r="438" spans="27:28" ht="21" customHeight="1">
      <c r="AA438" s="41">
        <f t="shared" ca="1" si="26"/>
        <v>0</v>
      </c>
      <c r="AB438" s="41">
        <v>438</v>
      </c>
    </row>
    <row r="439" spans="27:28" ht="21" customHeight="1">
      <c r="AA439" s="41">
        <f t="shared" ca="1" si="26"/>
        <v>0</v>
      </c>
      <c r="AB439" s="41">
        <v>439</v>
      </c>
    </row>
    <row r="440" spans="27:28" ht="21" customHeight="1">
      <c r="AA440" s="41">
        <f t="shared" ca="1" si="26"/>
        <v>0</v>
      </c>
      <c r="AB440" s="41">
        <v>440</v>
      </c>
    </row>
    <row r="441" spans="27:28" ht="21" customHeight="1">
      <c r="AA441" s="41">
        <f t="shared" ca="1" si="26"/>
        <v>0</v>
      </c>
      <c r="AB441" s="41">
        <v>441</v>
      </c>
    </row>
    <row r="442" spans="27:28" ht="21" customHeight="1">
      <c r="AA442" s="41">
        <f t="shared" ca="1" si="26"/>
        <v>0</v>
      </c>
      <c r="AB442" s="41">
        <v>442</v>
      </c>
    </row>
    <row r="443" spans="27:28" ht="21" customHeight="1">
      <c r="AA443" s="41">
        <f t="shared" ca="1" si="26"/>
        <v>0</v>
      </c>
      <c r="AB443" s="41">
        <v>443</v>
      </c>
    </row>
    <row r="444" spans="27:28" ht="21" customHeight="1">
      <c r="AA444" s="41">
        <f t="shared" ca="1" si="26"/>
        <v>0</v>
      </c>
      <c r="AB444" s="41">
        <v>444</v>
      </c>
    </row>
    <row r="445" spans="27:28" ht="21" customHeight="1">
      <c r="AA445" s="41">
        <f t="shared" ca="1" si="26"/>
        <v>0</v>
      </c>
      <c r="AB445" s="41">
        <v>445</v>
      </c>
    </row>
    <row r="446" spans="27:28" ht="21" customHeight="1">
      <c r="AA446" s="41">
        <f t="shared" ca="1" si="26"/>
        <v>0</v>
      </c>
      <c r="AB446" s="41">
        <v>446</v>
      </c>
    </row>
    <row r="447" spans="27:28" ht="21" customHeight="1">
      <c r="AA447" s="41">
        <f t="shared" ca="1" si="26"/>
        <v>0</v>
      </c>
      <c r="AB447" s="41">
        <v>447</v>
      </c>
    </row>
    <row r="448" spans="27:28" ht="21" customHeight="1">
      <c r="AA448" s="41">
        <f t="shared" ca="1" si="26"/>
        <v>0</v>
      </c>
      <c r="AB448" s="41">
        <v>448</v>
      </c>
    </row>
    <row r="449" spans="27:28" ht="21" customHeight="1">
      <c r="AA449" s="41">
        <f t="shared" ca="1" si="26"/>
        <v>0</v>
      </c>
      <c r="AB449" s="41">
        <v>449</v>
      </c>
    </row>
    <row r="450" spans="27:28" ht="21" customHeight="1">
      <c r="AA450" s="41">
        <f t="shared" ca="1" si="26"/>
        <v>0</v>
      </c>
      <c r="AB450" s="41">
        <v>450</v>
      </c>
    </row>
    <row r="451" spans="27:28" ht="21" customHeight="1">
      <c r="AA451" s="41">
        <f t="shared" ca="1" si="26"/>
        <v>0</v>
      </c>
      <c r="AB451" s="41">
        <v>451</v>
      </c>
    </row>
    <row r="452" spans="27:28" ht="21" customHeight="1">
      <c r="AA452" s="41">
        <f t="shared" ca="1" si="26"/>
        <v>0</v>
      </c>
      <c r="AB452" s="41">
        <v>452</v>
      </c>
    </row>
    <row r="453" spans="27:28" ht="21" customHeight="1">
      <c r="AA453" s="41">
        <f t="shared" ref="AA453:AA516" ca="1" si="27">INDIRECT($W$6&amp;"!"&amp;"B"&amp;ROW(B453))</f>
        <v>0</v>
      </c>
      <c r="AB453" s="41">
        <v>453</v>
      </c>
    </row>
    <row r="454" spans="27:28" ht="21" customHeight="1">
      <c r="AA454" s="41">
        <f t="shared" ca="1" si="27"/>
        <v>0</v>
      </c>
      <c r="AB454" s="41">
        <v>454</v>
      </c>
    </row>
    <row r="455" spans="27:28" ht="21" customHeight="1">
      <c r="AA455" s="41">
        <f t="shared" ca="1" si="27"/>
        <v>0</v>
      </c>
      <c r="AB455" s="41">
        <v>455</v>
      </c>
    </row>
    <row r="456" spans="27:28" ht="21" customHeight="1">
      <c r="AA456" s="41">
        <f t="shared" ca="1" si="27"/>
        <v>0</v>
      </c>
      <c r="AB456" s="41">
        <v>456</v>
      </c>
    </row>
    <row r="457" spans="27:28" ht="21" customHeight="1">
      <c r="AA457" s="41">
        <f t="shared" ca="1" si="27"/>
        <v>0</v>
      </c>
      <c r="AB457" s="41">
        <v>457</v>
      </c>
    </row>
    <row r="458" spans="27:28" ht="21" customHeight="1">
      <c r="AA458" s="41">
        <f t="shared" ca="1" si="27"/>
        <v>0</v>
      </c>
      <c r="AB458" s="41">
        <v>458</v>
      </c>
    </row>
    <row r="459" spans="27:28" ht="21" customHeight="1">
      <c r="AA459" s="41">
        <f t="shared" ca="1" si="27"/>
        <v>0</v>
      </c>
      <c r="AB459" s="41">
        <v>459</v>
      </c>
    </row>
    <row r="460" spans="27:28" ht="21" customHeight="1">
      <c r="AA460" s="41">
        <f t="shared" ca="1" si="27"/>
        <v>0</v>
      </c>
      <c r="AB460" s="41">
        <v>460</v>
      </c>
    </row>
    <row r="461" spans="27:28" ht="21" customHeight="1">
      <c r="AA461" s="41">
        <f t="shared" ca="1" si="27"/>
        <v>0</v>
      </c>
      <c r="AB461" s="41">
        <v>461</v>
      </c>
    </row>
    <row r="462" spans="27:28" ht="21" customHeight="1">
      <c r="AA462" s="41">
        <f t="shared" ca="1" si="27"/>
        <v>0</v>
      </c>
      <c r="AB462" s="41">
        <v>462</v>
      </c>
    </row>
    <row r="463" spans="27:28" ht="21" customHeight="1">
      <c r="AA463" s="41">
        <f t="shared" ca="1" si="27"/>
        <v>0</v>
      </c>
      <c r="AB463" s="41">
        <v>463</v>
      </c>
    </row>
    <row r="464" spans="27:28" ht="21" customHeight="1">
      <c r="AA464" s="41">
        <f t="shared" ca="1" si="27"/>
        <v>0</v>
      </c>
      <c r="AB464" s="41">
        <v>464</v>
      </c>
    </row>
    <row r="465" spans="27:28" ht="21" customHeight="1">
      <c r="AA465" s="41">
        <f t="shared" ca="1" si="27"/>
        <v>0</v>
      </c>
      <c r="AB465" s="41">
        <v>465</v>
      </c>
    </row>
    <row r="466" spans="27:28" ht="21" customHeight="1">
      <c r="AA466" s="41">
        <f t="shared" ca="1" si="27"/>
        <v>0</v>
      </c>
      <c r="AB466" s="41">
        <v>466</v>
      </c>
    </row>
    <row r="467" spans="27:28" ht="21" customHeight="1">
      <c r="AA467" s="41">
        <f t="shared" ca="1" si="27"/>
        <v>0</v>
      </c>
      <c r="AB467" s="41">
        <v>467</v>
      </c>
    </row>
    <row r="468" spans="27:28" ht="21" customHeight="1">
      <c r="AA468" s="41">
        <f t="shared" ca="1" si="27"/>
        <v>0</v>
      </c>
      <c r="AB468" s="41">
        <v>468</v>
      </c>
    </row>
    <row r="469" spans="27:28" ht="21" customHeight="1">
      <c r="AA469" s="41">
        <f t="shared" ca="1" si="27"/>
        <v>0</v>
      </c>
      <c r="AB469" s="41">
        <v>469</v>
      </c>
    </row>
    <row r="470" spans="27:28" ht="21" customHeight="1">
      <c r="AA470" s="41">
        <f t="shared" ca="1" si="27"/>
        <v>0</v>
      </c>
      <c r="AB470" s="41">
        <v>470</v>
      </c>
    </row>
    <row r="471" spans="27:28" ht="21" customHeight="1">
      <c r="AA471" s="41">
        <f t="shared" ca="1" si="27"/>
        <v>0</v>
      </c>
      <c r="AB471" s="41">
        <v>471</v>
      </c>
    </row>
    <row r="472" spans="27:28" ht="21" customHeight="1">
      <c r="AA472" s="41">
        <f t="shared" ca="1" si="27"/>
        <v>0</v>
      </c>
      <c r="AB472" s="41">
        <v>472</v>
      </c>
    </row>
    <row r="473" spans="27:28" ht="21" customHeight="1">
      <c r="AA473" s="41">
        <f t="shared" ca="1" si="27"/>
        <v>0</v>
      </c>
      <c r="AB473" s="41">
        <v>473</v>
      </c>
    </row>
    <row r="474" spans="27:28" ht="21" customHeight="1">
      <c r="AA474" s="41">
        <f t="shared" ca="1" si="27"/>
        <v>0</v>
      </c>
      <c r="AB474" s="41">
        <v>474</v>
      </c>
    </row>
    <row r="475" spans="27:28" ht="21" customHeight="1">
      <c r="AA475" s="41">
        <f t="shared" ca="1" si="27"/>
        <v>0</v>
      </c>
      <c r="AB475" s="41">
        <v>475</v>
      </c>
    </row>
    <row r="476" spans="27:28" ht="21" customHeight="1">
      <c r="AA476" s="41">
        <f t="shared" ca="1" si="27"/>
        <v>0</v>
      </c>
      <c r="AB476" s="41">
        <v>476</v>
      </c>
    </row>
    <row r="477" spans="27:28" ht="21" customHeight="1">
      <c r="AA477" s="41">
        <f t="shared" ca="1" si="27"/>
        <v>0</v>
      </c>
      <c r="AB477" s="41">
        <v>477</v>
      </c>
    </row>
    <row r="478" spans="27:28" ht="21" customHeight="1">
      <c r="AA478" s="41">
        <f t="shared" ca="1" si="27"/>
        <v>0</v>
      </c>
      <c r="AB478" s="41">
        <v>478</v>
      </c>
    </row>
    <row r="479" spans="27:28" ht="21" customHeight="1">
      <c r="AA479" s="41">
        <f t="shared" ca="1" si="27"/>
        <v>0</v>
      </c>
      <c r="AB479" s="41">
        <v>479</v>
      </c>
    </row>
    <row r="480" spans="27:28" ht="21" customHeight="1">
      <c r="AA480" s="41">
        <f t="shared" ca="1" si="27"/>
        <v>0</v>
      </c>
      <c r="AB480" s="41">
        <v>480</v>
      </c>
    </row>
    <row r="481" spans="27:28" ht="21" customHeight="1">
      <c r="AA481" s="41">
        <f t="shared" ca="1" si="27"/>
        <v>0</v>
      </c>
      <c r="AB481" s="41">
        <v>481</v>
      </c>
    </row>
    <row r="482" spans="27:28" ht="21" customHeight="1">
      <c r="AA482" s="41">
        <f t="shared" ca="1" si="27"/>
        <v>0</v>
      </c>
      <c r="AB482" s="41">
        <v>482</v>
      </c>
    </row>
    <row r="483" spans="27:28" ht="21" customHeight="1">
      <c r="AA483" s="41">
        <f t="shared" ca="1" si="27"/>
        <v>0</v>
      </c>
      <c r="AB483" s="41">
        <v>483</v>
      </c>
    </row>
    <row r="484" spans="27:28" ht="21" customHeight="1">
      <c r="AA484" s="41">
        <f t="shared" ca="1" si="27"/>
        <v>0</v>
      </c>
      <c r="AB484" s="41">
        <v>484</v>
      </c>
    </row>
    <row r="485" spans="27:28" ht="21" customHeight="1">
      <c r="AA485" s="41">
        <f t="shared" ca="1" si="27"/>
        <v>0</v>
      </c>
      <c r="AB485" s="41">
        <v>485</v>
      </c>
    </row>
    <row r="486" spans="27:28" ht="21" customHeight="1">
      <c r="AA486" s="41">
        <f t="shared" ca="1" si="27"/>
        <v>0</v>
      </c>
      <c r="AB486" s="41">
        <v>486</v>
      </c>
    </row>
    <row r="487" spans="27:28" ht="21" customHeight="1">
      <c r="AA487" s="41">
        <f t="shared" ca="1" si="27"/>
        <v>0</v>
      </c>
      <c r="AB487" s="41">
        <v>487</v>
      </c>
    </row>
    <row r="488" spans="27:28" ht="21" customHeight="1">
      <c r="AA488" s="41">
        <f t="shared" ca="1" si="27"/>
        <v>0</v>
      </c>
      <c r="AB488" s="41">
        <v>488</v>
      </c>
    </row>
    <row r="489" spans="27:28" ht="21" customHeight="1">
      <c r="AA489" s="41">
        <f t="shared" ca="1" si="27"/>
        <v>0</v>
      </c>
      <c r="AB489" s="41">
        <v>489</v>
      </c>
    </row>
    <row r="490" spans="27:28" ht="21" customHeight="1">
      <c r="AA490" s="41">
        <f t="shared" ca="1" si="27"/>
        <v>0</v>
      </c>
      <c r="AB490" s="41">
        <v>490</v>
      </c>
    </row>
    <row r="491" spans="27:28" ht="21" customHeight="1">
      <c r="AA491" s="41">
        <f t="shared" ca="1" si="27"/>
        <v>0</v>
      </c>
      <c r="AB491" s="41">
        <v>491</v>
      </c>
    </row>
    <row r="492" spans="27:28" ht="21" customHeight="1">
      <c r="AA492" s="41">
        <f t="shared" ca="1" si="27"/>
        <v>0</v>
      </c>
      <c r="AB492" s="41">
        <v>492</v>
      </c>
    </row>
    <row r="493" spans="27:28" ht="21" customHeight="1">
      <c r="AA493" s="41">
        <f t="shared" ca="1" si="27"/>
        <v>0</v>
      </c>
      <c r="AB493" s="41">
        <v>493</v>
      </c>
    </row>
    <row r="494" spans="27:28" ht="21" customHeight="1">
      <c r="AA494" s="41">
        <f t="shared" ca="1" si="27"/>
        <v>0</v>
      </c>
      <c r="AB494" s="41">
        <v>494</v>
      </c>
    </row>
    <row r="495" spans="27:28" ht="21" customHeight="1">
      <c r="AA495" s="41">
        <f t="shared" ca="1" si="27"/>
        <v>0</v>
      </c>
      <c r="AB495" s="41">
        <v>495</v>
      </c>
    </row>
    <row r="496" spans="27:28" ht="21" customHeight="1">
      <c r="AA496" s="41">
        <f t="shared" ca="1" si="27"/>
        <v>0</v>
      </c>
      <c r="AB496" s="41">
        <v>496</v>
      </c>
    </row>
    <row r="497" spans="27:28" ht="21" customHeight="1">
      <c r="AA497" s="41">
        <f t="shared" ca="1" si="27"/>
        <v>0</v>
      </c>
      <c r="AB497" s="41">
        <v>497</v>
      </c>
    </row>
    <row r="498" spans="27:28" ht="21" customHeight="1">
      <c r="AA498" s="41">
        <f t="shared" ca="1" si="27"/>
        <v>0</v>
      </c>
      <c r="AB498" s="41">
        <v>498</v>
      </c>
    </row>
    <row r="499" spans="27:28" ht="21" customHeight="1">
      <c r="AA499" s="41">
        <f t="shared" ca="1" si="27"/>
        <v>0</v>
      </c>
      <c r="AB499" s="41">
        <v>499</v>
      </c>
    </row>
    <row r="500" spans="27:28" ht="21" customHeight="1">
      <c r="AA500" s="41">
        <f t="shared" ca="1" si="27"/>
        <v>0</v>
      </c>
      <c r="AB500" s="41">
        <v>500</v>
      </c>
    </row>
    <row r="501" spans="27:28" ht="21" customHeight="1">
      <c r="AA501" s="41">
        <f t="shared" ca="1" si="27"/>
        <v>0</v>
      </c>
      <c r="AB501" s="41">
        <v>501</v>
      </c>
    </row>
    <row r="502" spans="27:28" ht="21" customHeight="1">
      <c r="AA502" s="41">
        <f t="shared" ca="1" si="27"/>
        <v>0</v>
      </c>
      <c r="AB502" s="41">
        <v>502</v>
      </c>
    </row>
    <row r="503" spans="27:28" ht="21" customHeight="1">
      <c r="AA503" s="41">
        <f t="shared" ca="1" si="27"/>
        <v>0</v>
      </c>
      <c r="AB503" s="41">
        <v>503</v>
      </c>
    </row>
    <row r="504" spans="27:28" ht="21" customHeight="1">
      <c r="AA504" s="41">
        <f t="shared" ca="1" si="27"/>
        <v>0</v>
      </c>
      <c r="AB504" s="41">
        <v>504</v>
      </c>
    </row>
    <row r="505" spans="27:28" ht="21" customHeight="1">
      <c r="AA505" s="41">
        <f t="shared" ca="1" si="27"/>
        <v>0</v>
      </c>
      <c r="AB505" s="41">
        <v>505</v>
      </c>
    </row>
    <row r="506" spans="27:28" ht="21" customHeight="1">
      <c r="AA506" s="41">
        <f t="shared" ca="1" si="27"/>
        <v>0</v>
      </c>
      <c r="AB506" s="41">
        <v>506</v>
      </c>
    </row>
    <row r="507" spans="27:28" ht="21" customHeight="1">
      <c r="AA507" s="41">
        <f t="shared" ca="1" si="27"/>
        <v>0</v>
      </c>
      <c r="AB507" s="41">
        <v>507</v>
      </c>
    </row>
    <row r="508" spans="27:28" ht="21" customHeight="1">
      <c r="AA508" s="41">
        <f t="shared" ca="1" si="27"/>
        <v>0</v>
      </c>
      <c r="AB508" s="41">
        <v>508</v>
      </c>
    </row>
    <row r="509" spans="27:28" ht="21" customHeight="1">
      <c r="AA509" s="41">
        <f t="shared" ca="1" si="27"/>
        <v>0</v>
      </c>
      <c r="AB509" s="41">
        <v>509</v>
      </c>
    </row>
    <row r="510" spans="27:28" ht="21" customHeight="1">
      <c r="AA510" s="41">
        <f t="shared" ca="1" si="27"/>
        <v>0</v>
      </c>
      <c r="AB510" s="41">
        <v>510</v>
      </c>
    </row>
    <row r="511" spans="27:28" ht="21" customHeight="1">
      <c r="AA511" s="41">
        <f t="shared" ca="1" si="27"/>
        <v>0</v>
      </c>
      <c r="AB511" s="41">
        <v>511</v>
      </c>
    </row>
    <row r="512" spans="27:28" ht="21" customHeight="1">
      <c r="AA512" s="41">
        <f t="shared" ca="1" si="27"/>
        <v>0</v>
      </c>
      <c r="AB512" s="41">
        <v>512</v>
      </c>
    </row>
    <row r="513" spans="27:28" ht="21" customHeight="1">
      <c r="AA513" s="41">
        <f t="shared" ca="1" si="27"/>
        <v>0</v>
      </c>
      <c r="AB513" s="41">
        <v>513</v>
      </c>
    </row>
    <row r="514" spans="27:28" ht="21" customHeight="1">
      <c r="AA514" s="41">
        <f t="shared" ca="1" si="27"/>
        <v>0</v>
      </c>
      <c r="AB514" s="41">
        <v>514</v>
      </c>
    </row>
    <row r="515" spans="27:28" ht="21" customHeight="1">
      <c r="AA515" s="41">
        <f t="shared" ca="1" si="27"/>
        <v>0</v>
      </c>
      <c r="AB515" s="41">
        <v>515</v>
      </c>
    </row>
    <row r="516" spans="27:28" ht="21" customHeight="1">
      <c r="AA516" s="41">
        <f t="shared" ca="1" si="27"/>
        <v>0</v>
      </c>
      <c r="AB516" s="41">
        <v>516</v>
      </c>
    </row>
    <row r="517" spans="27:28" ht="21" customHeight="1">
      <c r="AA517" s="41">
        <f t="shared" ref="AA517:AA580" ca="1" si="28">INDIRECT($W$6&amp;"!"&amp;"B"&amp;ROW(B517))</f>
        <v>0</v>
      </c>
      <c r="AB517" s="41">
        <v>517</v>
      </c>
    </row>
    <row r="518" spans="27:28" ht="21" customHeight="1">
      <c r="AA518" s="41">
        <f t="shared" ca="1" si="28"/>
        <v>0</v>
      </c>
      <c r="AB518" s="41">
        <v>518</v>
      </c>
    </row>
    <row r="519" spans="27:28" ht="21" customHeight="1">
      <c r="AA519" s="41">
        <f t="shared" ca="1" si="28"/>
        <v>0</v>
      </c>
      <c r="AB519" s="41">
        <v>519</v>
      </c>
    </row>
    <row r="520" spans="27:28" ht="21" customHeight="1">
      <c r="AA520" s="41">
        <f t="shared" ca="1" si="28"/>
        <v>0</v>
      </c>
      <c r="AB520" s="41">
        <v>520</v>
      </c>
    </row>
    <row r="521" spans="27:28" ht="21" customHeight="1">
      <c r="AA521" s="41">
        <f t="shared" ca="1" si="28"/>
        <v>0</v>
      </c>
      <c r="AB521" s="41">
        <v>521</v>
      </c>
    </row>
    <row r="522" spans="27:28" ht="21" customHeight="1">
      <c r="AA522" s="41">
        <f t="shared" ca="1" si="28"/>
        <v>0</v>
      </c>
      <c r="AB522" s="41">
        <v>522</v>
      </c>
    </row>
    <row r="523" spans="27:28" ht="21" customHeight="1">
      <c r="AA523" s="41">
        <f t="shared" ca="1" si="28"/>
        <v>0</v>
      </c>
      <c r="AB523" s="41">
        <v>523</v>
      </c>
    </row>
    <row r="524" spans="27:28" ht="21" customHeight="1">
      <c r="AA524" s="41">
        <f t="shared" ca="1" si="28"/>
        <v>0</v>
      </c>
      <c r="AB524" s="41">
        <v>524</v>
      </c>
    </row>
    <row r="525" spans="27:28" ht="21" customHeight="1">
      <c r="AA525" s="41">
        <f t="shared" ca="1" si="28"/>
        <v>0</v>
      </c>
      <c r="AB525" s="41">
        <v>525</v>
      </c>
    </row>
    <row r="526" spans="27:28" ht="21" customHeight="1">
      <c r="AA526" s="41">
        <f t="shared" ca="1" si="28"/>
        <v>0</v>
      </c>
      <c r="AB526" s="41">
        <v>526</v>
      </c>
    </row>
    <row r="527" spans="27:28" ht="21" customHeight="1">
      <c r="AA527" s="41">
        <f t="shared" ca="1" si="28"/>
        <v>0</v>
      </c>
      <c r="AB527" s="41">
        <v>527</v>
      </c>
    </row>
    <row r="528" spans="27:28" ht="21" customHeight="1">
      <c r="AA528" s="41">
        <f t="shared" ca="1" si="28"/>
        <v>0</v>
      </c>
      <c r="AB528" s="41">
        <v>528</v>
      </c>
    </row>
    <row r="529" spans="27:28" ht="21" customHeight="1">
      <c r="AA529" s="41">
        <f t="shared" ca="1" si="28"/>
        <v>0</v>
      </c>
      <c r="AB529" s="41">
        <v>529</v>
      </c>
    </row>
    <row r="530" spans="27:28" ht="21" customHeight="1">
      <c r="AA530" s="41">
        <f t="shared" ca="1" si="28"/>
        <v>0</v>
      </c>
      <c r="AB530" s="41">
        <v>530</v>
      </c>
    </row>
    <row r="531" spans="27:28" ht="21" customHeight="1">
      <c r="AA531" s="41">
        <f t="shared" ca="1" si="28"/>
        <v>0</v>
      </c>
      <c r="AB531" s="41">
        <v>531</v>
      </c>
    </row>
    <row r="532" spans="27:28" ht="21" customHeight="1">
      <c r="AA532" s="41">
        <f t="shared" ca="1" si="28"/>
        <v>0</v>
      </c>
      <c r="AB532" s="41">
        <v>532</v>
      </c>
    </row>
    <row r="533" spans="27:28" ht="21" customHeight="1">
      <c r="AA533" s="41">
        <f t="shared" ca="1" si="28"/>
        <v>0</v>
      </c>
      <c r="AB533" s="41">
        <v>533</v>
      </c>
    </row>
    <row r="534" spans="27:28" ht="21" customHeight="1">
      <c r="AA534" s="41">
        <f t="shared" ca="1" si="28"/>
        <v>0</v>
      </c>
      <c r="AB534" s="41">
        <v>534</v>
      </c>
    </row>
    <row r="535" spans="27:28" ht="21" customHeight="1">
      <c r="AA535" s="41">
        <f t="shared" ca="1" si="28"/>
        <v>0</v>
      </c>
      <c r="AB535" s="41">
        <v>535</v>
      </c>
    </row>
    <row r="536" spans="27:28" ht="21" customHeight="1">
      <c r="AA536" s="41">
        <f t="shared" ca="1" si="28"/>
        <v>0</v>
      </c>
      <c r="AB536" s="41">
        <v>536</v>
      </c>
    </row>
    <row r="537" spans="27:28" ht="21" customHeight="1">
      <c r="AA537" s="41">
        <f t="shared" ca="1" si="28"/>
        <v>0</v>
      </c>
      <c r="AB537" s="41">
        <v>537</v>
      </c>
    </row>
    <row r="538" spans="27:28" ht="21" customHeight="1">
      <c r="AA538" s="41">
        <f t="shared" ca="1" si="28"/>
        <v>0</v>
      </c>
      <c r="AB538" s="41">
        <v>538</v>
      </c>
    </row>
    <row r="539" spans="27:28" ht="21" customHeight="1">
      <c r="AA539" s="41">
        <f t="shared" ca="1" si="28"/>
        <v>0</v>
      </c>
      <c r="AB539" s="41">
        <v>539</v>
      </c>
    </row>
    <row r="540" spans="27:28" ht="21" customHeight="1">
      <c r="AA540" s="41">
        <f t="shared" ca="1" si="28"/>
        <v>0</v>
      </c>
      <c r="AB540" s="41">
        <v>540</v>
      </c>
    </row>
    <row r="541" spans="27:28" ht="21" customHeight="1">
      <c r="AA541" s="41">
        <f t="shared" ca="1" si="28"/>
        <v>0</v>
      </c>
      <c r="AB541" s="41">
        <v>541</v>
      </c>
    </row>
    <row r="542" spans="27:28" ht="21" customHeight="1">
      <c r="AA542" s="41">
        <f t="shared" ca="1" si="28"/>
        <v>0</v>
      </c>
      <c r="AB542" s="41">
        <v>542</v>
      </c>
    </row>
    <row r="543" spans="27:28" ht="21" customHeight="1">
      <c r="AA543" s="41">
        <f t="shared" ca="1" si="28"/>
        <v>0</v>
      </c>
      <c r="AB543" s="41">
        <v>543</v>
      </c>
    </row>
    <row r="544" spans="27:28" ht="21" customHeight="1">
      <c r="AA544" s="41">
        <f t="shared" ca="1" si="28"/>
        <v>0</v>
      </c>
      <c r="AB544" s="41">
        <v>544</v>
      </c>
    </row>
    <row r="545" spans="27:28" ht="21" customHeight="1">
      <c r="AA545" s="41">
        <f t="shared" ca="1" si="28"/>
        <v>0</v>
      </c>
      <c r="AB545" s="41">
        <v>545</v>
      </c>
    </row>
    <row r="546" spans="27:28" ht="21" customHeight="1">
      <c r="AA546" s="41">
        <f t="shared" ca="1" si="28"/>
        <v>0</v>
      </c>
      <c r="AB546" s="41">
        <v>546</v>
      </c>
    </row>
    <row r="547" spans="27:28" ht="21" customHeight="1">
      <c r="AA547" s="41">
        <f t="shared" ca="1" si="28"/>
        <v>0</v>
      </c>
      <c r="AB547" s="41">
        <v>547</v>
      </c>
    </row>
    <row r="548" spans="27:28" ht="21" customHeight="1">
      <c r="AA548" s="41">
        <f t="shared" ca="1" si="28"/>
        <v>0</v>
      </c>
      <c r="AB548" s="41">
        <v>548</v>
      </c>
    </row>
    <row r="549" spans="27:28" ht="21" customHeight="1">
      <c r="AA549" s="41">
        <f t="shared" ca="1" si="28"/>
        <v>0</v>
      </c>
      <c r="AB549" s="41">
        <v>549</v>
      </c>
    </row>
    <row r="550" spans="27:28" ht="21" customHeight="1">
      <c r="AA550" s="41">
        <f t="shared" ca="1" si="28"/>
        <v>0</v>
      </c>
      <c r="AB550" s="41">
        <v>550</v>
      </c>
    </row>
    <row r="551" spans="27:28" ht="21" customHeight="1">
      <c r="AA551" s="41">
        <f t="shared" ca="1" si="28"/>
        <v>0</v>
      </c>
      <c r="AB551" s="41">
        <v>551</v>
      </c>
    </row>
    <row r="552" spans="27:28" ht="21" customHeight="1">
      <c r="AA552" s="41">
        <f t="shared" ca="1" si="28"/>
        <v>0</v>
      </c>
      <c r="AB552" s="41">
        <v>552</v>
      </c>
    </row>
    <row r="553" spans="27:28" ht="21" customHeight="1">
      <c r="AA553" s="41">
        <f t="shared" ca="1" si="28"/>
        <v>0</v>
      </c>
      <c r="AB553" s="41">
        <v>553</v>
      </c>
    </row>
    <row r="554" spans="27:28" ht="21" customHeight="1">
      <c r="AA554" s="41">
        <f t="shared" ca="1" si="28"/>
        <v>0</v>
      </c>
      <c r="AB554" s="41">
        <v>554</v>
      </c>
    </row>
    <row r="555" spans="27:28" ht="21" customHeight="1">
      <c r="AA555" s="41">
        <f t="shared" ca="1" si="28"/>
        <v>0</v>
      </c>
      <c r="AB555" s="41">
        <v>555</v>
      </c>
    </row>
    <row r="556" spans="27:28" ht="21" customHeight="1">
      <c r="AA556" s="41">
        <f t="shared" ca="1" si="28"/>
        <v>0</v>
      </c>
      <c r="AB556" s="41">
        <v>556</v>
      </c>
    </row>
    <row r="557" spans="27:28" ht="21" customHeight="1">
      <c r="AA557" s="41">
        <f t="shared" ca="1" si="28"/>
        <v>0</v>
      </c>
      <c r="AB557" s="41">
        <v>557</v>
      </c>
    </row>
    <row r="558" spans="27:28" ht="21" customHeight="1">
      <c r="AA558" s="41">
        <f t="shared" ca="1" si="28"/>
        <v>0</v>
      </c>
      <c r="AB558" s="41">
        <v>558</v>
      </c>
    </row>
    <row r="559" spans="27:28" ht="21" customHeight="1">
      <c r="AA559" s="41">
        <f t="shared" ca="1" si="28"/>
        <v>0</v>
      </c>
      <c r="AB559" s="41">
        <v>559</v>
      </c>
    </row>
    <row r="560" spans="27:28" ht="21" customHeight="1">
      <c r="AA560" s="41">
        <f t="shared" ca="1" si="28"/>
        <v>0</v>
      </c>
      <c r="AB560" s="41">
        <v>560</v>
      </c>
    </row>
    <row r="561" spans="27:28" ht="21" customHeight="1">
      <c r="AA561" s="41">
        <f t="shared" ca="1" si="28"/>
        <v>0</v>
      </c>
      <c r="AB561" s="41">
        <v>561</v>
      </c>
    </row>
    <row r="562" spans="27:28" ht="21" customHeight="1">
      <c r="AA562" s="41">
        <f t="shared" ca="1" si="28"/>
        <v>0</v>
      </c>
      <c r="AB562" s="41">
        <v>562</v>
      </c>
    </row>
    <row r="563" spans="27:28" ht="21" customHeight="1">
      <c r="AA563" s="41">
        <f t="shared" ca="1" si="28"/>
        <v>0</v>
      </c>
      <c r="AB563" s="41">
        <v>563</v>
      </c>
    </row>
    <row r="564" spans="27:28" ht="21" customHeight="1">
      <c r="AA564" s="41">
        <f t="shared" ca="1" si="28"/>
        <v>0</v>
      </c>
      <c r="AB564" s="41">
        <v>564</v>
      </c>
    </row>
    <row r="565" spans="27:28" ht="21" customHeight="1">
      <c r="AA565" s="41">
        <f t="shared" ca="1" si="28"/>
        <v>0</v>
      </c>
      <c r="AB565" s="41">
        <v>565</v>
      </c>
    </row>
    <row r="566" spans="27:28" ht="21" customHeight="1">
      <c r="AA566" s="41">
        <f t="shared" ca="1" si="28"/>
        <v>0</v>
      </c>
      <c r="AB566" s="41">
        <v>566</v>
      </c>
    </row>
    <row r="567" spans="27:28" ht="21" customHeight="1">
      <c r="AA567" s="41">
        <f t="shared" ca="1" si="28"/>
        <v>0</v>
      </c>
      <c r="AB567" s="41">
        <v>567</v>
      </c>
    </row>
    <row r="568" spans="27:28" ht="21" customHeight="1">
      <c r="AA568" s="41">
        <f t="shared" ca="1" si="28"/>
        <v>0</v>
      </c>
      <c r="AB568" s="41">
        <v>568</v>
      </c>
    </row>
    <row r="569" spans="27:28" ht="21" customHeight="1">
      <c r="AA569" s="41">
        <f t="shared" ca="1" si="28"/>
        <v>0</v>
      </c>
      <c r="AB569" s="41">
        <v>569</v>
      </c>
    </row>
    <row r="570" spans="27:28" ht="21" customHeight="1">
      <c r="AA570" s="41">
        <f t="shared" ca="1" si="28"/>
        <v>0</v>
      </c>
      <c r="AB570" s="41">
        <v>570</v>
      </c>
    </row>
    <row r="571" spans="27:28" ht="21" customHeight="1">
      <c r="AA571" s="41">
        <f t="shared" ca="1" si="28"/>
        <v>0</v>
      </c>
      <c r="AB571" s="41">
        <v>571</v>
      </c>
    </row>
    <row r="572" spans="27:28" ht="21" customHeight="1">
      <c r="AA572" s="41">
        <f t="shared" ca="1" si="28"/>
        <v>0</v>
      </c>
      <c r="AB572" s="41">
        <v>572</v>
      </c>
    </row>
    <row r="573" spans="27:28" ht="21" customHeight="1">
      <c r="AA573" s="41">
        <f t="shared" ca="1" si="28"/>
        <v>0</v>
      </c>
      <c r="AB573" s="41">
        <v>573</v>
      </c>
    </row>
    <row r="574" spans="27:28" ht="21" customHeight="1">
      <c r="AA574" s="41">
        <f t="shared" ca="1" si="28"/>
        <v>0</v>
      </c>
      <c r="AB574" s="41">
        <v>574</v>
      </c>
    </row>
    <row r="575" spans="27:28" ht="21" customHeight="1">
      <c r="AA575" s="41">
        <f t="shared" ca="1" si="28"/>
        <v>0</v>
      </c>
      <c r="AB575" s="41">
        <v>575</v>
      </c>
    </row>
    <row r="576" spans="27:28" ht="21" customHeight="1">
      <c r="AA576" s="41">
        <f t="shared" ca="1" si="28"/>
        <v>0</v>
      </c>
      <c r="AB576" s="41">
        <v>576</v>
      </c>
    </row>
    <row r="577" spans="27:28" ht="21" customHeight="1">
      <c r="AA577" s="41">
        <f t="shared" ca="1" si="28"/>
        <v>0</v>
      </c>
      <c r="AB577" s="41">
        <v>577</v>
      </c>
    </row>
    <row r="578" spans="27:28" ht="21" customHeight="1">
      <c r="AA578" s="41">
        <f t="shared" ca="1" si="28"/>
        <v>0</v>
      </c>
      <c r="AB578" s="41">
        <v>578</v>
      </c>
    </row>
    <row r="579" spans="27:28" ht="21" customHeight="1">
      <c r="AA579" s="41">
        <f t="shared" ca="1" si="28"/>
        <v>0</v>
      </c>
      <c r="AB579" s="41">
        <v>579</v>
      </c>
    </row>
    <row r="580" spans="27:28" ht="21" customHeight="1">
      <c r="AA580" s="41">
        <f t="shared" ca="1" si="28"/>
        <v>0</v>
      </c>
      <c r="AB580" s="41">
        <v>580</v>
      </c>
    </row>
    <row r="581" spans="27:28" ht="21" customHeight="1">
      <c r="AA581" s="41">
        <f t="shared" ref="AA581:AA644" ca="1" si="29">INDIRECT($W$6&amp;"!"&amp;"B"&amp;ROW(B581))</f>
        <v>0</v>
      </c>
      <c r="AB581" s="41">
        <v>581</v>
      </c>
    </row>
    <row r="582" spans="27:28" ht="21" customHeight="1">
      <c r="AA582" s="41">
        <f t="shared" ca="1" si="29"/>
        <v>0</v>
      </c>
      <c r="AB582" s="41">
        <v>582</v>
      </c>
    </row>
    <row r="583" spans="27:28" ht="21" customHeight="1">
      <c r="AA583" s="41">
        <f t="shared" ca="1" si="29"/>
        <v>0</v>
      </c>
      <c r="AB583" s="41">
        <v>583</v>
      </c>
    </row>
    <row r="584" spans="27:28" ht="21" customHeight="1">
      <c r="AA584" s="41">
        <f t="shared" ca="1" si="29"/>
        <v>0</v>
      </c>
      <c r="AB584" s="41">
        <v>584</v>
      </c>
    </row>
    <row r="585" spans="27:28" ht="21" customHeight="1">
      <c r="AA585" s="41">
        <f t="shared" ca="1" si="29"/>
        <v>0</v>
      </c>
      <c r="AB585" s="41">
        <v>585</v>
      </c>
    </row>
    <row r="586" spans="27:28" ht="21" customHeight="1">
      <c r="AA586" s="41">
        <f t="shared" ca="1" si="29"/>
        <v>0</v>
      </c>
      <c r="AB586" s="41">
        <v>586</v>
      </c>
    </row>
    <row r="587" spans="27:28" ht="21" customHeight="1">
      <c r="AA587" s="41">
        <f t="shared" ca="1" si="29"/>
        <v>0</v>
      </c>
      <c r="AB587" s="41">
        <v>587</v>
      </c>
    </row>
    <row r="588" spans="27:28" ht="21" customHeight="1">
      <c r="AA588" s="41">
        <f t="shared" ca="1" si="29"/>
        <v>0</v>
      </c>
      <c r="AB588" s="41">
        <v>588</v>
      </c>
    </row>
    <row r="589" spans="27:28" ht="21" customHeight="1">
      <c r="AA589" s="41">
        <f t="shared" ca="1" si="29"/>
        <v>0</v>
      </c>
      <c r="AB589" s="41">
        <v>589</v>
      </c>
    </row>
    <row r="590" spans="27:28" ht="21" customHeight="1">
      <c r="AA590" s="41">
        <f t="shared" ca="1" si="29"/>
        <v>0</v>
      </c>
      <c r="AB590" s="41">
        <v>590</v>
      </c>
    </row>
    <row r="591" spans="27:28" ht="21" customHeight="1">
      <c r="AA591" s="41">
        <f t="shared" ca="1" si="29"/>
        <v>0</v>
      </c>
      <c r="AB591" s="41">
        <v>591</v>
      </c>
    </row>
    <row r="592" spans="27:28" ht="21" customHeight="1">
      <c r="AA592" s="41">
        <f t="shared" ca="1" si="29"/>
        <v>0</v>
      </c>
      <c r="AB592" s="41">
        <v>592</v>
      </c>
    </row>
    <row r="593" spans="27:28" ht="21" customHeight="1">
      <c r="AA593" s="41">
        <f t="shared" ca="1" si="29"/>
        <v>0</v>
      </c>
      <c r="AB593" s="41">
        <v>593</v>
      </c>
    </row>
    <row r="594" spans="27:28" ht="21" customHeight="1">
      <c r="AA594" s="41">
        <f t="shared" ca="1" si="29"/>
        <v>0</v>
      </c>
      <c r="AB594" s="41">
        <v>594</v>
      </c>
    </row>
    <row r="595" spans="27:28" ht="21" customHeight="1">
      <c r="AA595" s="41">
        <f t="shared" ca="1" si="29"/>
        <v>0</v>
      </c>
      <c r="AB595" s="41">
        <v>595</v>
      </c>
    </row>
    <row r="596" spans="27:28" ht="21" customHeight="1">
      <c r="AA596" s="41">
        <f t="shared" ca="1" si="29"/>
        <v>0</v>
      </c>
      <c r="AB596" s="41">
        <v>596</v>
      </c>
    </row>
    <row r="597" spans="27:28" ht="21" customHeight="1">
      <c r="AA597" s="41">
        <f t="shared" ca="1" si="29"/>
        <v>0</v>
      </c>
      <c r="AB597" s="41">
        <v>597</v>
      </c>
    </row>
    <row r="598" spans="27:28" ht="21" customHeight="1">
      <c r="AA598" s="41">
        <f t="shared" ca="1" si="29"/>
        <v>0</v>
      </c>
      <c r="AB598" s="41">
        <v>598</v>
      </c>
    </row>
    <row r="599" spans="27:28" ht="21" customHeight="1">
      <c r="AA599" s="41">
        <f t="shared" ca="1" si="29"/>
        <v>0</v>
      </c>
      <c r="AB599" s="41">
        <v>599</v>
      </c>
    </row>
    <row r="600" spans="27:28" ht="21" customHeight="1">
      <c r="AA600" s="41">
        <f t="shared" ca="1" si="29"/>
        <v>0</v>
      </c>
      <c r="AB600" s="41">
        <v>600</v>
      </c>
    </row>
    <row r="601" spans="27:28" ht="21" customHeight="1">
      <c r="AA601" s="41">
        <f t="shared" ca="1" si="29"/>
        <v>0</v>
      </c>
      <c r="AB601" s="41">
        <v>601</v>
      </c>
    </row>
    <row r="602" spans="27:28" ht="21" customHeight="1">
      <c r="AA602" s="41">
        <f t="shared" ca="1" si="29"/>
        <v>0</v>
      </c>
      <c r="AB602" s="41">
        <v>602</v>
      </c>
    </row>
    <row r="603" spans="27:28" ht="21" customHeight="1">
      <c r="AA603" s="41">
        <f t="shared" ca="1" si="29"/>
        <v>0</v>
      </c>
      <c r="AB603" s="41">
        <v>603</v>
      </c>
    </row>
    <row r="604" spans="27:28" ht="21" customHeight="1">
      <c r="AA604" s="41">
        <f t="shared" ca="1" si="29"/>
        <v>0</v>
      </c>
      <c r="AB604" s="41">
        <v>604</v>
      </c>
    </row>
    <row r="605" spans="27:28" ht="21" customHeight="1">
      <c r="AA605" s="41">
        <f t="shared" ca="1" si="29"/>
        <v>0</v>
      </c>
      <c r="AB605" s="41">
        <v>605</v>
      </c>
    </row>
    <row r="606" spans="27:28" ht="21" customHeight="1">
      <c r="AA606" s="41">
        <f t="shared" ca="1" si="29"/>
        <v>0</v>
      </c>
      <c r="AB606" s="41">
        <v>606</v>
      </c>
    </row>
    <row r="607" spans="27:28" ht="21" customHeight="1">
      <c r="AA607" s="41">
        <f t="shared" ca="1" si="29"/>
        <v>0</v>
      </c>
      <c r="AB607" s="41">
        <v>607</v>
      </c>
    </row>
    <row r="608" spans="27:28" ht="21" customHeight="1">
      <c r="AA608" s="41">
        <f t="shared" ca="1" si="29"/>
        <v>0</v>
      </c>
      <c r="AB608" s="41">
        <v>608</v>
      </c>
    </row>
    <row r="609" spans="27:28" ht="21" customHeight="1">
      <c r="AA609" s="41">
        <f t="shared" ca="1" si="29"/>
        <v>0</v>
      </c>
      <c r="AB609" s="41">
        <v>609</v>
      </c>
    </row>
    <row r="610" spans="27:28" ht="21" customHeight="1">
      <c r="AA610" s="41">
        <f t="shared" ca="1" si="29"/>
        <v>0</v>
      </c>
      <c r="AB610" s="41">
        <v>610</v>
      </c>
    </row>
    <row r="611" spans="27:28" ht="21" customHeight="1">
      <c r="AA611" s="41">
        <f t="shared" ca="1" si="29"/>
        <v>0</v>
      </c>
      <c r="AB611" s="41">
        <v>611</v>
      </c>
    </row>
    <row r="612" spans="27:28" ht="21" customHeight="1">
      <c r="AA612" s="41">
        <f t="shared" ca="1" si="29"/>
        <v>0</v>
      </c>
      <c r="AB612" s="41">
        <v>612</v>
      </c>
    </row>
    <row r="613" spans="27:28" ht="21" customHeight="1">
      <c r="AA613" s="41">
        <f t="shared" ca="1" si="29"/>
        <v>0</v>
      </c>
      <c r="AB613" s="41">
        <v>613</v>
      </c>
    </row>
    <row r="614" spans="27:28" ht="21" customHeight="1">
      <c r="AA614" s="41">
        <f t="shared" ca="1" si="29"/>
        <v>0</v>
      </c>
      <c r="AB614" s="41">
        <v>614</v>
      </c>
    </row>
    <row r="615" spans="27:28" ht="21" customHeight="1">
      <c r="AA615" s="41">
        <f t="shared" ca="1" si="29"/>
        <v>0</v>
      </c>
      <c r="AB615" s="41">
        <v>615</v>
      </c>
    </row>
    <row r="616" spans="27:28" ht="21" customHeight="1">
      <c r="AA616" s="41">
        <f t="shared" ca="1" si="29"/>
        <v>0</v>
      </c>
      <c r="AB616" s="41">
        <v>616</v>
      </c>
    </row>
    <row r="617" spans="27:28" ht="21" customHeight="1">
      <c r="AA617" s="41">
        <f t="shared" ca="1" si="29"/>
        <v>0</v>
      </c>
      <c r="AB617" s="41">
        <v>617</v>
      </c>
    </row>
    <row r="618" spans="27:28" ht="21" customHeight="1">
      <c r="AA618" s="41">
        <f t="shared" ca="1" si="29"/>
        <v>0</v>
      </c>
      <c r="AB618" s="41">
        <v>618</v>
      </c>
    </row>
    <row r="619" spans="27:28" ht="21" customHeight="1">
      <c r="AA619" s="41">
        <f t="shared" ca="1" si="29"/>
        <v>0</v>
      </c>
      <c r="AB619" s="41">
        <v>619</v>
      </c>
    </row>
    <row r="620" spans="27:28" ht="21" customHeight="1">
      <c r="AA620" s="41">
        <f t="shared" ca="1" si="29"/>
        <v>0</v>
      </c>
      <c r="AB620" s="41">
        <v>620</v>
      </c>
    </row>
    <row r="621" spans="27:28" ht="21" customHeight="1">
      <c r="AA621" s="41">
        <f t="shared" ca="1" si="29"/>
        <v>0</v>
      </c>
      <c r="AB621" s="41">
        <v>621</v>
      </c>
    </row>
    <row r="622" spans="27:28" ht="21" customHeight="1">
      <c r="AA622" s="41">
        <f t="shared" ca="1" si="29"/>
        <v>0</v>
      </c>
      <c r="AB622" s="41">
        <v>622</v>
      </c>
    </row>
    <row r="623" spans="27:28" ht="21" customHeight="1">
      <c r="AA623" s="41">
        <f t="shared" ca="1" si="29"/>
        <v>0</v>
      </c>
      <c r="AB623" s="41">
        <v>623</v>
      </c>
    </row>
    <row r="624" spans="27:28" ht="21" customHeight="1">
      <c r="AA624" s="41">
        <f t="shared" ca="1" si="29"/>
        <v>0</v>
      </c>
      <c r="AB624" s="41">
        <v>624</v>
      </c>
    </row>
    <row r="625" spans="27:28" ht="21" customHeight="1">
      <c r="AA625" s="41">
        <f t="shared" ca="1" si="29"/>
        <v>0</v>
      </c>
      <c r="AB625" s="41">
        <v>625</v>
      </c>
    </row>
    <row r="626" spans="27:28" ht="21" customHeight="1">
      <c r="AA626" s="41">
        <f t="shared" ca="1" si="29"/>
        <v>0</v>
      </c>
      <c r="AB626" s="41">
        <v>626</v>
      </c>
    </row>
    <row r="627" spans="27:28" ht="21" customHeight="1">
      <c r="AA627" s="41">
        <f t="shared" ca="1" si="29"/>
        <v>0</v>
      </c>
      <c r="AB627" s="41">
        <v>627</v>
      </c>
    </row>
    <row r="628" spans="27:28" ht="21" customHeight="1">
      <c r="AA628" s="41">
        <f t="shared" ca="1" si="29"/>
        <v>0</v>
      </c>
      <c r="AB628" s="41">
        <v>628</v>
      </c>
    </row>
    <row r="629" spans="27:28" ht="21" customHeight="1">
      <c r="AA629" s="41">
        <f t="shared" ca="1" si="29"/>
        <v>0</v>
      </c>
      <c r="AB629" s="41">
        <v>629</v>
      </c>
    </row>
    <row r="630" spans="27:28" ht="21" customHeight="1">
      <c r="AA630" s="41">
        <f t="shared" ca="1" si="29"/>
        <v>0</v>
      </c>
      <c r="AB630" s="41">
        <v>630</v>
      </c>
    </row>
    <row r="631" spans="27:28" ht="21" customHeight="1">
      <c r="AA631" s="41">
        <f t="shared" ca="1" si="29"/>
        <v>0</v>
      </c>
      <c r="AB631" s="41">
        <v>631</v>
      </c>
    </row>
    <row r="632" spans="27:28" ht="21" customHeight="1">
      <c r="AA632" s="41">
        <f t="shared" ca="1" si="29"/>
        <v>0</v>
      </c>
      <c r="AB632" s="41">
        <v>632</v>
      </c>
    </row>
    <row r="633" spans="27:28" ht="21" customHeight="1">
      <c r="AA633" s="41">
        <f t="shared" ca="1" si="29"/>
        <v>0</v>
      </c>
      <c r="AB633" s="41">
        <v>633</v>
      </c>
    </row>
    <row r="634" spans="27:28" ht="21" customHeight="1">
      <c r="AA634" s="41">
        <f t="shared" ca="1" si="29"/>
        <v>0</v>
      </c>
      <c r="AB634" s="41">
        <v>634</v>
      </c>
    </row>
    <row r="635" spans="27:28" ht="21" customHeight="1">
      <c r="AA635" s="41">
        <f t="shared" ca="1" si="29"/>
        <v>0</v>
      </c>
      <c r="AB635" s="41">
        <v>635</v>
      </c>
    </row>
    <row r="636" spans="27:28" ht="21" customHeight="1">
      <c r="AA636" s="41">
        <f t="shared" ca="1" si="29"/>
        <v>0</v>
      </c>
      <c r="AB636" s="41">
        <v>636</v>
      </c>
    </row>
    <row r="637" spans="27:28" ht="21" customHeight="1">
      <c r="AA637" s="41">
        <f t="shared" ca="1" si="29"/>
        <v>0</v>
      </c>
      <c r="AB637" s="41">
        <v>637</v>
      </c>
    </row>
    <row r="638" spans="27:28" ht="21" customHeight="1">
      <c r="AA638" s="41">
        <f t="shared" ca="1" si="29"/>
        <v>0</v>
      </c>
      <c r="AB638" s="41">
        <v>638</v>
      </c>
    </row>
    <row r="639" spans="27:28" ht="21" customHeight="1">
      <c r="AA639" s="41">
        <f t="shared" ca="1" si="29"/>
        <v>0</v>
      </c>
      <c r="AB639" s="41">
        <v>639</v>
      </c>
    </row>
    <row r="640" spans="27:28" ht="21" customHeight="1">
      <c r="AA640" s="41">
        <f t="shared" ca="1" si="29"/>
        <v>0</v>
      </c>
      <c r="AB640" s="41">
        <v>640</v>
      </c>
    </row>
    <row r="641" spans="27:28" ht="21" customHeight="1">
      <c r="AA641" s="41">
        <f t="shared" ca="1" si="29"/>
        <v>0</v>
      </c>
      <c r="AB641" s="41">
        <v>641</v>
      </c>
    </row>
    <row r="642" spans="27:28" ht="21" customHeight="1">
      <c r="AA642" s="41">
        <f t="shared" ca="1" si="29"/>
        <v>0</v>
      </c>
      <c r="AB642" s="41">
        <v>642</v>
      </c>
    </row>
    <row r="643" spans="27:28" ht="21" customHeight="1">
      <c r="AA643" s="41">
        <f t="shared" ca="1" si="29"/>
        <v>0</v>
      </c>
      <c r="AB643" s="41">
        <v>643</v>
      </c>
    </row>
    <row r="644" spans="27:28" ht="21" customHeight="1">
      <c r="AA644" s="41">
        <f t="shared" ca="1" si="29"/>
        <v>0</v>
      </c>
      <c r="AB644" s="41">
        <v>644</v>
      </c>
    </row>
    <row r="645" spans="27:28" ht="21" customHeight="1">
      <c r="AA645" s="41">
        <f t="shared" ref="AA645:AA708" ca="1" si="30">INDIRECT($W$6&amp;"!"&amp;"B"&amp;ROW(B645))</f>
        <v>0</v>
      </c>
      <c r="AB645" s="41">
        <v>645</v>
      </c>
    </row>
    <row r="646" spans="27:28" ht="21" customHeight="1">
      <c r="AA646" s="41">
        <f t="shared" ca="1" si="30"/>
        <v>0</v>
      </c>
      <c r="AB646" s="41">
        <v>646</v>
      </c>
    </row>
    <row r="647" spans="27:28" ht="21" customHeight="1">
      <c r="AA647" s="41">
        <f t="shared" ca="1" si="30"/>
        <v>0</v>
      </c>
      <c r="AB647" s="41">
        <v>647</v>
      </c>
    </row>
    <row r="648" spans="27:28" ht="21" customHeight="1">
      <c r="AA648" s="41">
        <f t="shared" ca="1" si="30"/>
        <v>0</v>
      </c>
      <c r="AB648" s="41">
        <v>648</v>
      </c>
    </row>
    <row r="649" spans="27:28" ht="21" customHeight="1">
      <c r="AA649" s="41">
        <f t="shared" ca="1" si="30"/>
        <v>0</v>
      </c>
      <c r="AB649" s="41">
        <v>649</v>
      </c>
    </row>
    <row r="650" spans="27:28" ht="21" customHeight="1">
      <c r="AA650" s="41">
        <f t="shared" ca="1" si="30"/>
        <v>0</v>
      </c>
      <c r="AB650" s="41">
        <v>650</v>
      </c>
    </row>
    <row r="651" spans="27:28" ht="21" customHeight="1">
      <c r="AA651" s="41">
        <f t="shared" ca="1" si="30"/>
        <v>0</v>
      </c>
      <c r="AB651" s="41">
        <v>651</v>
      </c>
    </row>
    <row r="652" spans="27:28" ht="21" customHeight="1">
      <c r="AA652" s="41">
        <f t="shared" ca="1" si="30"/>
        <v>0</v>
      </c>
      <c r="AB652" s="41">
        <v>652</v>
      </c>
    </row>
    <row r="653" spans="27:28" ht="21" customHeight="1">
      <c r="AA653" s="41">
        <f t="shared" ca="1" si="30"/>
        <v>0</v>
      </c>
      <c r="AB653" s="41">
        <v>653</v>
      </c>
    </row>
    <row r="654" spans="27:28" ht="21" customHeight="1">
      <c r="AA654" s="41">
        <f t="shared" ca="1" si="30"/>
        <v>0</v>
      </c>
      <c r="AB654" s="41">
        <v>654</v>
      </c>
    </row>
    <row r="655" spans="27:28" ht="21" customHeight="1">
      <c r="AA655" s="41">
        <f t="shared" ca="1" si="30"/>
        <v>0</v>
      </c>
      <c r="AB655" s="41">
        <v>655</v>
      </c>
    </row>
    <row r="656" spans="27:28" ht="21" customHeight="1">
      <c r="AA656" s="41">
        <f t="shared" ca="1" si="30"/>
        <v>0</v>
      </c>
      <c r="AB656" s="41">
        <v>656</v>
      </c>
    </row>
    <row r="657" spans="27:28" ht="21" customHeight="1">
      <c r="AA657" s="41">
        <f t="shared" ca="1" si="30"/>
        <v>0</v>
      </c>
      <c r="AB657" s="41">
        <v>657</v>
      </c>
    </row>
    <row r="658" spans="27:28" ht="21" customHeight="1">
      <c r="AA658" s="41">
        <f t="shared" ca="1" si="30"/>
        <v>0</v>
      </c>
      <c r="AB658" s="41">
        <v>658</v>
      </c>
    </row>
    <row r="659" spans="27:28" ht="21" customHeight="1">
      <c r="AA659" s="41">
        <f t="shared" ca="1" si="30"/>
        <v>0</v>
      </c>
      <c r="AB659" s="41">
        <v>659</v>
      </c>
    </row>
    <row r="660" spans="27:28" ht="21" customHeight="1">
      <c r="AA660" s="41">
        <f t="shared" ca="1" si="30"/>
        <v>0</v>
      </c>
      <c r="AB660" s="41">
        <v>660</v>
      </c>
    </row>
    <row r="661" spans="27:28" ht="21" customHeight="1">
      <c r="AA661" s="41">
        <f t="shared" ca="1" si="30"/>
        <v>0</v>
      </c>
      <c r="AB661" s="41">
        <v>661</v>
      </c>
    </row>
    <row r="662" spans="27:28" ht="21" customHeight="1">
      <c r="AA662" s="41">
        <f t="shared" ca="1" si="30"/>
        <v>0</v>
      </c>
      <c r="AB662" s="41">
        <v>662</v>
      </c>
    </row>
    <row r="663" spans="27:28" ht="21" customHeight="1">
      <c r="AA663" s="41">
        <f t="shared" ca="1" si="30"/>
        <v>0</v>
      </c>
      <c r="AB663" s="41">
        <v>663</v>
      </c>
    </row>
    <row r="664" spans="27:28" ht="21" customHeight="1">
      <c r="AA664" s="41">
        <f t="shared" ca="1" si="30"/>
        <v>0</v>
      </c>
      <c r="AB664" s="41">
        <v>664</v>
      </c>
    </row>
    <row r="665" spans="27:28" ht="21" customHeight="1">
      <c r="AA665" s="41">
        <f t="shared" ca="1" si="30"/>
        <v>0</v>
      </c>
      <c r="AB665" s="41">
        <v>665</v>
      </c>
    </row>
    <row r="666" spans="27:28" ht="21" customHeight="1">
      <c r="AA666" s="41">
        <f t="shared" ca="1" si="30"/>
        <v>0</v>
      </c>
      <c r="AB666" s="41">
        <v>666</v>
      </c>
    </row>
    <row r="667" spans="27:28" ht="21" customHeight="1">
      <c r="AA667" s="41">
        <f t="shared" ca="1" si="30"/>
        <v>0</v>
      </c>
      <c r="AB667" s="41">
        <v>667</v>
      </c>
    </row>
    <row r="668" spans="27:28" ht="21" customHeight="1">
      <c r="AA668" s="41">
        <f t="shared" ca="1" si="30"/>
        <v>0</v>
      </c>
      <c r="AB668" s="41">
        <v>668</v>
      </c>
    </row>
    <row r="669" spans="27:28" ht="21" customHeight="1">
      <c r="AA669" s="41">
        <f t="shared" ca="1" si="30"/>
        <v>0</v>
      </c>
      <c r="AB669" s="41">
        <v>669</v>
      </c>
    </row>
    <row r="670" spans="27:28" ht="21" customHeight="1">
      <c r="AA670" s="41">
        <f t="shared" ca="1" si="30"/>
        <v>0</v>
      </c>
      <c r="AB670" s="41">
        <v>670</v>
      </c>
    </row>
    <row r="671" spans="27:28" ht="21" customHeight="1">
      <c r="AA671" s="41">
        <f t="shared" ca="1" si="30"/>
        <v>0</v>
      </c>
      <c r="AB671" s="41">
        <v>671</v>
      </c>
    </row>
    <row r="672" spans="27:28" ht="21" customHeight="1">
      <c r="AA672" s="41">
        <f t="shared" ca="1" si="30"/>
        <v>0</v>
      </c>
      <c r="AB672" s="41">
        <v>672</v>
      </c>
    </row>
    <row r="673" spans="27:28" ht="21" customHeight="1">
      <c r="AA673" s="41">
        <f t="shared" ca="1" si="30"/>
        <v>0</v>
      </c>
      <c r="AB673" s="41">
        <v>673</v>
      </c>
    </row>
    <row r="674" spans="27:28" ht="21" customHeight="1">
      <c r="AA674" s="41">
        <f t="shared" ca="1" si="30"/>
        <v>0</v>
      </c>
      <c r="AB674" s="41">
        <v>674</v>
      </c>
    </row>
    <row r="675" spans="27:28" ht="21" customHeight="1">
      <c r="AA675" s="41">
        <f t="shared" ca="1" si="30"/>
        <v>0</v>
      </c>
      <c r="AB675" s="41">
        <v>675</v>
      </c>
    </row>
    <row r="676" spans="27:28" ht="21" customHeight="1">
      <c r="AA676" s="41">
        <f t="shared" ca="1" si="30"/>
        <v>0</v>
      </c>
      <c r="AB676" s="41">
        <v>676</v>
      </c>
    </row>
    <row r="677" spans="27:28" ht="21" customHeight="1">
      <c r="AA677" s="41">
        <f t="shared" ca="1" si="30"/>
        <v>0</v>
      </c>
      <c r="AB677" s="41">
        <v>677</v>
      </c>
    </row>
    <row r="678" spans="27:28" ht="21" customHeight="1">
      <c r="AA678" s="41">
        <f t="shared" ca="1" si="30"/>
        <v>0</v>
      </c>
      <c r="AB678" s="41">
        <v>678</v>
      </c>
    </row>
    <row r="679" spans="27:28" ht="21" customHeight="1">
      <c r="AA679" s="41">
        <f t="shared" ca="1" si="30"/>
        <v>0</v>
      </c>
      <c r="AB679" s="41">
        <v>679</v>
      </c>
    </row>
    <row r="680" spans="27:28" ht="21" customHeight="1">
      <c r="AA680" s="41">
        <f t="shared" ca="1" si="30"/>
        <v>0</v>
      </c>
      <c r="AB680" s="41">
        <v>680</v>
      </c>
    </row>
    <row r="681" spans="27:28" ht="21" customHeight="1">
      <c r="AA681" s="41">
        <f t="shared" ca="1" si="30"/>
        <v>0</v>
      </c>
      <c r="AB681" s="41">
        <v>681</v>
      </c>
    </row>
    <row r="682" spans="27:28" ht="21" customHeight="1">
      <c r="AA682" s="41">
        <f t="shared" ca="1" si="30"/>
        <v>0</v>
      </c>
      <c r="AB682" s="41">
        <v>682</v>
      </c>
    </row>
    <row r="683" spans="27:28" ht="21" customHeight="1">
      <c r="AA683" s="41">
        <f t="shared" ca="1" si="30"/>
        <v>0</v>
      </c>
      <c r="AB683" s="41">
        <v>683</v>
      </c>
    </row>
    <row r="684" spans="27:28" ht="21" customHeight="1">
      <c r="AA684" s="41">
        <f t="shared" ca="1" si="30"/>
        <v>0</v>
      </c>
      <c r="AB684" s="41">
        <v>684</v>
      </c>
    </row>
    <row r="685" spans="27:28" ht="21" customHeight="1">
      <c r="AA685" s="41">
        <f t="shared" ca="1" si="30"/>
        <v>0</v>
      </c>
      <c r="AB685" s="41">
        <v>685</v>
      </c>
    </row>
    <row r="686" spans="27:28" ht="21" customHeight="1">
      <c r="AA686" s="41">
        <f t="shared" ca="1" si="30"/>
        <v>0</v>
      </c>
      <c r="AB686" s="41">
        <v>686</v>
      </c>
    </row>
    <row r="687" spans="27:28" ht="21" customHeight="1">
      <c r="AA687" s="41">
        <f t="shared" ca="1" si="30"/>
        <v>0</v>
      </c>
      <c r="AB687" s="41">
        <v>687</v>
      </c>
    </row>
    <row r="688" spans="27:28" ht="21" customHeight="1">
      <c r="AA688" s="41">
        <f t="shared" ca="1" si="30"/>
        <v>0</v>
      </c>
      <c r="AB688" s="41">
        <v>688</v>
      </c>
    </row>
    <row r="689" spans="27:28" ht="21" customHeight="1">
      <c r="AA689" s="41">
        <f t="shared" ca="1" si="30"/>
        <v>0</v>
      </c>
      <c r="AB689" s="41">
        <v>689</v>
      </c>
    </row>
    <row r="690" spans="27:28" ht="21" customHeight="1">
      <c r="AA690" s="41">
        <f t="shared" ca="1" si="30"/>
        <v>0</v>
      </c>
      <c r="AB690" s="41">
        <v>690</v>
      </c>
    </row>
    <row r="691" spans="27:28" ht="21" customHeight="1">
      <c r="AA691" s="41">
        <f t="shared" ca="1" si="30"/>
        <v>0</v>
      </c>
      <c r="AB691" s="41">
        <v>691</v>
      </c>
    </row>
    <row r="692" spans="27:28" ht="21" customHeight="1">
      <c r="AA692" s="41">
        <f t="shared" ca="1" si="30"/>
        <v>0</v>
      </c>
      <c r="AB692" s="41">
        <v>692</v>
      </c>
    </row>
    <row r="693" spans="27:28" ht="21" customHeight="1">
      <c r="AA693" s="41">
        <f t="shared" ca="1" si="30"/>
        <v>0</v>
      </c>
      <c r="AB693" s="41">
        <v>693</v>
      </c>
    </row>
    <row r="694" spans="27:28" ht="21" customHeight="1">
      <c r="AA694" s="41">
        <f t="shared" ca="1" si="30"/>
        <v>0</v>
      </c>
      <c r="AB694" s="41">
        <v>694</v>
      </c>
    </row>
    <row r="695" spans="27:28" ht="21" customHeight="1">
      <c r="AA695" s="41">
        <f t="shared" ca="1" si="30"/>
        <v>0</v>
      </c>
      <c r="AB695" s="41">
        <v>695</v>
      </c>
    </row>
    <row r="696" spans="27:28" ht="21" customHeight="1">
      <c r="AA696" s="41">
        <f t="shared" ca="1" si="30"/>
        <v>0</v>
      </c>
      <c r="AB696" s="41">
        <v>696</v>
      </c>
    </row>
    <row r="697" spans="27:28" ht="21" customHeight="1">
      <c r="AA697" s="41">
        <f t="shared" ca="1" si="30"/>
        <v>0</v>
      </c>
      <c r="AB697" s="41">
        <v>697</v>
      </c>
    </row>
    <row r="698" spans="27:28" ht="21" customHeight="1">
      <c r="AA698" s="41">
        <f t="shared" ca="1" si="30"/>
        <v>0</v>
      </c>
      <c r="AB698" s="41">
        <v>698</v>
      </c>
    </row>
    <row r="699" spans="27:28" ht="21" customHeight="1">
      <c r="AA699" s="41">
        <f t="shared" ca="1" si="30"/>
        <v>0</v>
      </c>
      <c r="AB699" s="41">
        <v>699</v>
      </c>
    </row>
    <row r="700" spans="27:28" ht="21" customHeight="1">
      <c r="AA700" s="41">
        <f t="shared" ca="1" si="30"/>
        <v>0</v>
      </c>
      <c r="AB700" s="41">
        <v>700</v>
      </c>
    </row>
    <row r="701" spans="27:28" ht="21" customHeight="1">
      <c r="AA701" s="41">
        <f t="shared" ca="1" si="30"/>
        <v>0</v>
      </c>
      <c r="AB701" s="41">
        <v>701</v>
      </c>
    </row>
    <row r="702" spans="27:28" ht="21" customHeight="1">
      <c r="AA702" s="41">
        <f t="shared" ca="1" si="30"/>
        <v>0</v>
      </c>
      <c r="AB702" s="41">
        <v>702</v>
      </c>
    </row>
    <row r="703" spans="27:28" ht="21" customHeight="1">
      <c r="AA703" s="41">
        <f t="shared" ca="1" si="30"/>
        <v>0</v>
      </c>
      <c r="AB703" s="41">
        <v>703</v>
      </c>
    </row>
    <row r="704" spans="27:28" ht="21" customHeight="1">
      <c r="AA704" s="41">
        <f t="shared" ca="1" si="30"/>
        <v>0</v>
      </c>
      <c r="AB704" s="41">
        <v>704</v>
      </c>
    </row>
    <row r="705" spans="27:28" ht="21" customHeight="1">
      <c r="AA705" s="41">
        <f t="shared" ca="1" si="30"/>
        <v>0</v>
      </c>
      <c r="AB705" s="41">
        <v>705</v>
      </c>
    </row>
    <row r="706" spans="27:28" ht="21" customHeight="1">
      <c r="AA706" s="41">
        <f t="shared" ca="1" si="30"/>
        <v>0</v>
      </c>
      <c r="AB706" s="41">
        <v>706</v>
      </c>
    </row>
    <row r="707" spans="27:28" ht="21" customHeight="1">
      <c r="AA707" s="41">
        <f t="shared" ca="1" si="30"/>
        <v>0</v>
      </c>
      <c r="AB707" s="41">
        <v>707</v>
      </c>
    </row>
    <row r="708" spans="27:28" ht="21" customHeight="1">
      <c r="AA708" s="41">
        <f t="shared" ca="1" si="30"/>
        <v>0</v>
      </c>
      <c r="AB708" s="41">
        <v>708</v>
      </c>
    </row>
    <row r="709" spans="27:28" ht="21" customHeight="1">
      <c r="AA709" s="41">
        <f t="shared" ref="AA709:AA772" ca="1" si="31">INDIRECT($W$6&amp;"!"&amp;"B"&amp;ROW(B709))</f>
        <v>0</v>
      </c>
      <c r="AB709" s="41">
        <v>709</v>
      </c>
    </row>
    <row r="710" spans="27:28" ht="21" customHeight="1">
      <c r="AA710" s="41">
        <f t="shared" ca="1" si="31"/>
        <v>0</v>
      </c>
      <c r="AB710" s="41">
        <v>710</v>
      </c>
    </row>
    <row r="711" spans="27:28" ht="21" customHeight="1">
      <c r="AA711" s="41">
        <f t="shared" ca="1" si="31"/>
        <v>0</v>
      </c>
      <c r="AB711" s="41">
        <v>711</v>
      </c>
    </row>
    <row r="712" spans="27:28" ht="21" customHeight="1">
      <c r="AA712" s="41">
        <f t="shared" ca="1" si="31"/>
        <v>0</v>
      </c>
      <c r="AB712" s="41">
        <v>712</v>
      </c>
    </row>
    <row r="713" spans="27:28" ht="21" customHeight="1">
      <c r="AA713" s="41">
        <f t="shared" ca="1" si="31"/>
        <v>0</v>
      </c>
      <c r="AB713" s="41">
        <v>713</v>
      </c>
    </row>
    <row r="714" spans="27:28" ht="21" customHeight="1">
      <c r="AA714" s="41">
        <f t="shared" ca="1" si="31"/>
        <v>0</v>
      </c>
      <c r="AB714" s="41">
        <v>714</v>
      </c>
    </row>
    <row r="715" spans="27:28" ht="21" customHeight="1">
      <c r="AA715" s="41">
        <f t="shared" ca="1" si="31"/>
        <v>0</v>
      </c>
      <c r="AB715" s="41">
        <v>715</v>
      </c>
    </row>
    <row r="716" spans="27:28" ht="21" customHeight="1">
      <c r="AA716" s="41">
        <f t="shared" ca="1" si="31"/>
        <v>0</v>
      </c>
      <c r="AB716" s="41">
        <v>716</v>
      </c>
    </row>
    <row r="717" spans="27:28" ht="21" customHeight="1">
      <c r="AA717" s="41">
        <f t="shared" ca="1" si="31"/>
        <v>0</v>
      </c>
      <c r="AB717" s="41">
        <v>717</v>
      </c>
    </row>
    <row r="718" spans="27:28" ht="21" customHeight="1">
      <c r="AA718" s="41">
        <f t="shared" ca="1" si="31"/>
        <v>0</v>
      </c>
      <c r="AB718" s="41">
        <v>718</v>
      </c>
    </row>
    <row r="719" spans="27:28" ht="21" customHeight="1">
      <c r="AA719" s="41">
        <f t="shared" ca="1" si="31"/>
        <v>0</v>
      </c>
      <c r="AB719" s="41">
        <v>719</v>
      </c>
    </row>
    <row r="720" spans="27:28" ht="21" customHeight="1">
      <c r="AA720" s="41">
        <f t="shared" ca="1" si="31"/>
        <v>0</v>
      </c>
      <c r="AB720" s="41">
        <v>720</v>
      </c>
    </row>
    <row r="721" spans="27:28" ht="21" customHeight="1">
      <c r="AA721" s="41">
        <f t="shared" ca="1" si="31"/>
        <v>0</v>
      </c>
      <c r="AB721" s="41">
        <v>721</v>
      </c>
    </row>
    <row r="722" spans="27:28" ht="21" customHeight="1">
      <c r="AA722" s="41">
        <f t="shared" ca="1" si="31"/>
        <v>0</v>
      </c>
      <c r="AB722" s="41">
        <v>722</v>
      </c>
    </row>
    <row r="723" spans="27:28" ht="21" customHeight="1">
      <c r="AA723" s="41">
        <f t="shared" ca="1" si="31"/>
        <v>0</v>
      </c>
      <c r="AB723" s="41">
        <v>723</v>
      </c>
    </row>
    <row r="724" spans="27:28" ht="21" customHeight="1">
      <c r="AA724" s="41">
        <f t="shared" ca="1" si="31"/>
        <v>0</v>
      </c>
      <c r="AB724" s="41">
        <v>724</v>
      </c>
    </row>
    <row r="725" spans="27:28" ht="21" customHeight="1">
      <c r="AA725" s="41">
        <f t="shared" ca="1" si="31"/>
        <v>0</v>
      </c>
      <c r="AB725" s="41">
        <v>725</v>
      </c>
    </row>
    <row r="726" spans="27:28" ht="21" customHeight="1">
      <c r="AA726" s="41">
        <f t="shared" ca="1" si="31"/>
        <v>0</v>
      </c>
      <c r="AB726" s="41">
        <v>726</v>
      </c>
    </row>
    <row r="727" spans="27:28" ht="21" customHeight="1">
      <c r="AA727" s="41">
        <f t="shared" ca="1" si="31"/>
        <v>0</v>
      </c>
      <c r="AB727" s="41">
        <v>727</v>
      </c>
    </row>
    <row r="728" spans="27:28" ht="21" customHeight="1">
      <c r="AA728" s="41">
        <f t="shared" ca="1" si="31"/>
        <v>0</v>
      </c>
      <c r="AB728" s="41">
        <v>728</v>
      </c>
    </row>
    <row r="729" spans="27:28" ht="21" customHeight="1">
      <c r="AA729" s="41">
        <f t="shared" ca="1" si="31"/>
        <v>0</v>
      </c>
      <c r="AB729" s="41">
        <v>729</v>
      </c>
    </row>
    <row r="730" spans="27:28" ht="21" customHeight="1">
      <c r="AA730" s="41">
        <f t="shared" ca="1" si="31"/>
        <v>0</v>
      </c>
      <c r="AB730" s="41">
        <v>730</v>
      </c>
    </row>
    <row r="731" spans="27:28" ht="21" customHeight="1">
      <c r="AA731" s="41">
        <f t="shared" ca="1" si="31"/>
        <v>0</v>
      </c>
      <c r="AB731" s="41">
        <v>731</v>
      </c>
    </row>
    <row r="732" spans="27:28" ht="21" customHeight="1">
      <c r="AA732" s="41">
        <f t="shared" ca="1" si="31"/>
        <v>0</v>
      </c>
      <c r="AB732" s="41">
        <v>732</v>
      </c>
    </row>
    <row r="733" spans="27:28" ht="21" customHeight="1">
      <c r="AA733" s="41">
        <f t="shared" ca="1" si="31"/>
        <v>0</v>
      </c>
      <c r="AB733" s="41">
        <v>733</v>
      </c>
    </row>
    <row r="734" spans="27:28" ht="21" customHeight="1">
      <c r="AA734" s="41">
        <f t="shared" ca="1" si="31"/>
        <v>0</v>
      </c>
      <c r="AB734" s="41">
        <v>734</v>
      </c>
    </row>
    <row r="735" spans="27:28" ht="21" customHeight="1">
      <c r="AA735" s="41">
        <f t="shared" ca="1" si="31"/>
        <v>0</v>
      </c>
      <c r="AB735" s="41">
        <v>735</v>
      </c>
    </row>
    <row r="736" spans="27:28" ht="21" customHeight="1">
      <c r="AA736" s="41">
        <f t="shared" ca="1" si="31"/>
        <v>0</v>
      </c>
      <c r="AB736" s="41">
        <v>736</v>
      </c>
    </row>
    <row r="737" spans="27:28" ht="21" customHeight="1">
      <c r="AA737" s="41">
        <f t="shared" ca="1" si="31"/>
        <v>0</v>
      </c>
      <c r="AB737" s="41">
        <v>737</v>
      </c>
    </row>
    <row r="738" spans="27:28" ht="21" customHeight="1">
      <c r="AA738" s="41">
        <f t="shared" ca="1" si="31"/>
        <v>0</v>
      </c>
      <c r="AB738" s="41">
        <v>738</v>
      </c>
    </row>
    <row r="739" spans="27:28" ht="21" customHeight="1">
      <c r="AA739" s="41">
        <f t="shared" ca="1" si="31"/>
        <v>0</v>
      </c>
      <c r="AB739" s="41">
        <v>739</v>
      </c>
    </row>
    <row r="740" spans="27:28" ht="21" customHeight="1">
      <c r="AA740" s="41">
        <f t="shared" ca="1" si="31"/>
        <v>0</v>
      </c>
      <c r="AB740" s="41">
        <v>740</v>
      </c>
    </row>
    <row r="741" spans="27:28" ht="21" customHeight="1">
      <c r="AA741" s="41">
        <f t="shared" ca="1" si="31"/>
        <v>0</v>
      </c>
      <c r="AB741" s="41">
        <v>741</v>
      </c>
    </row>
    <row r="742" spans="27:28" ht="21" customHeight="1">
      <c r="AA742" s="41">
        <f t="shared" ca="1" si="31"/>
        <v>0</v>
      </c>
      <c r="AB742" s="41">
        <v>742</v>
      </c>
    </row>
    <row r="743" spans="27:28" ht="21" customHeight="1">
      <c r="AA743" s="41">
        <f t="shared" ca="1" si="31"/>
        <v>0</v>
      </c>
      <c r="AB743" s="41">
        <v>743</v>
      </c>
    </row>
    <row r="744" spans="27:28" ht="21" customHeight="1">
      <c r="AA744" s="41">
        <f t="shared" ca="1" si="31"/>
        <v>0</v>
      </c>
      <c r="AB744" s="41">
        <v>744</v>
      </c>
    </row>
    <row r="745" spans="27:28" ht="21" customHeight="1">
      <c r="AA745" s="41">
        <f t="shared" ca="1" si="31"/>
        <v>0</v>
      </c>
      <c r="AB745" s="41">
        <v>745</v>
      </c>
    </row>
    <row r="746" spans="27:28" ht="21" customHeight="1">
      <c r="AA746" s="41">
        <f t="shared" ca="1" si="31"/>
        <v>0</v>
      </c>
      <c r="AB746" s="41">
        <v>746</v>
      </c>
    </row>
    <row r="747" spans="27:28" ht="21" customHeight="1">
      <c r="AA747" s="41">
        <f t="shared" ca="1" si="31"/>
        <v>0</v>
      </c>
      <c r="AB747" s="41">
        <v>747</v>
      </c>
    </row>
    <row r="748" spans="27:28" ht="21" customHeight="1">
      <c r="AA748" s="41">
        <f t="shared" ca="1" si="31"/>
        <v>0</v>
      </c>
      <c r="AB748" s="41">
        <v>748</v>
      </c>
    </row>
    <row r="749" spans="27:28" ht="21" customHeight="1">
      <c r="AA749" s="41">
        <f t="shared" ca="1" si="31"/>
        <v>0</v>
      </c>
      <c r="AB749" s="41">
        <v>749</v>
      </c>
    </row>
    <row r="750" spans="27:28" ht="21" customHeight="1">
      <c r="AA750" s="41">
        <f t="shared" ca="1" si="31"/>
        <v>0</v>
      </c>
      <c r="AB750" s="41">
        <v>750</v>
      </c>
    </row>
    <row r="751" spans="27:28" ht="21" customHeight="1">
      <c r="AA751" s="41">
        <f t="shared" ca="1" si="31"/>
        <v>0</v>
      </c>
      <c r="AB751" s="41">
        <v>751</v>
      </c>
    </row>
    <row r="752" spans="27:28" ht="21" customHeight="1">
      <c r="AA752" s="41">
        <f t="shared" ca="1" si="31"/>
        <v>0</v>
      </c>
      <c r="AB752" s="41">
        <v>752</v>
      </c>
    </row>
    <row r="753" spans="27:28" ht="21" customHeight="1">
      <c r="AA753" s="41">
        <f t="shared" ca="1" si="31"/>
        <v>0</v>
      </c>
      <c r="AB753" s="41">
        <v>753</v>
      </c>
    </row>
    <row r="754" spans="27:28" ht="21" customHeight="1">
      <c r="AA754" s="41">
        <f t="shared" ca="1" si="31"/>
        <v>0</v>
      </c>
      <c r="AB754" s="41">
        <v>754</v>
      </c>
    </row>
    <row r="755" spans="27:28" ht="21" customHeight="1">
      <c r="AA755" s="41">
        <f t="shared" ca="1" si="31"/>
        <v>0</v>
      </c>
      <c r="AB755" s="41">
        <v>755</v>
      </c>
    </row>
    <row r="756" spans="27:28" ht="21" customHeight="1">
      <c r="AA756" s="41">
        <f t="shared" ca="1" si="31"/>
        <v>0</v>
      </c>
      <c r="AB756" s="41">
        <v>756</v>
      </c>
    </row>
    <row r="757" spans="27:28" ht="21" customHeight="1">
      <c r="AA757" s="41">
        <f t="shared" ca="1" si="31"/>
        <v>0</v>
      </c>
      <c r="AB757" s="41">
        <v>757</v>
      </c>
    </row>
    <row r="758" spans="27:28" ht="21" customHeight="1">
      <c r="AA758" s="41">
        <f t="shared" ca="1" si="31"/>
        <v>0</v>
      </c>
      <c r="AB758" s="41">
        <v>758</v>
      </c>
    </row>
    <row r="759" spans="27:28" ht="21" customHeight="1">
      <c r="AA759" s="41">
        <f t="shared" ca="1" si="31"/>
        <v>0</v>
      </c>
      <c r="AB759" s="41">
        <v>759</v>
      </c>
    </row>
    <row r="760" spans="27:28" ht="21" customHeight="1">
      <c r="AA760" s="41">
        <f t="shared" ca="1" si="31"/>
        <v>0</v>
      </c>
      <c r="AB760" s="41">
        <v>760</v>
      </c>
    </row>
    <row r="761" spans="27:28" ht="21" customHeight="1">
      <c r="AA761" s="41">
        <f t="shared" ca="1" si="31"/>
        <v>0</v>
      </c>
      <c r="AB761" s="41">
        <v>761</v>
      </c>
    </row>
    <row r="762" spans="27:28" ht="21" customHeight="1">
      <c r="AA762" s="41">
        <f t="shared" ca="1" si="31"/>
        <v>0</v>
      </c>
      <c r="AB762" s="41">
        <v>762</v>
      </c>
    </row>
    <row r="763" spans="27:28" ht="21" customHeight="1">
      <c r="AA763" s="41">
        <f t="shared" ca="1" si="31"/>
        <v>0</v>
      </c>
      <c r="AB763" s="41">
        <v>763</v>
      </c>
    </row>
    <row r="764" spans="27:28" ht="21" customHeight="1">
      <c r="AA764" s="41">
        <f t="shared" ca="1" si="31"/>
        <v>0</v>
      </c>
      <c r="AB764" s="41">
        <v>764</v>
      </c>
    </row>
    <row r="765" spans="27:28" ht="21" customHeight="1">
      <c r="AA765" s="41">
        <f t="shared" ca="1" si="31"/>
        <v>0</v>
      </c>
      <c r="AB765" s="41">
        <v>765</v>
      </c>
    </row>
    <row r="766" spans="27:28" ht="21" customHeight="1">
      <c r="AA766" s="41">
        <f t="shared" ca="1" si="31"/>
        <v>0</v>
      </c>
      <c r="AB766" s="41">
        <v>766</v>
      </c>
    </row>
    <row r="767" spans="27:28" ht="21" customHeight="1">
      <c r="AA767" s="41">
        <f t="shared" ca="1" si="31"/>
        <v>0</v>
      </c>
      <c r="AB767" s="41">
        <v>767</v>
      </c>
    </row>
    <row r="768" spans="27:28" ht="21" customHeight="1">
      <c r="AA768" s="41">
        <f t="shared" ca="1" si="31"/>
        <v>0</v>
      </c>
      <c r="AB768" s="41">
        <v>768</v>
      </c>
    </row>
    <row r="769" spans="27:28" ht="21" customHeight="1">
      <c r="AA769" s="41">
        <f t="shared" ca="1" si="31"/>
        <v>0</v>
      </c>
      <c r="AB769" s="41">
        <v>769</v>
      </c>
    </row>
    <row r="770" spans="27:28" ht="21" customHeight="1">
      <c r="AA770" s="41">
        <f t="shared" ca="1" si="31"/>
        <v>0</v>
      </c>
      <c r="AB770" s="41">
        <v>770</v>
      </c>
    </row>
    <row r="771" spans="27:28" ht="21" customHeight="1">
      <c r="AA771" s="41">
        <f t="shared" ca="1" si="31"/>
        <v>0</v>
      </c>
      <c r="AB771" s="41">
        <v>771</v>
      </c>
    </row>
    <row r="772" spans="27:28" ht="21" customHeight="1">
      <c r="AA772" s="41">
        <f t="shared" ca="1" si="31"/>
        <v>0</v>
      </c>
      <c r="AB772" s="41">
        <v>772</v>
      </c>
    </row>
    <row r="773" spans="27:28" ht="21" customHeight="1">
      <c r="AA773" s="41">
        <f t="shared" ref="AA773:AA836" ca="1" si="32">INDIRECT($W$6&amp;"!"&amp;"B"&amp;ROW(B773))</f>
        <v>0</v>
      </c>
      <c r="AB773" s="41">
        <v>773</v>
      </c>
    </row>
    <row r="774" spans="27:28" ht="21" customHeight="1">
      <c r="AA774" s="41">
        <f t="shared" ca="1" si="32"/>
        <v>0</v>
      </c>
      <c r="AB774" s="41">
        <v>774</v>
      </c>
    </row>
    <row r="775" spans="27:28" ht="21" customHeight="1">
      <c r="AA775" s="41">
        <f t="shared" ca="1" si="32"/>
        <v>0</v>
      </c>
      <c r="AB775" s="41">
        <v>775</v>
      </c>
    </row>
    <row r="776" spans="27:28" ht="21" customHeight="1">
      <c r="AA776" s="41">
        <f t="shared" ca="1" si="32"/>
        <v>0</v>
      </c>
      <c r="AB776" s="41">
        <v>776</v>
      </c>
    </row>
    <row r="777" spans="27:28" ht="21" customHeight="1">
      <c r="AA777" s="41">
        <f t="shared" ca="1" si="32"/>
        <v>0</v>
      </c>
      <c r="AB777" s="41">
        <v>777</v>
      </c>
    </row>
    <row r="778" spans="27:28" ht="21" customHeight="1">
      <c r="AA778" s="41">
        <f t="shared" ca="1" si="32"/>
        <v>0</v>
      </c>
      <c r="AB778" s="41">
        <v>778</v>
      </c>
    </row>
    <row r="779" spans="27:28" ht="21" customHeight="1">
      <c r="AA779" s="41">
        <f t="shared" ca="1" si="32"/>
        <v>0</v>
      </c>
      <c r="AB779" s="41">
        <v>779</v>
      </c>
    </row>
    <row r="780" spans="27:28" ht="21" customHeight="1">
      <c r="AA780" s="41">
        <f t="shared" ca="1" si="32"/>
        <v>0</v>
      </c>
      <c r="AB780" s="41">
        <v>780</v>
      </c>
    </row>
    <row r="781" spans="27:28" ht="21" customHeight="1">
      <c r="AA781" s="41">
        <f t="shared" ca="1" si="32"/>
        <v>0</v>
      </c>
      <c r="AB781" s="41">
        <v>781</v>
      </c>
    </row>
    <row r="782" spans="27:28" ht="21" customHeight="1">
      <c r="AA782" s="41">
        <f t="shared" ca="1" si="32"/>
        <v>0</v>
      </c>
      <c r="AB782" s="41">
        <v>782</v>
      </c>
    </row>
    <row r="783" spans="27:28" ht="21" customHeight="1">
      <c r="AA783" s="41">
        <f t="shared" ca="1" si="32"/>
        <v>0</v>
      </c>
      <c r="AB783" s="41">
        <v>783</v>
      </c>
    </row>
    <row r="784" spans="27:28" ht="21" customHeight="1">
      <c r="AA784" s="41">
        <f t="shared" ca="1" si="32"/>
        <v>0</v>
      </c>
      <c r="AB784" s="41">
        <v>784</v>
      </c>
    </row>
    <row r="785" spans="27:28" ht="21" customHeight="1">
      <c r="AA785" s="41">
        <f t="shared" ca="1" si="32"/>
        <v>0</v>
      </c>
      <c r="AB785" s="41">
        <v>785</v>
      </c>
    </row>
    <row r="786" spans="27:28" ht="21" customHeight="1">
      <c r="AA786" s="41">
        <f t="shared" ca="1" si="32"/>
        <v>0</v>
      </c>
      <c r="AB786" s="41">
        <v>786</v>
      </c>
    </row>
    <row r="787" spans="27:28" ht="21" customHeight="1">
      <c r="AA787" s="41">
        <f t="shared" ca="1" si="32"/>
        <v>0</v>
      </c>
      <c r="AB787" s="41">
        <v>787</v>
      </c>
    </row>
    <row r="788" spans="27:28" ht="21" customHeight="1">
      <c r="AA788" s="41">
        <f t="shared" ca="1" si="32"/>
        <v>0</v>
      </c>
      <c r="AB788" s="41">
        <v>788</v>
      </c>
    </row>
    <row r="789" spans="27:28" ht="21" customHeight="1">
      <c r="AA789" s="41">
        <f t="shared" ca="1" si="32"/>
        <v>0</v>
      </c>
      <c r="AB789" s="41">
        <v>789</v>
      </c>
    </row>
    <row r="790" spans="27:28" ht="21" customHeight="1">
      <c r="AA790" s="41">
        <f t="shared" ca="1" si="32"/>
        <v>0</v>
      </c>
      <c r="AB790" s="41">
        <v>790</v>
      </c>
    </row>
    <row r="791" spans="27:28" ht="21" customHeight="1">
      <c r="AA791" s="41">
        <f t="shared" ca="1" si="32"/>
        <v>0</v>
      </c>
      <c r="AB791" s="41">
        <v>791</v>
      </c>
    </row>
    <row r="792" spans="27:28" ht="21" customHeight="1">
      <c r="AA792" s="41">
        <f t="shared" ca="1" si="32"/>
        <v>0</v>
      </c>
      <c r="AB792" s="41">
        <v>792</v>
      </c>
    </row>
    <row r="793" spans="27:28" ht="21" customHeight="1">
      <c r="AA793" s="41">
        <f t="shared" ca="1" si="32"/>
        <v>0</v>
      </c>
      <c r="AB793" s="41">
        <v>793</v>
      </c>
    </row>
    <row r="794" spans="27:28" ht="21" customHeight="1">
      <c r="AA794" s="41">
        <f t="shared" ca="1" si="32"/>
        <v>0</v>
      </c>
      <c r="AB794" s="41">
        <v>794</v>
      </c>
    </row>
    <row r="795" spans="27:28" ht="21" customHeight="1">
      <c r="AA795" s="41">
        <f t="shared" ca="1" si="32"/>
        <v>0</v>
      </c>
      <c r="AB795" s="41">
        <v>795</v>
      </c>
    </row>
    <row r="796" spans="27:28" ht="21" customHeight="1">
      <c r="AA796" s="41">
        <f t="shared" ca="1" si="32"/>
        <v>0</v>
      </c>
      <c r="AB796" s="41">
        <v>796</v>
      </c>
    </row>
    <row r="797" spans="27:28" ht="21" customHeight="1">
      <c r="AA797" s="41">
        <f t="shared" ca="1" si="32"/>
        <v>0</v>
      </c>
      <c r="AB797" s="41">
        <v>797</v>
      </c>
    </row>
    <row r="798" spans="27:28" ht="21" customHeight="1">
      <c r="AA798" s="41">
        <f t="shared" ca="1" si="32"/>
        <v>0</v>
      </c>
      <c r="AB798" s="41">
        <v>798</v>
      </c>
    </row>
    <row r="799" spans="27:28" ht="21" customHeight="1">
      <c r="AA799" s="41">
        <f t="shared" ca="1" si="32"/>
        <v>0</v>
      </c>
      <c r="AB799" s="41">
        <v>799</v>
      </c>
    </row>
    <row r="800" spans="27:28" ht="21" customHeight="1">
      <c r="AA800" s="41">
        <f t="shared" ca="1" si="32"/>
        <v>0</v>
      </c>
      <c r="AB800" s="41">
        <v>800</v>
      </c>
    </row>
    <row r="801" spans="27:28" ht="21" customHeight="1">
      <c r="AA801" s="41">
        <f t="shared" ca="1" si="32"/>
        <v>0</v>
      </c>
      <c r="AB801" s="41">
        <v>801</v>
      </c>
    </row>
    <row r="802" spans="27:28" ht="21" customHeight="1">
      <c r="AA802" s="41">
        <f t="shared" ca="1" si="32"/>
        <v>0</v>
      </c>
      <c r="AB802" s="41">
        <v>802</v>
      </c>
    </row>
    <row r="803" spans="27:28" ht="21" customHeight="1">
      <c r="AA803" s="41">
        <f t="shared" ca="1" si="32"/>
        <v>0</v>
      </c>
      <c r="AB803" s="41">
        <v>803</v>
      </c>
    </row>
    <row r="804" spans="27:28" ht="21" customHeight="1">
      <c r="AA804" s="41">
        <f t="shared" ca="1" si="32"/>
        <v>0</v>
      </c>
      <c r="AB804" s="41">
        <v>804</v>
      </c>
    </row>
    <row r="805" spans="27:28" ht="21" customHeight="1">
      <c r="AA805" s="41">
        <f t="shared" ca="1" si="32"/>
        <v>0</v>
      </c>
      <c r="AB805" s="41">
        <v>805</v>
      </c>
    </row>
    <row r="806" spans="27:28" ht="21" customHeight="1">
      <c r="AA806" s="41">
        <f t="shared" ca="1" si="32"/>
        <v>0</v>
      </c>
      <c r="AB806" s="41">
        <v>806</v>
      </c>
    </row>
    <row r="807" spans="27:28" ht="21" customHeight="1">
      <c r="AA807" s="41">
        <f t="shared" ca="1" si="32"/>
        <v>0</v>
      </c>
      <c r="AB807" s="41">
        <v>807</v>
      </c>
    </row>
    <row r="808" spans="27:28" ht="21" customHeight="1">
      <c r="AA808" s="41">
        <f t="shared" ca="1" si="32"/>
        <v>0</v>
      </c>
      <c r="AB808" s="41">
        <v>808</v>
      </c>
    </row>
    <row r="809" spans="27:28" ht="21" customHeight="1">
      <c r="AA809" s="41">
        <f t="shared" ca="1" si="32"/>
        <v>0</v>
      </c>
      <c r="AB809" s="41">
        <v>809</v>
      </c>
    </row>
    <row r="810" spans="27:28" ht="21" customHeight="1">
      <c r="AA810" s="41">
        <f t="shared" ca="1" si="32"/>
        <v>0</v>
      </c>
      <c r="AB810" s="41">
        <v>810</v>
      </c>
    </row>
    <row r="811" spans="27:28" ht="21" customHeight="1">
      <c r="AA811" s="41">
        <f t="shared" ca="1" si="32"/>
        <v>0</v>
      </c>
      <c r="AB811" s="41">
        <v>811</v>
      </c>
    </row>
    <row r="812" spans="27:28" ht="21" customHeight="1">
      <c r="AA812" s="41">
        <f t="shared" ca="1" si="32"/>
        <v>0</v>
      </c>
      <c r="AB812" s="41">
        <v>812</v>
      </c>
    </row>
    <row r="813" spans="27:28" ht="21" customHeight="1">
      <c r="AA813" s="41">
        <f t="shared" ca="1" si="32"/>
        <v>0</v>
      </c>
      <c r="AB813" s="41">
        <v>813</v>
      </c>
    </row>
    <row r="814" spans="27:28" ht="21" customHeight="1">
      <c r="AA814" s="41">
        <f t="shared" ca="1" si="32"/>
        <v>0</v>
      </c>
      <c r="AB814" s="41">
        <v>814</v>
      </c>
    </row>
    <row r="815" spans="27:28" ht="21" customHeight="1">
      <c r="AA815" s="41">
        <f t="shared" ca="1" si="32"/>
        <v>0</v>
      </c>
      <c r="AB815" s="41">
        <v>815</v>
      </c>
    </row>
    <row r="816" spans="27:28" ht="21" customHeight="1">
      <c r="AA816" s="41">
        <f t="shared" ca="1" si="32"/>
        <v>0</v>
      </c>
      <c r="AB816" s="41">
        <v>816</v>
      </c>
    </row>
    <row r="817" spans="27:28" ht="21" customHeight="1">
      <c r="AA817" s="41">
        <f t="shared" ca="1" si="32"/>
        <v>0</v>
      </c>
      <c r="AB817" s="41">
        <v>817</v>
      </c>
    </row>
    <row r="818" spans="27:28" ht="21" customHeight="1">
      <c r="AA818" s="41">
        <f t="shared" ca="1" si="32"/>
        <v>0</v>
      </c>
      <c r="AB818" s="41">
        <v>818</v>
      </c>
    </row>
    <row r="819" spans="27:28" ht="21" customHeight="1">
      <c r="AA819" s="41">
        <f t="shared" ca="1" si="32"/>
        <v>0</v>
      </c>
      <c r="AB819" s="41">
        <v>819</v>
      </c>
    </row>
    <row r="820" spans="27:28" ht="21" customHeight="1">
      <c r="AA820" s="41">
        <f t="shared" ca="1" si="32"/>
        <v>0</v>
      </c>
      <c r="AB820" s="41">
        <v>820</v>
      </c>
    </row>
    <row r="821" spans="27:28" ht="21" customHeight="1">
      <c r="AA821" s="41">
        <f t="shared" ca="1" si="32"/>
        <v>0</v>
      </c>
      <c r="AB821" s="41">
        <v>821</v>
      </c>
    </row>
    <row r="822" spans="27:28" ht="21" customHeight="1">
      <c r="AA822" s="41">
        <f t="shared" ca="1" si="32"/>
        <v>0</v>
      </c>
      <c r="AB822" s="41">
        <v>822</v>
      </c>
    </row>
    <row r="823" spans="27:28" ht="21" customHeight="1">
      <c r="AA823" s="41">
        <f t="shared" ca="1" si="32"/>
        <v>0</v>
      </c>
      <c r="AB823" s="41">
        <v>823</v>
      </c>
    </row>
    <row r="824" spans="27:28" ht="21" customHeight="1">
      <c r="AA824" s="41">
        <f t="shared" ca="1" si="32"/>
        <v>0</v>
      </c>
      <c r="AB824" s="41">
        <v>824</v>
      </c>
    </row>
    <row r="825" spans="27:28" ht="21" customHeight="1">
      <c r="AA825" s="41">
        <f t="shared" ca="1" si="32"/>
        <v>0</v>
      </c>
      <c r="AB825" s="41">
        <v>825</v>
      </c>
    </row>
    <row r="826" spans="27:28" ht="21" customHeight="1">
      <c r="AA826" s="41">
        <f t="shared" ca="1" si="32"/>
        <v>0</v>
      </c>
      <c r="AB826" s="41">
        <v>826</v>
      </c>
    </row>
    <row r="827" spans="27:28" ht="21" customHeight="1">
      <c r="AA827" s="41">
        <f t="shared" ca="1" si="32"/>
        <v>0</v>
      </c>
      <c r="AB827" s="41">
        <v>827</v>
      </c>
    </row>
    <row r="828" spans="27:28" ht="21" customHeight="1">
      <c r="AA828" s="41">
        <f t="shared" ca="1" si="32"/>
        <v>0</v>
      </c>
      <c r="AB828" s="41">
        <v>828</v>
      </c>
    </row>
    <row r="829" spans="27:28" ht="21" customHeight="1">
      <c r="AA829" s="41">
        <f t="shared" ca="1" si="32"/>
        <v>0</v>
      </c>
      <c r="AB829" s="41">
        <v>829</v>
      </c>
    </row>
    <row r="830" spans="27:28" ht="21" customHeight="1">
      <c r="AA830" s="41">
        <f t="shared" ca="1" si="32"/>
        <v>0</v>
      </c>
      <c r="AB830" s="41">
        <v>830</v>
      </c>
    </row>
    <row r="831" spans="27:28" ht="21" customHeight="1">
      <c r="AA831" s="41">
        <f t="shared" ca="1" si="32"/>
        <v>0</v>
      </c>
      <c r="AB831" s="41">
        <v>831</v>
      </c>
    </row>
    <row r="832" spans="27:28" ht="21" customHeight="1">
      <c r="AA832" s="41">
        <f t="shared" ca="1" si="32"/>
        <v>0</v>
      </c>
      <c r="AB832" s="41">
        <v>832</v>
      </c>
    </row>
    <row r="833" spans="27:28" ht="21" customHeight="1">
      <c r="AA833" s="41">
        <f t="shared" ca="1" si="32"/>
        <v>0</v>
      </c>
      <c r="AB833" s="41">
        <v>833</v>
      </c>
    </row>
    <row r="834" spans="27:28" ht="21" customHeight="1">
      <c r="AA834" s="41">
        <f t="shared" ca="1" si="32"/>
        <v>0</v>
      </c>
      <c r="AB834" s="41">
        <v>834</v>
      </c>
    </row>
    <row r="835" spans="27:28" ht="21" customHeight="1">
      <c r="AA835" s="41">
        <f t="shared" ca="1" si="32"/>
        <v>0</v>
      </c>
      <c r="AB835" s="41">
        <v>835</v>
      </c>
    </row>
    <row r="836" spans="27:28" ht="21" customHeight="1">
      <c r="AA836" s="41">
        <f t="shared" ca="1" si="32"/>
        <v>0</v>
      </c>
      <c r="AB836" s="41">
        <v>836</v>
      </c>
    </row>
    <row r="837" spans="27:28" ht="21" customHeight="1">
      <c r="AA837" s="41">
        <f t="shared" ref="AA837:AA900" ca="1" si="33">INDIRECT($W$6&amp;"!"&amp;"B"&amp;ROW(B837))</f>
        <v>0</v>
      </c>
      <c r="AB837" s="41">
        <v>837</v>
      </c>
    </row>
    <row r="838" spans="27:28" ht="21" customHeight="1">
      <c r="AA838" s="41">
        <f t="shared" ca="1" si="33"/>
        <v>0</v>
      </c>
      <c r="AB838" s="41">
        <v>838</v>
      </c>
    </row>
    <row r="839" spans="27:28" ht="21" customHeight="1">
      <c r="AA839" s="41">
        <f t="shared" ca="1" si="33"/>
        <v>0</v>
      </c>
      <c r="AB839" s="41">
        <v>839</v>
      </c>
    </row>
    <row r="840" spans="27:28" ht="21" customHeight="1">
      <c r="AA840" s="41">
        <f t="shared" ca="1" si="33"/>
        <v>0</v>
      </c>
      <c r="AB840" s="41">
        <v>840</v>
      </c>
    </row>
    <row r="841" spans="27:28" ht="21" customHeight="1">
      <c r="AA841" s="41">
        <f t="shared" ca="1" si="33"/>
        <v>0</v>
      </c>
      <c r="AB841" s="41">
        <v>841</v>
      </c>
    </row>
    <row r="842" spans="27:28" ht="21" customHeight="1">
      <c r="AA842" s="41">
        <f t="shared" ca="1" si="33"/>
        <v>0</v>
      </c>
      <c r="AB842" s="41">
        <v>842</v>
      </c>
    </row>
    <row r="843" spans="27:28" ht="21" customHeight="1">
      <c r="AA843" s="41">
        <f t="shared" ca="1" si="33"/>
        <v>0</v>
      </c>
      <c r="AB843" s="41">
        <v>843</v>
      </c>
    </row>
    <row r="844" spans="27:28" ht="21" customHeight="1">
      <c r="AA844" s="41">
        <f t="shared" ca="1" si="33"/>
        <v>0</v>
      </c>
      <c r="AB844" s="41">
        <v>844</v>
      </c>
    </row>
    <row r="845" spans="27:28" ht="21" customHeight="1">
      <c r="AA845" s="41">
        <f t="shared" ca="1" si="33"/>
        <v>0</v>
      </c>
      <c r="AB845" s="41">
        <v>845</v>
      </c>
    </row>
    <row r="846" spans="27:28" ht="21" customHeight="1">
      <c r="AA846" s="41">
        <f t="shared" ca="1" si="33"/>
        <v>0</v>
      </c>
      <c r="AB846" s="41">
        <v>846</v>
      </c>
    </row>
    <row r="847" spans="27:28" ht="21" customHeight="1">
      <c r="AA847" s="41">
        <f t="shared" ca="1" si="33"/>
        <v>0</v>
      </c>
      <c r="AB847" s="41">
        <v>847</v>
      </c>
    </row>
    <row r="848" spans="27:28" ht="21" customHeight="1">
      <c r="AA848" s="41">
        <f t="shared" ca="1" si="33"/>
        <v>0</v>
      </c>
      <c r="AB848" s="41">
        <v>848</v>
      </c>
    </row>
    <row r="849" spans="27:28" ht="21" customHeight="1">
      <c r="AA849" s="41">
        <f t="shared" ca="1" si="33"/>
        <v>0</v>
      </c>
      <c r="AB849" s="41">
        <v>849</v>
      </c>
    </row>
    <row r="850" spans="27:28" ht="21" customHeight="1">
      <c r="AA850" s="41">
        <f t="shared" ca="1" si="33"/>
        <v>0</v>
      </c>
      <c r="AB850" s="41">
        <v>850</v>
      </c>
    </row>
    <row r="851" spans="27:28" ht="21" customHeight="1">
      <c r="AA851" s="41">
        <f t="shared" ca="1" si="33"/>
        <v>0</v>
      </c>
      <c r="AB851" s="41">
        <v>851</v>
      </c>
    </row>
    <row r="852" spans="27:28" ht="21" customHeight="1">
      <c r="AA852" s="41">
        <f t="shared" ca="1" si="33"/>
        <v>0</v>
      </c>
      <c r="AB852" s="41">
        <v>852</v>
      </c>
    </row>
    <row r="853" spans="27:28" ht="21" customHeight="1">
      <c r="AA853" s="41">
        <f t="shared" ca="1" si="33"/>
        <v>0</v>
      </c>
      <c r="AB853" s="41">
        <v>853</v>
      </c>
    </row>
    <row r="854" spans="27:28" ht="21" customHeight="1">
      <c r="AA854" s="41">
        <f t="shared" ca="1" si="33"/>
        <v>0</v>
      </c>
      <c r="AB854" s="41">
        <v>854</v>
      </c>
    </row>
    <row r="855" spans="27:28" ht="21" customHeight="1">
      <c r="AA855" s="41">
        <f t="shared" ca="1" si="33"/>
        <v>0</v>
      </c>
      <c r="AB855" s="41">
        <v>855</v>
      </c>
    </row>
    <row r="856" spans="27:28" ht="21" customHeight="1">
      <c r="AA856" s="41">
        <f t="shared" ca="1" si="33"/>
        <v>0</v>
      </c>
      <c r="AB856" s="41">
        <v>856</v>
      </c>
    </row>
    <row r="857" spans="27:28" ht="21" customHeight="1">
      <c r="AA857" s="41">
        <f t="shared" ca="1" si="33"/>
        <v>0</v>
      </c>
      <c r="AB857" s="41">
        <v>857</v>
      </c>
    </row>
    <row r="858" spans="27:28" ht="21" customHeight="1">
      <c r="AA858" s="41">
        <f t="shared" ca="1" si="33"/>
        <v>0</v>
      </c>
      <c r="AB858" s="41">
        <v>858</v>
      </c>
    </row>
    <row r="859" spans="27:28" ht="21" customHeight="1">
      <c r="AA859" s="41">
        <f t="shared" ca="1" si="33"/>
        <v>0</v>
      </c>
      <c r="AB859" s="41">
        <v>859</v>
      </c>
    </row>
    <row r="860" spans="27:28" ht="21" customHeight="1">
      <c r="AA860" s="41">
        <f t="shared" ca="1" si="33"/>
        <v>0</v>
      </c>
      <c r="AB860" s="41">
        <v>860</v>
      </c>
    </row>
    <row r="861" spans="27:28" ht="21" customHeight="1">
      <c r="AA861" s="41">
        <f t="shared" ca="1" si="33"/>
        <v>0</v>
      </c>
      <c r="AB861" s="41">
        <v>861</v>
      </c>
    </row>
    <row r="862" spans="27:28" ht="21" customHeight="1">
      <c r="AA862" s="41">
        <f t="shared" ca="1" si="33"/>
        <v>0</v>
      </c>
      <c r="AB862" s="41">
        <v>862</v>
      </c>
    </row>
    <row r="863" spans="27:28" ht="21" customHeight="1">
      <c r="AA863" s="41">
        <f t="shared" ca="1" si="33"/>
        <v>0</v>
      </c>
      <c r="AB863" s="41">
        <v>863</v>
      </c>
    </row>
    <row r="864" spans="27:28" ht="21" customHeight="1">
      <c r="AA864" s="41">
        <f t="shared" ca="1" si="33"/>
        <v>0</v>
      </c>
      <c r="AB864" s="41">
        <v>864</v>
      </c>
    </row>
    <row r="865" spans="27:28" ht="21" customHeight="1">
      <c r="AA865" s="41">
        <f t="shared" ca="1" si="33"/>
        <v>0</v>
      </c>
      <c r="AB865" s="41">
        <v>865</v>
      </c>
    </row>
    <row r="866" spans="27:28" ht="21" customHeight="1">
      <c r="AA866" s="41">
        <f t="shared" ca="1" si="33"/>
        <v>0</v>
      </c>
      <c r="AB866" s="41">
        <v>866</v>
      </c>
    </row>
    <row r="867" spans="27:28" ht="21" customHeight="1">
      <c r="AA867" s="41">
        <f t="shared" ca="1" si="33"/>
        <v>0</v>
      </c>
      <c r="AB867" s="41">
        <v>867</v>
      </c>
    </row>
    <row r="868" spans="27:28" ht="21" customHeight="1">
      <c r="AA868" s="41">
        <f t="shared" ca="1" si="33"/>
        <v>0</v>
      </c>
      <c r="AB868" s="41">
        <v>868</v>
      </c>
    </row>
    <row r="869" spans="27:28" ht="21" customHeight="1">
      <c r="AA869" s="41">
        <f t="shared" ca="1" si="33"/>
        <v>0</v>
      </c>
      <c r="AB869" s="41">
        <v>869</v>
      </c>
    </row>
    <row r="870" spans="27:28" ht="21" customHeight="1">
      <c r="AA870" s="41">
        <f t="shared" ca="1" si="33"/>
        <v>0</v>
      </c>
      <c r="AB870" s="41">
        <v>870</v>
      </c>
    </row>
    <row r="871" spans="27:28" ht="21" customHeight="1">
      <c r="AA871" s="41">
        <f t="shared" ca="1" si="33"/>
        <v>0</v>
      </c>
      <c r="AB871" s="41">
        <v>871</v>
      </c>
    </row>
    <row r="872" spans="27:28" ht="21" customHeight="1">
      <c r="AA872" s="41">
        <f t="shared" ca="1" si="33"/>
        <v>0</v>
      </c>
      <c r="AB872" s="41">
        <v>872</v>
      </c>
    </row>
    <row r="873" spans="27:28" ht="21" customHeight="1">
      <c r="AA873" s="41">
        <f t="shared" ca="1" si="33"/>
        <v>0</v>
      </c>
      <c r="AB873" s="41">
        <v>873</v>
      </c>
    </row>
    <row r="874" spans="27:28" ht="21" customHeight="1">
      <c r="AA874" s="41">
        <f t="shared" ca="1" si="33"/>
        <v>0</v>
      </c>
      <c r="AB874" s="41">
        <v>874</v>
      </c>
    </row>
    <row r="875" spans="27:28" ht="21" customHeight="1">
      <c r="AA875" s="41">
        <f t="shared" ca="1" si="33"/>
        <v>0</v>
      </c>
      <c r="AB875" s="41">
        <v>875</v>
      </c>
    </row>
    <row r="876" spans="27:28" ht="21" customHeight="1">
      <c r="AA876" s="41">
        <f t="shared" ca="1" si="33"/>
        <v>0</v>
      </c>
      <c r="AB876" s="41">
        <v>876</v>
      </c>
    </row>
    <row r="877" spans="27:28" ht="21" customHeight="1">
      <c r="AA877" s="41">
        <f t="shared" ca="1" si="33"/>
        <v>0</v>
      </c>
      <c r="AB877" s="41">
        <v>877</v>
      </c>
    </row>
    <row r="878" spans="27:28" ht="21" customHeight="1">
      <c r="AA878" s="41">
        <f t="shared" ca="1" si="33"/>
        <v>0</v>
      </c>
      <c r="AB878" s="41">
        <v>878</v>
      </c>
    </row>
    <row r="879" spans="27:28" ht="21" customHeight="1">
      <c r="AA879" s="41">
        <f t="shared" ca="1" si="33"/>
        <v>0</v>
      </c>
      <c r="AB879" s="41">
        <v>879</v>
      </c>
    </row>
    <row r="880" spans="27:28" ht="21" customHeight="1">
      <c r="AA880" s="41">
        <f t="shared" ca="1" si="33"/>
        <v>0</v>
      </c>
      <c r="AB880" s="41">
        <v>880</v>
      </c>
    </row>
    <row r="881" spans="27:28" ht="21" customHeight="1">
      <c r="AA881" s="41">
        <f t="shared" ca="1" si="33"/>
        <v>0</v>
      </c>
      <c r="AB881" s="41">
        <v>881</v>
      </c>
    </row>
    <row r="882" spans="27:28" ht="21" customHeight="1">
      <c r="AA882" s="41">
        <f t="shared" ca="1" si="33"/>
        <v>0</v>
      </c>
      <c r="AB882" s="41">
        <v>882</v>
      </c>
    </row>
    <row r="883" spans="27:28" ht="21" customHeight="1">
      <c r="AA883" s="41">
        <f t="shared" ca="1" si="33"/>
        <v>0</v>
      </c>
      <c r="AB883" s="41">
        <v>883</v>
      </c>
    </row>
    <row r="884" spans="27:28" ht="21" customHeight="1">
      <c r="AA884" s="41">
        <f t="shared" ca="1" si="33"/>
        <v>0</v>
      </c>
      <c r="AB884" s="41">
        <v>884</v>
      </c>
    </row>
    <row r="885" spans="27:28" ht="21" customHeight="1">
      <c r="AA885" s="41">
        <f t="shared" ca="1" si="33"/>
        <v>0</v>
      </c>
      <c r="AB885" s="41">
        <v>885</v>
      </c>
    </row>
    <row r="886" spans="27:28" ht="21" customHeight="1">
      <c r="AA886" s="41">
        <f t="shared" ca="1" si="33"/>
        <v>0</v>
      </c>
      <c r="AB886" s="41">
        <v>886</v>
      </c>
    </row>
    <row r="887" spans="27:28" ht="21" customHeight="1">
      <c r="AA887" s="41">
        <f t="shared" ca="1" si="33"/>
        <v>0</v>
      </c>
      <c r="AB887" s="41">
        <v>887</v>
      </c>
    </row>
    <row r="888" spans="27:28" ht="21" customHeight="1">
      <c r="AA888" s="41">
        <f t="shared" ca="1" si="33"/>
        <v>0</v>
      </c>
      <c r="AB888" s="41">
        <v>888</v>
      </c>
    </row>
    <row r="889" spans="27:28" ht="21" customHeight="1">
      <c r="AA889" s="41">
        <f t="shared" ca="1" si="33"/>
        <v>0</v>
      </c>
      <c r="AB889" s="41">
        <v>889</v>
      </c>
    </row>
    <row r="890" spans="27:28" ht="21" customHeight="1">
      <c r="AA890" s="41">
        <f t="shared" ca="1" si="33"/>
        <v>0</v>
      </c>
      <c r="AB890" s="41">
        <v>890</v>
      </c>
    </row>
    <row r="891" spans="27:28" ht="21" customHeight="1">
      <c r="AA891" s="41">
        <f t="shared" ca="1" si="33"/>
        <v>0</v>
      </c>
      <c r="AB891" s="41">
        <v>891</v>
      </c>
    </row>
    <row r="892" spans="27:28" ht="21" customHeight="1">
      <c r="AA892" s="41">
        <f t="shared" ca="1" si="33"/>
        <v>0</v>
      </c>
      <c r="AB892" s="41">
        <v>892</v>
      </c>
    </row>
    <row r="893" spans="27:28" ht="21" customHeight="1">
      <c r="AA893" s="41">
        <f t="shared" ca="1" si="33"/>
        <v>0</v>
      </c>
      <c r="AB893" s="41">
        <v>893</v>
      </c>
    </row>
    <row r="894" spans="27:28" ht="21" customHeight="1">
      <c r="AA894" s="41">
        <f t="shared" ca="1" si="33"/>
        <v>0</v>
      </c>
      <c r="AB894" s="41">
        <v>894</v>
      </c>
    </row>
    <row r="895" spans="27:28" ht="21" customHeight="1">
      <c r="AA895" s="41">
        <f t="shared" ca="1" si="33"/>
        <v>0</v>
      </c>
      <c r="AB895" s="41">
        <v>895</v>
      </c>
    </row>
    <row r="896" spans="27:28" ht="21" customHeight="1">
      <c r="AA896" s="41">
        <f t="shared" ca="1" si="33"/>
        <v>0</v>
      </c>
      <c r="AB896" s="41">
        <v>896</v>
      </c>
    </row>
    <row r="897" spans="27:28" ht="21" customHeight="1">
      <c r="AA897" s="41">
        <f t="shared" ca="1" si="33"/>
        <v>0</v>
      </c>
      <c r="AB897" s="41">
        <v>897</v>
      </c>
    </row>
    <row r="898" spans="27:28" ht="21" customHeight="1">
      <c r="AA898" s="41">
        <f t="shared" ca="1" si="33"/>
        <v>0</v>
      </c>
      <c r="AB898" s="41">
        <v>898</v>
      </c>
    </row>
    <row r="899" spans="27:28" ht="21" customHeight="1">
      <c r="AA899" s="41">
        <f t="shared" ca="1" si="33"/>
        <v>0</v>
      </c>
      <c r="AB899" s="41">
        <v>899</v>
      </c>
    </row>
    <row r="900" spans="27:28" ht="21" customHeight="1">
      <c r="AA900" s="41">
        <f t="shared" ca="1" si="33"/>
        <v>0</v>
      </c>
      <c r="AB900" s="41">
        <v>900</v>
      </c>
    </row>
    <row r="901" spans="27:28" ht="21" customHeight="1">
      <c r="AA901" s="41">
        <f t="shared" ref="AA901:AA964" ca="1" si="34">INDIRECT($W$6&amp;"!"&amp;"B"&amp;ROW(B901))</f>
        <v>0</v>
      </c>
      <c r="AB901" s="41">
        <v>901</v>
      </c>
    </row>
    <row r="902" spans="27:28" ht="21" customHeight="1">
      <c r="AA902" s="41">
        <f t="shared" ca="1" si="34"/>
        <v>0</v>
      </c>
      <c r="AB902" s="41">
        <v>902</v>
      </c>
    </row>
    <row r="903" spans="27:28" ht="21" customHeight="1">
      <c r="AA903" s="41">
        <f t="shared" ca="1" si="34"/>
        <v>0</v>
      </c>
      <c r="AB903" s="41">
        <v>903</v>
      </c>
    </row>
    <row r="904" spans="27:28" ht="21" customHeight="1">
      <c r="AA904" s="41">
        <f t="shared" ca="1" si="34"/>
        <v>0</v>
      </c>
      <c r="AB904" s="41">
        <v>904</v>
      </c>
    </row>
    <row r="905" spans="27:28" ht="21" customHeight="1">
      <c r="AA905" s="41">
        <f t="shared" ca="1" si="34"/>
        <v>0</v>
      </c>
      <c r="AB905" s="41">
        <v>905</v>
      </c>
    </row>
    <row r="906" spans="27:28" ht="21" customHeight="1">
      <c r="AA906" s="41">
        <f t="shared" ca="1" si="34"/>
        <v>0</v>
      </c>
      <c r="AB906" s="41">
        <v>906</v>
      </c>
    </row>
    <row r="907" spans="27:28" ht="21" customHeight="1">
      <c r="AA907" s="41">
        <f t="shared" ca="1" si="34"/>
        <v>0</v>
      </c>
      <c r="AB907" s="41">
        <v>907</v>
      </c>
    </row>
    <row r="908" spans="27:28" ht="21" customHeight="1">
      <c r="AA908" s="41">
        <f t="shared" ca="1" si="34"/>
        <v>0</v>
      </c>
      <c r="AB908" s="41">
        <v>908</v>
      </c>
    </row>
    <row r="909" spans="27:28" ht="21" customHeight="1">
      <c r="AA909" s="41">
        <f t="shared" ca="1" si="34"/>
        <v>0</v>
      </c>
      <c r="AB909" s="41">
        <v>909</v>
      </c>
    </row>
    <row r="910" spans="27:28" ht="21" customHeight="1">
      <c r="AA910" s="41">
        <f t="shared" ca="1" si="34"/>
        <v>0</v>
      </c>
      <c r="AB910" s="41">
        <v>910</v>
      </c>
    </row>
    <row r="911" spans="27:28" ht="21" customHeight="1">
      <c r="AA911" s="41">
        <f t="shared" ca="1" si="34"/>
        <v>0</v>
      </c>
      <c r="AB911" s="41">
        <v>911</v>
      </c>
    </row>
    <row r="912" spans="27:28" ht="21" customHeight="1">
      <c r="AA912" s="41">
        <f t="shared" ca="1" si="34"/>
        <v>0</v>
      </c>
      <c r="AB912" s="41">
        <v>912</v>
      </c>
    </row>
    <row r="913" spans="27:28" ht="21" customHeight="1">
      <c r="AA913" s="41">
        <f t="shared" ca="1" si="34"/>
        <v>0</v>
      </c>
      <c r="AB913" s="41">
        <v>913</v>
      </c>
    </row>
    <row r="914" spans="27:28" ht="21" customHeight="1">
      <c r="AA914" s="41">
        <f t="shared" ca="1" si="34"/>
        <v>0</v>
      </c>
      <c r="AB914" s="41">
        <v>914</v>
      </c>
    </row>
    <row r="915" spans="27:28" ht="21" customHeight="1">
      <c r="AA915" s="41">
        <f t="shared" ca="1" si="34"/>
        <v>0</v>
      </c>
      <c r="AB915" s="41">
        <v>915</v>
      </c>
    </row>
    <row r="916" spans="27:28" ht="21" customHeight="1">
      <c r="AA916" s="41">
        <f t="shared" ca="1" si="34"/>
        <v>0</v>
      </c>
      <c r="AB916" s="41">
        <v>916</v>
      </c>
    </row>
    <row r="917" spans="27:28" ht="21" customHeight="1">
      <c r="AA917" s="41">
        <f t="shared" ca="1" si="34"/>
        <v>0</v>
      </c>
      <c r="AB917" s="41">
        <v>917</v>
      </c>
    </row>
    <row r="918" spans="27:28" ht="21" customHeight="1">
      <c r="AA918" s="41">
        <f t="shared" ca="1" si="34"/>
        <v>0</v>
      </c>
      <c r="AB918" s="41">
        <v>918</v>
      </c>
    </row>
    <row r="919" spans="27:28" ht="21" customHeight="1">
      <c r="AA919" s="41">
        <f t="shared" ca="1" si="34"/>
        <v>0</v>
      </c>
      <c r="AB919" s="41">
        <v>919</v>
      </c>
    </row>
    <row r="920" spans="27:28" ht="21" customHeight="1">
      <c r="AA920" s="41">
        <f t="shared" ca="1" si="34"/>
        <v>0</v>
      </c>
      <c r="AB920" s="41">
        <v>920</v>
      </c>
    </row>
    <row r="921" spans="27:28" ht="21" customHeight="1">
      <c r="AA921" s="41">
        <f t="shared" ca="1" si="34"/>
        <v>0</v>
      </c>
      <c r="AB921" s="41">
        <v>921</v>
      </c>
    </row>
    <row r="922" spans="27:28" ht="21" customHeight="1">
      <c r="AA922" s="41">
        <f t="shared" ca="1" si="34"/>
        <v>0</v>
      </c>
      <c r="AB922" s="41">
        <v>922</v>
      </c>
    </row>
    <row r="923" spans="27:28" ht="21" customHeight="1">
      <c r="AA923" s="41">
        <f t="shared" ca="1" si="34"/>
        <v>0</v>
      </c>
      <c r="AB923" s="41">
        <v>923</v>
      </c>
    </row>
    <row r="924" spans="27:28" ht="21" customHeight="1">
      <c r="AA924" s="41">
        <f t="shared" ca="1" si="34"/>
        <v>0</v>
      </c>
      <c r="AB924" s="41">
        <v>924</v>
      </c>
    </row>
    <row r="925" spans="27:28" ht="21" customHeight="1">
      <c r="AA925" s="41">
        <f t="shared" ca="1" si="34"/>
        <v>0</v>
      </c>
      <c r="AB925" s="41">
        <v>925</v>
      </c>
    </row>
    <row r="926" spans="27:28" ht="21" customHeight="1">
      <c r="AA926" s="41">
        <f t="shared" ca="1" si="34"/>
        <v>0</v>
      </c>
      <c r="AB926" s="41">
        <v>926</v>
      </c>
    </row>
    <row r="927" spans="27:28" ht="21" customHeight="1">
      <c r="AA927" s="41">
        <f t="shared" ca="1" si="34"/>
        <v>0</v>
      </c>
      <c r="AB927" s="41">
        <v>927</v>
      </c>
    </row>
    <row r="928" spans="27:28" ht="21" customHeight="1">
      <c r="AA928" s="41">
        <f t="shared" ca="1" si="34"/>
        <v>0</v>
      </c>
      <c r="AB928" s="41">
        <v>928</v>
      </c>
    </row>
    <row r="929" spans="27:28" ht="21" customHeight="1">
      <c r="AA929" s="41">
        <f t="shared" ca="1" si="34"/>
        <v>0</v>
      </c>
      <c r="AB929" s="41">
        <v>929</v>
      </c>
    </row>
    <row r="930" spans="27:28" ht="21" customHeight="1">
      <c r="AA930" s="41">
        <f t="shared" ca="1" si="34"/>
        <v>0</v>
      </c>
      <c r="AB930" s="41">
        <v>930</v>
      </c>
    </row>
    <row r="931" spans="27:28" ht="21" customHeight="1">
      <c r="AA931" s="41">
        <f t="shared" ca="1" si="34"/>
        <v>0</v>
      </c>
      <c r="AB931" s="41">
        <v>931</v>
      </c>
    </row>
    <row r="932" spans="27:28" ht="21" customHeight="1">
      <c r="AA932" s="41">
        <f t="shared" ca="1" si="34"/>
        <v>0</v>
      </c>
      <c r="AB932" s="41">
        <v>932</v>
      </c>
    </row>
    <row r="933" spans="27:28" ht="21" customHeight="1">
      <c r="AA933" s="41">
        <f t="shared" ca="1" si="34"/>
        <v>0</v>
      </c>
      <c r="AB933" s="41">
        <v>933</v>
      </c>
    </row>
    <row r="934" spans="27:28" ht="21" customHeight="1">
      <c r="AA934" s="41">
        <f t="shared" ca="1" si="34"/>
        <v>0</v>
      </c>
      <c r="AB934" s="41">
        <v>934</v>
      </c>
    </row>
    <row r="935" spans="27:28" ht="21" customHeight="1">
      <c r="AA935" s="41">
        <f t="shared" ca="1" si="34"/>
        <v>0</v>
      </c>
      <c r="AB935" s="41">
        <v>935</v>
      </c>
    </row>
    <row r="936" spans="27:28" ht="21" customHeight="1">
      <c r="AA936" s="41">
        <f t="shared" ca="1" si="34"/>
        <v>0</v>
      </c>
      <c r="AB936" s="41">
        <v>936</v>
      </c>
    </row>
    <row r="937" spans="27:28" ht="21" customHeight="1">
      <c r="AA937" s="41">
        <f t="shared" ca="1" si="34"/>
        <v>0</v>
      </c>
      <c r="AB937" s="41">
        <v>937</v>
      </c>
    </row>
    <row r="938" spans="27:28" ht="21" customHeight="1">
      <c r="AA938" s="41">
        <f t="shared" ca="1" si="34"/>
        <v>0</v>
      </c>
      <c r="AB938" s="41">
        <v>938</v>
      </c>
    </row>
    <row r="939" spans="27:28" ht="21" customHeight="1">
      <c r="AA939" s="41">
        <f t="shared" ca="1" si="34"/>
        <v>0</v>
      </c>
      <c r="AB939" s="41">
        <v>939</v>
      </c>
    </row>
    <row r="940" spans="27:28" ht="21" customHeight="1">
      <c r="AA940" s="41">
        <f t="shared" ca="1" si="34"/>
        <v>0</v>
      </c>
      <c r="AB940" s="41">
        <v>940</v>
      </c>
    </row>
    <row r="941" spans="27:28" ht="21" customHeight="1">
      <c r="AA941" s="41">
        <f t="shared" ca="1" si="34"/>
        <v>0</v>
      </c>
      <c r="AB941" s="41">
        <v>941</v>
      </c>
    </row>
    <row r="942" spans="27:28" ht="21" customHeight="1">
      <c r="AA942" s="41">
        <f t="shared" ca="1" si="34"/>
        <v>0</v>
      </c>
      <c r="AB942" s="41">
        <v>942</v>
      </c>
    </row>
    <row r="943" spans="27:28" ht="21" customHeight="1">
      <c r="AA943" s="41">
        <f t="shared" ca="1" si="34"/>
        <v>0</v>
      </c>
      <c r="AB943" s="41">
        <v>943</v>
      </c>
    </row>
    <row r="944" spans="27:28" ht="21" customHeight="1">
      <c r="AA944" s="41">
        <f t="shared" ca="1" si="34"/>
        <v>0</v>
      </c>
      <c r="AB944" s="41">
        <v>944</v>
      </c>
    </row>
    <row r="945" spans="27:28" ht="21" customHeight="1">
      <c r="AA945" s="41">
        <f t="shared" ca="1" si="34"/>
        <v>0</v>
      </c>
      <c r="AB945" s="41">
        <v>945</v>
      </c>
    </row>
    <row r="946" spans="27:28" ht="21" customHeight="1">
      <c r="AA946" s="41">
        <f t="shared" ca="1" si="34"/>
        <v>0</v>
      </c>
      <c r="AB946" s="41">
        <v>946</v>
      </c>
    </row>
    <row r="947" spans="27:28" ht="21" customHeight="1">
      <c r="AA947" s="41">
        <f t="shared" ca="1" si="34"/>
        <v>0</v>
      </c>
      <c r="AB947" s="41">
        <v>947</v>
      </c>
    </row>
    <row r="948" spans="27:28" ht="21" customHeight="1">
      <c r="AA948" s="41">
        <f t="shared" ca="1" si="34"/>
        <v>0</v>
      </c>
      <c r="AB948" s="41">
        <v>948</v>
      </c>
    </row>
    <row r="949" spans="27:28" ht="21" customHeight="1">
      <c r="AA949" s="41">
        <f t="shared" ca="1" si="34"/>
        <v>0</v>
      </c>
      <c r="AB949" s="41">
        <v>949</v>
      </c>
    </row>
    <row r="950" spans="27:28" ht="21" customHeight="1">
      <c r="AA950" s="41">
        <f t="shared" ca="1" si="34"/>
        <v>0</v>
      </c>
      <c r="AB950" s="41">
        <v>950</v>
      </c>
    </row>
    <row r="951" spans="27:28" ht="21" customHeight="1">
      <c r="AA951" s="41">
        <f t="shared" ca="1" si="34"/>
        <v>0</v>
      </c>
      <c r="AB951" s="41">
        <v>951</v>
      </c>
    </row>
    <row r="952" spans="27:28" ht="21" customHeight="1">
      <c r="AA952" s="41">
        <f t="shared" ca="1" si="34"/>
        <v>0</v>
      </c>
      <c r="AB952" s="41">
        <v>952</v>
      </c>
    </row>
    <row r="953" spans="27:28" ht="21" customHeight="1">
      <c r="AA953" s="41">
        <f t="shared" ca="1" si="34"/>
        <v>0</v>
      </c>
      <c r="AB953" s="41">
        <v>953</v>
      </c>
    </row>
    <row r="954" spans="27:28" ht="21" customHeight="1">
      <c r="AA954" s="41">
        <f t="shared" ca="1" si="34"/>
        <v>0</v>
      </c>
      <c r="AB954" s="41">
        <v>954</v>
      </c>
    </row>
    <row r="955" spans="27:28" ht="21" customHeight="1">
      <c r="AA955" s="41">
        <f t="shared" ca="1" si="34"/>
        <v>0</v>
      </c>
      <c r="AB955" s="41">
        <v>955</v>
      </c>
    </row>
    <row r="956" spans="27:28" ht="21" customHeight="1">
      <c r="AA956" s="41">
        <f t="shared" ca="1" si="34"/>
        <v>0</v>
      </c>
      <c r="AB956" s="41">
        <v>956</v>
      </c>
    </row>
    <row r="957" spans="27:28" ht="21" customHeight="1">
      <c r="AA957" s="41">
        <f t="shared" ca="1" si="34"/>
        <v>0</v>
      </c>
      <c r="AB957" s="41">
        <v>957</v>
      </c>
    </row>
    <row r="958" spans="27:28" ht="21" customHeight="1">
      <c r="AA958" s="41">
        <f t="shared" ca="1" si="34"/>
        <v>0</v>
      </c>
      <c r="AB958" s="41">
        <v>958</v>
      </c>
    </row>
    <row r="959" spans="27:28" ht="21" customHeight="1">
      <c r="AA959" s="41">
        <f t="shared" ca="1" si="34"/>
        <v>0</v>
      </c>
      <c r="AB959" s="41">
        <v>959</v>
      </c>
    </row>
    <row r="960" spans="27:28" ht="21" customHeight="1">
      <c r="AA960" s="41">
        <f t="shared" ca="1" si="34"/>
        <v>0</v>
      </c>
      <c r="AB960" s="41">
        <v>960</v>
      </c>
    </row>
    <row r="961" spans="27:28" ht="21" customHeight="1">
      <c r="AA961" s="41">
        <f t="shared" ca="1" si="34"/>
        <v>0</v>
      </c>
      <c r="AB961" s="41">
        <v>961</v>
      </c>
    </row>
    <row r="962" spans="27:28" ht="21" customHeight="1">
      <c r="AA962" s="41">
        <f t="shared" ca="1" si="34"/>
        <v>0</v>
      </c>
      <c r="AB962" s="41">
        <v>962</v>
      </c>
    </row>
    <row r="963" spans="27:28" ht="21" customHeight="1">
      <c r="AA963" s="41">
        <f t="shared" ca="1" si="34"/>
        <v>0</v>
      </c>
      <c r="AB963" s="41">
        <v>963</v>
      </c>
    </row>
    <row r="964" spans="27:28" ht="21" customHeight="1">
      <c r="AA964" s="41">
        <f t="shared" ca="1" si="34"/>
        <v>0</v>
      </c>
      <c r="AB964" s="41">
        <v>964</v>
      </c>
    </row>
    <row r="965" spans="27:28" ht="21" customHeight="1">
      <c r="AA965" s="41">
        <f t="shared" ref="AA965:AA1028" ca="1" si="35">INDIRECT($W$6&amp;"!"&amp;"B"&amp;ROW(B965))</f>
        <v>0</v>
      </c>
      <c r="AB965" s="41">
        <v>965</v>
      </c>
    </row>
    <row r="966" spans="27:28" ht="21" customHeight="1">
      <c r="AA966" s="41">
        <f t="shared" ca="1" si="35"/>
        <v>0</v>
      </c>
      <c r="AB966" s="41">
        <v>966</v>
      </c>
    </row>
    <row r="967" spans="27:28" ht="21" customHeight="1">
      <c r="AA967" s="41">
        <f t="shared" ca="1" si="35"/>
        <v>0</v>
      </c>
      <c r="AB967" s="41">
        <v>967</v>
      </c>
    </row>
    <row r="968" spans="27:28" ht="21" customHeight="1">
      <c r="AA968" s="41">
        <f t="shared" ca="1" si="35"/>
        <v>0</v>
      </c>
      <c r="AB968" s="41">
        <v>968</v>
      </c>
    </row>
    <row r="969" spans="27:28" ht="21" customHeight="1">
      <c r="AA969" s="41">
        <f t="shared" ca="1" si="35"/>
        <v>0</v>
      </c>
      <c r="AB969" s="41">
        <v>969</v>
      </c>
    </row>
    <row r="970" spans="27:28" ht="21" customHeight="1">
      <c r="AA970" s="41">
        <f t="shared" ca="1" si="35"/>
        <v>0</v>
      </c>
      <c r="AB970" s="41">
        <v>970</v>
      </c>
    </row>
    <row r="971" spans="27:28" ht="21" customHeight="1">
      <c r="AA971" s="41">
        <f t="shared" ca="1" si="35"/>
        <v>0</v>
      </c>
      <c r="AB971" s="41">
        <v>971</v>
      </c>
    </row>
    <row r="972" spans="27:28" ht="21" customHeight="1">
      <c r="AA972" s="41">
        <f t="shared" ca="1" si="35"/>
        <v>0</v>
      </c>
      <c r="AB972" s="41">
        <v>972</v>
      </c>
    </row>
    <row r="973" spans="27:28" ht="21" customHeight="1">
      <c r="AA973" s="41">
        <f t="shared" ca="1" si="35"/>
        <v>0</v>
      </c>
      <c r="AB973" s="41">
        <v>973</v>
      </c>
    </row>
    <row r="974" spans="27:28" ht="21" customHeight="1">
      <c r="AA974" s="41">
        <f t="shared" ca="1" si="35"/>
        <v>0</v>
      </c>
      <c r="AB974" s="41">
        <v>974</v>
      </c>
    </row>
    <row r="975" spans="27:28" ht="21" customHeight="1">
      <c r="AA975" s="41">
        <f t="shared" ca="1" si="35"/>
        <v>0</v>
      </c>
      <c r="AB975" s="41">
        <v>975</v>
      </c>
    </row>
    <row r="976" spans="27:28" ht="21" customHeight="1">
      <c r="AA976" s="41">
        <f t="shared" ca="1" si="35"/>
        <v>0</v>
      </c>
      <c r="AB976" s="41">
        <v>976</v>
      </c>
    </row>
    <row r="977" spans="27:28" ht="21" customHeight="1">
      <c r="AA977" s="41">
        <f t="shared" ca="1" si="35"/>
        <v>0</v>
      </c>
      <c r="AB977" s="41">
        <v>977</v>
      </c>
    </row>
    <row r="978" spans="27:28" ht="21" customHeight="1">
      <c r="AA978" s="41">
        <f t="shared" ca="1" si="35"/>
        <v>0</v>
      </c>
      <c r="AB978" s="41">
        <v>978</v>
      </c>
    </row>
    <row r="979" spans="27:28" ht="21" customHeight="1">
      <c r="AA979" s="41">
        <f t="shared" ca="1" si="35"/>
        <v>0</v>
      </c>
      <c r="AB979" s="41">
        <v>979</v>
      </c>
    </row>
    <row r="980" spans="27:28" ht="21" customHeight="1">
      <c r="AA980" s="41">
        <f t="shared" ca="1" si="35"/>
        <v>0</v>
      </c>
      <c r="AB980" s="41">
        <v>980</v>
      </c>
    </row>
    <row r="981" spans="27:28" ht="21" customHeight="1">
      <c r="AA981" s="41">
        <f t="shared" ca="1" si="35"/>
        <v>0</v>
      </c>
      <c r="AB981" s="41">
        <v>981</v>
      </c>
    </row>
    <row r="982" spans="27:28" ht="21" customHeight="1">
      <c r="AA982" s="41">
        <f t="shared" ca="1" si="35"/>
        <v>0</v>
      </c>
      <c r="AB982" s="41">
        <v>982</v>
      </c>
    </row>
    <row r="983" spans="27:28" ht="21" customHeight="1">
      <c r="AA983" s="41">
        <f t="shared" ca="1" si="35"/>
        <v>0</v>
      </c>
      <c r="AB983" s="41">
        <v>983</v>
      </c>
    </row>
    <row r="984" spans="27:28" ht="21" customHeight="1">
      <c r="AA984" s="41">
        <f t="shared" ca="1" si="35"/>
        <v>0</v>
      </c>
      <c r="AB984" s="41">
        <v>984</v>
      </c>
    </row>
    <row r="985" spans="27:28" ht="21" customHeight="1">
      <c r="AA985" s="41">
        <f t="shared" ca="1" si="35"/>
        <v>0</v>
      </c>
      <c r="AB985" s="41">
        <v>985</v>
      </c>
    </row>
    <row r="986" spans="27:28" ht="21" customHeight="1">
      <c r="AA986" s="41">
        <f t="shared" ca="1" si="35"/>
        <v>0</v>
      </c>
      <c r="AB986" s="41">
        <v>986</v>
      </c>
    </row>
    <row r="987" spans="27:28" ht="21" customHeight="1">
      <c r="AA987" s="41">
        <f t="shared" ca="1" si="35"/>
        <v>0</v>
      </c>
      <c r="AB987" s="41">
        <v>987</v>
      </c>
    </row>
    <row r="988" spans="27:28" ht="21" customHeight="1">
      <c r="AA988" s="41">
        <f t="shared" ca="1" si="35"/>
        <v>0</v>
      </c>
      <c r="AB988" s="41">
        <v>988</v>
      </c>
    </row>
    <row r="989" spans="27:28" ht="21" customHeight="1">
      <c r="AA989" s="41">
        <f t="shared" ca="1" si="35"/>
        <v>0</v>
      </c>
      <c r="AB989" s="41">
        <v>989</v>
      </c>
    </row>
    <row r="990" spans="27:28" ht="21" customHeight="1">
      <c r="AA990" s="41">
        <f t="shared" ca="1" si="35"/>
        <v>0</v>
      </c>
      <c r="AB990" s="41">
        <v>990</v>
      </c>
    </row>
    <row r="991" spans="27:28" ht="21" customHeight="1">
      <c r="AA991" s="41">
        <f t="shared" ca="1" si="35"/>
        <v>0</v>
      </c>
      <c r="AB991" s="41">
        <v>991</v>
      </c>
    </row>
    <row r="992" spans="27:28" ht="21" customHeight="1">
      <c r="AA992" s="41">
        <f t="shared" ca="1" si="35"/>
        <v>0</v>
      </c>
      <c r="AB992" s="41">
        <v>992</v>
      </c>
    </row>
    <row r="993" spans="27:28" ht="21" customHeight="1">
      <c r="AA993" s="41">
        <f t="shared" ca="1" si="35"/>
        <v>0</v>
      </c>
      <c r="AB993" s="41">
        <v>993</v>
      </c>
    </row>
    <row r="994" spans="27:28" ht="21" customHeight="1">
      <c r="AA994" s="41">
        <f t="shared" ca="1" si="35"/>
        <v>0</v>
      </c>
      <c r="AB994" s="41">
        <v>994</v>
      </c>
    </row>
    <row r="995" spans="27:28" ht="21" customHeight="1">
      <c r="AA995" s="41">
        <f t="shared" ca="1" si="35"/>
        <v>0</v>
      </c>
      <c r="AB995" s="41">
        <v>995</v>
      </c>
    </row>
    <row r="996" spans="27:28" ht="21" customHeight="1">
      <c r="AA996" s="41">
        <f t="shared" ca="1" si="35"/>
        <v>0</v>
      </c>
      <c r="AB996" s="41">
        <v>996</v>
      </c>
    </row>
    <row r="997" spans="27:28" ht="21" customHeight="1">
      <c r="AA997" s="41">
        <f t="shared" ca="1" si="35"/>
        <v>0</v>
      </c>
      <c r="AB997" s="41">
        <v>997</v>
      </c>
    </row>
    <row r="998" spans="27:28" ht="21" customHeight="1">
      <c r="AA998" s="41">
        <f t="shared" ca="1" si="35"/>
        <v>0</v>
      </c>
      <c r="AB998" s="41">
        <v>998</v>
      </c>
    </row>
    <row r="999" spans="27:28" ht="21" customHeight="1">
      <c r="AA999" s="41">
        <f t="shared" ca="1" si="35"/>
        <v>0</v>
      </c>
      <c r="AB999" s="41">
        <v>999</v>
      </c>
    </row>
    <row r="1000" spans="27:28" ht="21" customHeight="1">
      <c r="AA1000" s="41">
        <f t="shared" ca="1" si="35"/>
        <v>0</v>
      </c>
      <c r="AB1000" s="41">
        <v>1000</v>
      </c>
    </row>
    <row r="1001" spans="27:28" ht="21" customHeight="1">
      <c r="AA1001" s="41">
        <f t="shared" ca="1" si="35"/>
        <v>0</v>
      </c>
      <c r="AB1001" s="41">
        <v>1001</v>
      </c>
    </row>
    <row r="1002" spans="27:28" ht="21" customHeight="1">
      <c r="AA1002" s="41">
        <f t="shared" ca="1" si="35"/>
        <v>0</v>
      </c>
      <c r="AB1002" s="41">
        <v>1002</v>
      </c>
    </row>
    <row r="1003" spans="27:28" ht="21" customHeight="1">
      <c r="AA1003" s="41">
        <f t="shared" ca="1" si="35"/>
        <v>0</v>
      </c>
      <c r="AB1003" s="41">
        <v>1003</v>
      </c>
    </row>
    <row r="1004" spans="27:28" ht="21" customHeight="1">
      <c r="AA1004" s="41">
        <f t="shared" ca="1" si="35"/>
        <v>0</v>
      </c>
      <c r="AB1004" s="41">
        <v>1004</v>
      </c>
    </row>
    <row r="1005" spans="27:28" ht="21" customHeight="1">
      <c r="AA1005" s="41">
        <f t="shared" ca="1" si="35"/>
        <v>0</v>
      </c>
      <c r="AB1005" s="41">
        <v>1005</v>
      </c>
    </row>
    <row r="1006" spans="27:28" ht="21" customHeight="1">
      <c r="AA1006" s="41">
        <f t="shared" ca="1" si="35"/>
        <v>0</v>
      </c>
      <c r="AB1006" s="41">
        <v>1006</v>
      </c>
    </row>
    <row r="1007" spans="27:28" ht="21" customHeight="1">
      <c r="AA1007" s="41">
        <f t="shared" ca="1" si="35"/>
        <v>0</v>
      </c>
      <c r="AB1007" s="41">
        <v>1007</v>
      </c>
    </row>
    <row r="1008" spans="27:28" ht="21" customHeight="1">
      <c r="AA1008" s="41">
        <f t="shared" ca="1" si="35"/>
        <v>0</v>
      </c>
      <c r="AB1008" s="41">
        <v>1008</v>
      </c>
    </row>
    <row r="1009" spans="27:28" ht="21" customHeight="1">
      <c r="AA1009" s="41">
        <f t="shared" ca="1" si="35"/>
        <v>0</v>
      </c>
      <c r="AB1009" s="41">
        <v>1009</v>
      </c>
    </row>
    <row r="1010" spans="27:28" ht="21" customHeight="1">
      <c r="AA1010" s="41">
        <f t="shared" ca="1" si="35"/>
        <v>0</v>
      </c>
      <c r="AB1010" s="41">
        <v>1010</v>
      </c>
    </row>
    <row r="1011" spans="27:28" ht="21" customHeight="1">
      <c r="AA1011" s="41">
        <f t="shared" ca="1" si="35"/>
        <v>0</v>
      </c>
      <c r="AB1011" s="41">
        <v>1011</v>
      </c>
    </row>
    <row r="1012" spans="27:28" ht="21" customHeight="1">
      <c r="AA1012" s="41">
        <f t="shared" ca="1" si="35"/>
        <v>0</v>
      </c>
      <c r="AB1012" s="41">
        <v>1012</v>
      </c>
    </row>
    <row r="1013" spans="27:28" ht="21" customHeight="1">
      <c r="AA1013" s="41">
        <f t="shared" ca="1" si="35"/>
        <v>0</v>
      </c>
      <c r="AB1013" s="41">
        <v>1013</v>
      </c>
    </row>
    <row r="1014" spans="27:28" ht="21" customHeight="1">
      <c r="AA1014" s="41">
        <f t="shared" ca="1" si="35"/>
        <v>0</v>
      </c>
      <c r="AB1014" s="41">
        <v>1014</v>
      </c>
    </row>
    <row r="1015" spans="27:28" ht="21" customHeight="1">
      <c r="AA1015" s="41">
        <f t="shared" ca="1" si="35"/>
        <v>0</v>
      </c>
      <c r="AB1015" s="41">
        <v>1015</v>
      </c>
    </row>
    <row r="1016" spans="27:28" ht="21" customHeight="1">
      <c r="AA1016" s="41">
        <f t="shared" ca="1" si="35"/>
        <v>0</v>
      </c>
      <c r="AB1016" s="41">
        <v>1016</v>
      </c>
    </row>
    <row r="1017" spans="27:28" ht="21" customHeight="1">
      <c r="AA1017" s="41">
        <f t="shared" ca="1" si="35"/>
        <v>0</v>
      </c>
      <c r="AB1017" s="41">
        <v>1017</v>
      </c>
    </row>
    <row r="1018" spans="27:28" ht="21" customHeight="1">
      <c r="AA1018" s="41">
        <f t="shared" ca="1" si="35"/>
        <v>0</v>
      </c>
      <c r="AB1018" s="41">
        <v>1018</v>
      </c>
    </row>
    <row r="1019" spans="27:28" ht="21" customHeight="1">
      <c r="AA1019" s="41">
        <f t="shared" ca="1" si="35"/>
        <v>0</v>
      </c>
      <c r="AB1019" s="41">
        <v>1019</v>
      </c>
    </row>
    <row r="1020" spans="27:28" ht="21" customHeight="1">
      <c r="AA1020" s="41">
        <f t="shared" ca="1" si="35"/>
        <v>0</v>
      </c>
      <c r="AB1020" s="41">
        <v>1020</v>
      </c>
    </row>
    <row r="1021" spans="27:28" ht="21" customHeight="1">
      <c r="AA1021" s="41">
        <f t="shared" ca="1" si="35"/>
        <v>0</v>
      </c>
      <c r="AB1021" s="41">
        <v>1021</v>
      </c>
    </row>
    <row r="1022" spans="27:28" ht="21" customHeight="1">
      <c r="AA1022" s="41">
        <f t="shared" ca="1" si="35"/>
        <v>0</v>
      </c>
      <c r="AB1022" s="41">
        <v>1022</v>
      </c>
    </row>
    <row r="1023" spans="27:28" ht="21" customHeight="1">
      <c r="AA1023" s="41">
        <f t="shared" ca="1" si="35"/>
        <v>0</v>
      </c>
      <c r="AB1023" s="41">
        <v>1023</v>
      </c>
    </row>
    <row r="1024" spans="27:28" ht="21" customHeight="1">
      <c r="AA1024" s="41">
        <f t="shared" ca="1" si="35"/>
        <v>0</v>
      </c>
      <c r="AB1024" s="41">
        <v>1024</v>
      </c>
    </row>
    <row r="1025" spans="27:28" ht="21" customHeight="1">
      <c r="AA1025" s="41">
        <f t="shared" ca="1" si="35"/>
        <v>0</v>
      </c>
      <c r="AB1025" s="41">
        <v>1025</v>
      </c>
    </row>
    <row r="1026" spans="27:28" ht="21" customHeight="1">
      <c r="AA1026" s="41">
        <f t="shared" ca="1" si="35"/>
        <v>0</v>
      </c>
      <c r="AB1026" s="41">
        <v>1026</v>
      </c>
    </row>
    <row r="1027" spans="27:28" ht="21" customHeight="1">
      <c r="AA1027" s="41">
        <f t="shared" ca="1" si="35"/>
        <v>0</v>
      </c>
      <c r="AB1027" s="41">
        <v>1027</v>
      </c>
    </row>
    <row r="1028" spans="27:28" ht="21" customHeight="1">
      <c r="AA1028" s="41">
        <f t="shared" ca="1" si="35"/>
        <v>0</v>
      </c>
      <c r="AB1028" s="41">
        <v>1028</v>
      </c>
    </row>
    <row r="1029" spans="27:28" ht="21" customHeight="1">
      <c r="AA1029" s="41">
        <f t="shared" ref="AA1029:AA1092" ca="1" si="36">INDIRECT($W$6&amp;"!"&amp;"B"&amp;ROW(B1029))</f>
        <v>0</v>
      </c>
      <c r="AB1029" s="41">
        <v>1029</v>
      </c>
    </row>
    <row r="1030" spans="27:28" ht="21" customHeight="1">
      <c r="AA1030" s="41">
        <f t="shared" ca="1" si="36"/>
        <v>0</v>
      </c>
      <c r="AB1030" s="41">
        <v>1030</v>
      </c>
    </row>
    <row r="1031" spans="27:28" ht="21" customHeight="1">
      <c r="AA1031" s="41">
        <f t="shared" ca="1" si="36"/>
        <v>0</v>
      </c>
      <c r="AB1031" s="41">
        <v>1031</v>
      </c>
    </row>
    <row r="1032" spans="27:28" ht="21" customHeight="1">
      <c r="AA1032" s="41">
        <f t="shared" ca="1" si="36"/>
        <v>0</v>
      </c>
      <c r="AB1032" s="41">
        <v>1032</v>
      </c>
    </row>
    <row r="1033" spans="27:28" ht="21" customHeight="1">
      <c r="AA1033" s="41">
        <f t="shared" ca="1" si="36"/>
        <v>0</v>
      </c>
      <c r="AB1033" s="41">
        <v>1033</v>
      </c>
    </row>
    <row r="1034" spans="27:28" ht="21" customHeight="1">
      <c r="AA1034" s="41">
        <f t="shared" ca="1" si="36"/>
        <v>0</v>
      </c>
      <c r="AB1034" s="41">
        <v>1034</v>
      </c>
    </row>
    <row r="1035" spans="27:28" ht="21" customHeight="1">
      <c r="AA1035" s="41">
        <f t="shared" ca="1" si="36"/>
        <v>0</v>
      </c>
      <c r="AB1035" s="41">
        <v>1035</v>
      </c>
    </row>
    <row r="1036" spans="27:28" ht="21" customHeight="1">
      <c r="AA1036" s="41">
        <f t="shared" ca="1" si="36"/>
        <v>0</v>
      </c>
      <c r="AB1036" s="41">
        <v>1036</v>
      </c>
    </row>
    <row r="1037" spans="27:28" ht="21" customHeight="1">
      <c r="AA1037" s="41">
        <f t="shared" ca="1" si="36"/>
        <v>0</v>
      </c>
      <c r="AB1037" s="41">
        <v>1037</v>
      </c>
    </row>
    <row r="1038" spans="27:28" ht="21" customHeight="1">
      <c r="AA1038" s="41">
        <f t="shared" ca="1" si="36"/>
        <v>0</v>
      </c>
      <c r="AB1038" s="41">
        <v>1038</v>
      </c>
    </row>
    <row r="1039" spans="27:28" ht="21" customHeight="1">
      <c r="AA1039" s="41">
        <f t="shared" ca="1" si="36"/>
        <v>0</v>
      </c>
      <c r="AB1039" s="41">
        <v>1039</v>
      </c>
    </row>
    <row r="1040" spans="27:28" ht="21" customHeight="1">
      <c r="AA1040" s="41">
        <f t="shared" ca="1" si="36"/>
        <v>0</v>
      </c>
      <c r="AB1040" s="41">
        <v>1040</v>
      </c>
    </row>
    <row r="1041" spans="27:28" ht="21" customHeight="1">
      <c r="AA1041" s="41">
        <f t="shared" ca="1" si="36"/>
        <v>0</v>
      </c>
      <c r="AB1041" s="41">
        <v>1041</v>
      </c>
    </row>
    <row r="1042" spans="27:28" ht="21" customHeight="1">
      <c r="AA1042" s="41">
        <f t="shared" ca="1" si="36"/>
        <v>0</v>
      </c>
      <c r="AB1042" s="41">
        <v>1042</v>
      </c>
    </row>
    <row r="1043" spans="27:28" ht="21" customHeight="1">
      <c r="AA1043" s="41">
        <f t="shared" ca="1" si="36"/>
        <v>0</v>
      </c>
      <c r="AB1043" s="41">
        <v>1043</v>
      </c>
    </row>
    <row r="1044" spans="27:28" ht="21" customHeight="1">
      <c r="AA1044" s="41">
        <f t="shared" ca="1" si="36"/>
        <v>0</v>
      </c>
      <c r="AB1044" s="41">
        <v>1044</v>
      </c>
    </row>
    <row r="1045" spans="27:28" ht="21" customHeight="1">
      <c r="AA1045" s="41">
        <f t="shared" ca="1" si="36"/>
        <v>0</v>
      </c>
      <c r="AB1045" s="41">
        <v>1045</v>
      </c>
    </row>
    <row r="1046" spans="27:28" ht="21" customHeight="1">
      <c r="AA1046" s="41">
        <f t="shared" ca="1" si="36"/>
        <v>0</v>
      </c>
      <c r="AB1046" s="41">
        <v>1046</v>
      </c>
    </row>
    <row r="1047" spans="27:28" ht="21" customHeight="1">
      <c r="AA1047" s="41">
        <f t="shared" ca="1" si="36"/>
        <v>0</v>
      </c>
      <c r="AB1047" s="41">
        <v>1047</v>
      </c>
    </row>
    <row r="1048" spans="27:28" ht="21" customHeight="1">
      <c r="AA1048" s="41">
        <f t="shared" ca="1" si="36"/>
        <v>0</v>
      </c>
      <c r="AB1048" s="41">
        <v>1048</v>
      </c>
    </row>
    <row r="1049" spans="27:28" ht="21" customHeight="1">
      <c r="AA1049" s="41">
        <f t="shared" ca="1" si="36"/>
        <v>0</v>
      </c>
      <c r="AB1049" s="41">
        <v>1049</v>
      </c>
    </row>
    <row r="1050" spans="27:28" ht="21" customHeight="1">
      <c r="AA1050" s="41">
        <f t="shared" ca="1" si="36"/>
        <v>0</v>
      </c>
      <c r="AB1050" s="41">
        <v>1050</v>
      </c>
    </row>
    <row r="1051" spans="27:28" ht="21" customHeight="1">
      <c r="AA1051" s="41">
        <f t="shared" ca="1" si="36"/>
        <v>0</v>
      </c>
      <c r="AB1051" s="41">
        <v>1051</v>
      </c>
    </row>
    <row r="1052" spans="27:28" ht="21" customHeight="1">
      <c r="AA1052" s="41">
        <f t="shared" ca="1" si="36"/>
        <v>0</v>
      </c>
      <c r="AB1052" s="41">
        <v>1052</v>
      </c>
    </row>
    <row r="1053" spans="27:28" ht="21" customHeight="1">
      <c r="AA1053" s="41">
        <f t="shared" ca="1" si="36"/>
        <v>0</v>
      </c>
      <c r="AB1053" s="41">
        <v>1053</v>
      </c>
    </row>
    <row r="1054" spans="27:28" ht="21" customHeight="1">
      <c r="AA1054" s="41">
        <f t="shared" ca="1" si="36"/>
        <v>0</v>
      </c>
      <c r="AB1054" s="41">
        <v>1054</v>
      </c>
    </row>
    <row r="1055" spans="27:28" ht="21" customHeight="1">
      <c r="AA1055" s="41">
        <f t="shared" ca="1" si="36"/>
        <v>0</v>
      </c>
      <c r="AB1055" s="41">
        <v>1055</v>
      </c>
    </row>
    <row r="1056" spans="27:28" ht="21" customHeight="1">
      <c r="AA1056" s="41">
        <f t="shared" ca="1" si="36"/>
        <v>0</v>
      </c>
      <c r="AB1056" s="41">
        <v>1056</v>
      </c>
    </row>
    <row r="1057" spans="27:28" ht="21" customHeight="1">
      <c r="AA1057" s="41">
        <f t="shared" ca="1" si="36"/>
        <v>0</v>
      </c>
      <c r="AB1057" s="41">
        <v>1057</v>
      </c>
    </row>
    <row r="1058" spans="27:28" ht="21" customHeight="1">
      <c r="AA1058" s="41">
        <f t="shared" ca="1" si="36"/>
        <v>0</v>
      </c>
      <c r="AB1058" s="41">
        <v>1058</v>
      </c>
    </row>
    <row r="1059" spans="27:28" ht="21" customHeight="1">
      <c r="AA1059" s="41">
        <f t="shared" ca="1" si="36"/>
        <v>0</v>
      </c>
      <c r="AB1059" s="41">
        <v>1059</v>
      </c>
    </row>
    <row r="1060" spans="27:28" ht="21" customHeight="1">
      <c r="AA1060" s="41">
        <f t="shared" ca="1" si="36"/>
        <v>0</v>
      </c>
      <c r="AB1060" s="41">
        <v>1060</v>
      </c>
    </row>
    <row r="1061" spans="27:28" ht="21" customHeight="1">
      <c r="AA1061" s="41">
        <f t="shared" ca="1" si="36"/>
        <v>0</v>
      </c>
      <c r="AB1061" s="41">
        <v>1061</v>
      </c>
    </row>
    <row r="1062" spans="27:28" ht="21" customHeight="1">
      <c r="AA1062" s="41">
        <f t="shared" ca="1" si="36"/>
        <v>0</v>
      </c>
      <c r="AB1062" s="41">
        <v>1062</v>
      </c>
    </row>
    <row r="1063" spans="27:28" ht="21" customHeight="1">
      <c r="AA1063" s="41">
        <f t="shared" ca="1" si="36"/>
        <v>0</v>
      </c>
      <c r="AB1063" s="41">
        <v>1063</v>
      </c>
    </row>
    <row r="1064" spans="27:28" ht="21" customHeight="1">
      <c r="AA1064" s="41">
        <f t="shared" ca="1" si="36"/>
        <v>0</v>
      </c>
      <c r="AB1064" s="41">
        <v>1064</v>
      </c>
    </row>
    <row r="1065" spans="27:28" ht="21" customHeight="1">
      <c r="AA1065" s="41">
        <f t="shared" ca="1" si="36"/>
        <v>0</v>
      </c>
      <c r="AB1065" s="41">
        <v>1065</v>
      </c>
    </row>
    <row r="1066" spans="27:28" ht="21" customHeight="1">
      <c r="AA1066" s="41">
        <f t="shared" ca="1" si="36"/>
        <v>0</v>
      </c>
      <c r="AB1066" s="41">
        <v>1066</v>
      </c>
    </row>
    <row r="1067" spans="27:28" ht="21" customHeight="1">
      <c r="AA1067" s="41">
        <f t="shared" ca="1" si="36"/>
        <v>0</v>
      </c>
      <c r="AB1067" s="41">
        <v>1067</v>
      </c>
    </row>
    <row r="1068" spans="27:28" ht="21" customHeight="1">
      <c r="AA1068" s="41">
        <f t="shared" ca="1" si="36"/>
        <v>0</v>
      </c>
      <c r="AB1068" s="41">
        <v>1068</v>
      </c>
    </row>
    <row r="1069" spans="27:28" ht="21" customHeight="1">
      <c r="AA1069" s="41">
        <f t="shared" ca="1" si="36"/>
        <v>0</v>
      </c>
      <c r="AB1069" s="41">
        <v>1069</v>
      </c>
    </row>
    <row r="1070" spans="27:28" ht="21" customHeight="1">
      <c r="AA1070" s="41">
        <f t="shared" ca="1" si="36"/>
        <v>0</v>
      </c>
      <c r="AB1070" s="41">
        <v>1070</v>
      </c>
    </row>
    <row r="1071" spans="27:28" ht="21" customHeight="1">
      <c r="AA1071" s="41">
        <f t="shared" ca="1" si="36"/>
        <v>0</v>
      </c>
      <c r="AB1071" s="41">
        <v>1071</v>
      </c>
    </row>
    <row r="1072" spans="27:28" ht="21" customHeight="1">
      <c r="AA1072" s="41">
        <f t="shared" ca="1" si="36"/>
        <v>0</v>
      </c>
      <c r="AB1072" s="41">
        <v>1072</v>
      </c>
    </row>
    <row r="1073" spans="27:28" ht="21" customHeight="1">
      <c r="AA1073" s="41">
        <f t="shared" ca="1" si="36"/>
        <v>0</v>
      </c>
      <c r="AB1073" s="41">
        <v>1073</v>
      </c>
    </row>
    <row r="1074" spans="27:28" ht="21" customHeight="1">
      <c r="AA1074" s="41">
        <f t="shared" ca="1" si="36"/>
        <v>0</v>
      </c>
      <c r="AB1074" s="41">
        <v>1074</v>
      </c>
    </row>
    <row r="1075" spans="27:28" ht="21" customHeight="1">
      <c r="AA1075" s="41">
        <f t="shared" ca="1" si="36"/>
        <v>0</v>
      </c>
      <c r="AB1075" s="41">
        <v>1075</v>
      </c>
    </row>
    <row r="1076" spans="27:28" ht="21" customHeight="1">
      <c r="AA1076" s="41">
        <f t="shared" ca="1" si="36"/>
        <v>0</v>
      </c>
      <c r="AB1076" s="41">
        <v>1076</v>
      </c>
    </row>
    <row r="1077" spans="27:28" ht="21" customHeight="1">
      <c r="AA1077" s="41">
        <f t="shared" ca="1" si="36"/>
        <v>0</v>
      </c>
      <c r="AB1077" s="41">
        <v>1077</v>
      </c>
    </row>
    <row r="1078" spans="27:28" ht="21" customHeight="1">
      <c r="AA1078" s="41">
        <f t="shared" ca="1" si="36"/>
        <v>0</v>
      </c>
      <c r="AB1078" s="41">
        <v>1078</v>
      </c>
    </row>
    <row r="1079" spans="27:28" ht="21" customHeight="1">
      <c r="AA1079" s="41">
        <f t="shared" ca="1" si="36"/>
        <v>0</v>
      </c>
      <c r="AB1079" s="41">
        <v>1079</v>
      </c>
    </row>
    <row r="1080" spans="27:28" ht="21" customHeight="1">
      <c r="AA1080" s="41">
        <f t="shared" ca="1" si="36"/>
        <v>0</v>
      </c>
      <c r="AB1080" s="41">
        <v>1080</v>
      </c>
    </row>
    <row r="1081" spans="27:28" ht="21" customHeight="1">
      <c r="AA1081" s="41">
        <f t="shared" ca="1" si="36"/>
        <v>0</v>
      </c>
      <c r="AB1081" s="41">
        <v>1081</v>
      </c>
    </row>
    <row r="1082" spans="27:28" ht="21" customHeight="1">
      <c r="AA1082" s="41">
        <f t="shared" ca="1" si="36"/>
        <v>0</v>
      </c>
      <c r="AB1082" s="41">
        <v>1082</v>
      </c>
    </row>
    <row r="1083" spans="27:28" ht="21" customHeight="1">
      <c r="AA1083" s="41">
        <f t="shared" ca="1" si="36"/>
        <v>0</v>
      </c>
      <c r="AB1083" s="41">
        <v>1083</v>
      </c>
    </row>
    <row r="1084" spans="27:28" ht="21" customHeight="1">
      <c r="AA1084" s="41">
        <f t="shared" ca="1" si="36"/>
        <v>0</v>
      </c>
      <c r="AB1084" s="41">
        <v>1084</v>
      </c>
    </row>
    <row r="1085" spans="27:28" ht="21" customHeight="1">
      <c r="AA1085" s="41">
        <f t="shared" ca="1" si="36"/>
        <v>0</v>
      </c>
      <c r="AB1085" s="41">
        <v>1085</v>
      </c>
    </row>
    <row r="1086" spans="27:28" ht="21" customHeight="1">
      <c r="AA1086" s="41">
        <f t="shared" ca="1" si="36"/>
        <v>0</v>
      </c>
      <c r="AB1086" s="41">
        <v>1086</v>
      </c>
    </row>
    <row r="1087" spans="27:28" ht="21" customHeight="1">
      <c r="AA1087" s="41">
        <f t="shared" ca="1" si="36"/>
        <v>0</v>
      </c>
      <c r="AB1087" s="41">
        <v>1087</v>
      </c>
    </row>
    <row r="1088" spans="27:28" ht="21" customHeight="1">
      <c r="AA1088" s="41">
        <f t="shared" ca="1" si="36"/>
        <v>0</v>
      </c>
      <c r="AB1088" s="41">
        <v>1088</v>
      </c>
    </row>
    <row r="1089" spans="27:28" ht="21" customHeight="1">
      <c r="AA1089" s="41">
        <f t="shared" ca="1" si="36"/>
        <v>0</v>
      </c>
      <c r="AB1089" s="41">
        <v>1089</v>
      </c>
    </row>
    <row r="1090" spans="27:28" ht="21" customHeight="1">
      <c r="AA1090" s="41">
        <f t="shared" ca="1" si="36"/>
        <v>0</v>
      </c>
      <c r="AB1090" s="41">
        <v>1090</v>
      </c>
    </row>
    <row r="1091" spans="27:28" ht="21" customHeight="1">
      <c r="AA1091" s="41">
        <f t="shared" ca="1" si="36"/>
        <v>0</v>
      </c>
      <c r="AB1091" s="41">
        <v>1091</v>
      </c>
    </row>
    <row r="1092" spans="27:28" ht="21" customHeight="1">
      <c r="AA1092" s="41">
        <f t="shared" ca="1" si="36"/>
        <v>0</v>
      </c>
      <c r="AB1092" s="41">
        <v>1092</v>
      </c>
    </row>
    <row r="1093" spans="27:28" ht="21" customHeight="1">
      <c r="AA1093" s="41">
        <f t="shared" ref="AA1093:AA1156" ca="1" si="37">INDIRECT($W$6&amp;"!"&amp;"B"&amp;ROW(B1093))</f>
        <v>0</v>
      </c>
      <c r="AB1093" s="41">
        <v>1093</v>
      </c>
    </row>
    <row r="1094" spans="27:28" ht="21" customHeight="1">
      <c r="AA1094" s="41">
        <f t="shared" ca="1" si="37"/>
        <v>0</v>
      </c>
      <c r="AB1094" s="41">
        <v>1094</v>
      </c>
    </row>
    <row r="1095" spans="27:28" ht="21" customHeight="1">
      <c r="AA1095" s="41">
        <f t="shared" ca="1" si="37"/>
        <v>0</v>
      </c>
      <c r="AB1095" s="41">
        <v>1095</v>
      </c>
    </row>
    <row r="1096" spans="27:28" ht="21" customHeight="1">
      <c r="AA1096" s="41">
        <f t="shared" ca="1" si="37"/>
        <v>0</v>
      </c>
      <c r="AB1096" s="41">
        <v>1096</v>
      </c>
    </row>
    <row r="1097" spans="27:28" ht="21" customHeight="1">
      <c r="AA1097" s="41">
        <f t="shared" ca="1" si="37"/>
        <v>0</v>
      </c>
      <c r="AB1097" s="41">
        <v>1097</v>
      </c>
    </row>
    <row r="1098" spans="27:28" ht="21" customHeight="1">
      <c r="AA1098" s="41">
        <f t="shared" ca="1" si="37"/>
        <v>0</v>
      </c>
      <c r="AB1098" s="41">
        <v>1098</v>
      </c>
    </row>
    <row r="1099" spans="27:28" ht="21" customHeight="1">
      <c r="AA1099" s="41">
        <f t="shared" ca="1" si="37"/>
        <v>0</v>
      </c>
      <c r="AB1099" s="41">
        <v>1099</v>
      </c>
    </row>
    <row r="1100" spans="27:28" ht="21" customHeight="1">
      <c r="AA1100" s="41">
        <f t="shared" ca="1" si="37"/>
        <v>0</v>
      </c>
      <c r="AB1100" s="41">
        <v>1100</v>
      </c>
    </row>
    <row r="1101" spans="27:28" ht="21" customHeight="1">
      <c r="AA1101" s="41">
        <f t="shared" ca="1" si="37"/>
        <v>0</v>
      </c>
      <c r="AB1101" s="41">
        <v>1101</v>
      </c>
    </row>
    <row r="1102" spans="27:28" ht="21" customHeight="1">
      <c r="AA1102" s="41">
        <f t="shared" ca="1" si="37"/>
        <v>0</v>
      </c>
      <c r="AB1102" s="41">
        <v>1102</v>
      </c>
    </row>
    <row r="1103" spans="27:28" ht="21" customHeight="1">
      <c r="AA1103" s="41">
        <f t="shared" ca="1" si="37"/>
        <v>0</v>
      </c>
      <c r="AB1103" s="41">
        <v>1103</v>
      </c>
    </row>
    <row r="1104" spans="27:28" ht="21" customHeight="1">
      <c r="AA1104" s="41">
        <f t="shared" ca="1" si="37"/>
        <v>0</v>
      </c>
      <c r="AB1104" s="41">
        <v>1104</v>
      </c>
    </row>
    <row r="1105" spans="27:28" ht="21" customHeight="1">
      <c r="AA1105" s="41">
        <f t="shared" ca="1" si="37"/>
        <v>0</v>
      </c>
      <c r="AB1105" s="41">
        <v>1105</v>
      </c>
    </row>
    <row r="1106" spans="27:28" ht="21" customHeight="1">
      <c r="AA1106" s="41">
        <f t="shared" ca="1" si="37"/>
        <v>0</v>
      </c>
      <c r="AB1106" s="41">
        <v>1106</v>
      </c>
    </row>
    <row r="1107" spans="27:28" ht="21" customHeight="1">
      <c r="AA1107" s="41">
        <f t="shared" ca="1" si="37"/>
        <v>0</v>
      </c>
      <c r="AB1107" s="41">
        <v>1107</v>
      </c>
    </row>
    <row r="1108" spans="27:28" ht="21" customHeight="1">
      <c r="AA1108" s="41">
        <f t="shared" ca="1" si="37"/>
        <v>0</v>
      </c>
      <c r="AB1108" s="41">
        <v>1108</v>
      </c>
    </row>
    <row r="1109" spans="27:28" ht="21" customHeight="1">
      <c r="AA1109" s="41">
        <f t="shared" ca="1" si="37"/>
        <v>0</v>
      </c>
      <c r="AB1109" s="41">
        <v>1109</v>
      </c>
    </row>
    <row r="1110" spans="27:28" ht="21" customHeight="1">
      <c r="AA1110" s="41">
        <f t="shared" ca="1" si="37"/>
        <v>0</v>
      </c>
      <c r="AB1110" s="41">
        <v>1110</v>
      </c>
    </row>
    <row r="1111" spans="27:28" ht="21" customHeight="1">
      <c r="AA1111" s="41">
        <f t="shared" ca="1" si="37"/>
        <v>0</v>
      </c>
      <c r="AB1111" s="41">
        <v>1111</v>
      </c>
    </row>
    <row r="1112" spans="27:28" ht="21" customHeight="1">
      <c r="AA1112" s="41">
        <f t="shared" ca="1" si="37"/>
        <v>0</v>
      </c>
      <c r="AB1112" s="41">
        <v>1112</v>
      </c>
    </row>
    <row r="1113" spans="27:28" ht="21" customHeight="1">
      <c r="AA1113" s="41">
        <f t="shared" ca="1" si="37"/>
        <v>0</v>
      </c>
      <c r="AB1113" s="41">
        <v>1113</v>
      </c>
    </row>
    <row r="1114" spans="27:28" ht="21" customHeight="1">
      <c r="AA1114" s="41">
        <f t="shared" ca="1" si="37"/>
        <v>0</v>
      </c>
      <c r="AB1114" s="41">
        <v>1114</v>
      </c>
    </row>
    <row r="1115" spans="27:28" ht="21" customHeight="1">
      <c r="AA1115" s="41">
        <f t="shared" ca="1" si="37"/>
        <v>0</v>
      </c>
      <c r="AB1115" s="41">
        <v>1115</v>
      </c>
    </row>
    <row r="1116" spans="27:28" ht="21" customHeight="1">
      <c r="AA1116" s="41">
        <f t="shared" ca="1" si="37"/>
        <v>0</v>
      </c>
      <c r="AB1116" s="41">
        <v>1116</v>
      </c>
    </row>
    <row r="1117" spans="27:28" ht="21" customHeight="1">
      <c r="AA1117" s="41">
        <f t="shared" ca="1" si="37"/>
        <v>0</v>
      </c>
      <c r="AB1117" s="41">
        <v>1117</v>
      </c>
    </row>
    <row r="1118" spans="27:28" ht="21" customHeight="1">
      <c r="AA1118" s="41">
        <f t="shared" ca="1" si="37"/>
        <v>0</v>
      </c>
      <c r="AB1118" s="41">
        <v>1118</v>
      </c>
    </row>
    <row r="1119" spans="27:28" ht="21" customHeight="1">
      <c r="AA1119" s="41">
        <f t="shared" ca="1" si="37"/>
        <v>0</v>
      </c>
      <c r="AB1119" s="41">
        <v>1119</v>
      </c>
    </row>
    <row r="1120" spans="27:28" ht="21" customHeight="1">
      <c r="AA1120" s="41">
        <f t="shared" ca="1" si="37"/>
        <v>0</v>
      </c>
      <c r="AB1120" s="41">
        <v>1120</v>
      </c>
    </row>
    <row r="1121" spans="27:28" ht="21" customHeight="1">
      <c r="AA1121" s="41">
        <f t="shared" ca="1" si="37"/>
        <v>0</v>
      </c>
      <c r="AB1121" s="41">
        <v>1121</v>
      </c>
    </row>
    <row r="1122" spans="27:28" ht="21" customHeight="1">
      <c r="AA1122" s="41">
        <f t="shared" ca="1" si="37"/>
        <v>0</v>
      </c>
      <c r="AB1122" s="41">
        <v>1122</v>
      </c>
    </row>
    <row r="1123" spans="27:28" ht="21" customHeight="1">
      <c r="AA1123" s="41">
        <f t="shared" ca="1" si="37"/>
        <v>0</v>
      </c>
      <c r="AB1123" s="41">
        <v>1123</v>
      </c>
    </row>
    <row r="1124" spans="27:28" ht="21" customHeight="1">
      <c r="AA1124" s="41">
        <f t="shared" ca="1" si="37"/>
        <v>0</v>
      </c>
      <c r="AB1124" s="41">
        <v>1124</v>
      </c>
    </row>
    <row r="1125" spans="27:28" ht="21" customHeight="1">
      <c r="AA1125" s="41">
        <f t="shared" ca="1" si="37"/>
        <v>0</v>
      </c>
      <c r="AB1125" s="41">
        <v>1125</v>
      </c>
    </row>
    <row r="1126" spans="27:28" ht="21" customHeight="1">
      <c r="AA1126" s="41">
        <f t="shared" ca="1" si="37"/>
        <v>0</v>
      </c>
      <c r="AB1126" s="41">
        <v>1126</v>
      </c>
    </row>
    <row r="1127" spans="27:28" ht="21" customHeight="1">
      <c r="AA1127" s="41">
        <f t="shared" ca="1" si="37"/>
        <v>0</v>
      </c>
      <c r="AB1127" s="41">
        <v>1127</v>
      </c>
    </row>
    <row r="1128" spans="27:28" ht="21" customHeight="1">
      <c r="AA1128" s="41">
        <f t="shared" ca="1" si="37"/>
        <v>0</v>
      </c>
      <c r="AB1128" s="41">
        <v>1128</v>
      </c>
    </row>
    <row r="1129" spans="27:28" ht="21" customHeight="1">
      <c r="AA1129" s="41">
        <f t="shared" ca="1" si="37"/>
        <v>0</v>
      </c>
      <c r="AB1129" s="41">
        <v>1129</v>
      </c>
    </row>
    <row r="1130" spans="27:28" ht="21" customHeight="1">
      <c r="AA1130" s="41">
        <f t="shared" ca="1" si="37"/>
        <v>0</v>
      </c>
      <c r="AB1130" s="41">
        <v>1130</v>
      </c>
    </row>
    <row r="1131" spans="27:28" ht="21" customHeight="1">
      <c r="AA1131" s="41">
        <f t="shared" ca="1" si="37"/>
        <v>0</v>
      </c>
      <c r="AB1131" s="41">
        <v>1131</v>
      </c>
    </row>
    <row r="1132" spans="27:28" ht="21" customHeight="1">
      <c r="AA1132" s="41">
        <f t="shared" ca="1" si="37"/>
        <v>0</v>
      </c>
      <c r="AB1132" s="41">
        <v>1132</v>
      </c>
    </row>
    <row r="1133" spans="27:28" ht="21" customHeight="1">
      <c r="AA1133" s="41">
        <f t="shared" ca="1" si="37"/>
        <v>0</v>
      </c>
      <c r="AB1133" s="41">
        <v>1133</v>
      </c>
    </row>
    <row r="1134" spans="27:28" ht="21" customHeight="1">
      <c r="AA1134" s="41">
        <f t="shared" ca="1" si="37"/>
        <v>0</v>
      </c>
      <c r="AB1134" s="41">
        <v>1134</v>
      </c>
    </row>
    <row r="1135" spans="27:28" ht="21" customHeight="1">
      <c r="AA1135" s="41">
        <f t="shared" ca="1" si="37"/>
        <v>0</v>
      </c>
      <c r="AB1135" s="41">
        <v>1135</v>
      </c>
    </row>
    <row r="1136" spans="27:28" ht="21" customHeight="1">
      <c r="AA1136" s="41">
        <f t="shared" ca="1" si="37"/>
        <v>0</v>
      </c>
      <c r="AB1136" s="41">
        <v>1136</v>
      </c>
    </row>
    <row r="1137" spans="27:28" ht="21" customHeight="1">
      <c r="AA1137" s="41">
        <f t="shared" ca="1" si="37"/>
        <v>0</v>
      </c>
      <c r="AB1137" s="41">
        <v>1137</v>
      </c>
    </row>
    <row r="1138" spans="27:28" ht="21" customHeight="1">
      <c r="AA1138" s="41">
        <f t="shared" ca="1" si="37"/>
        <v>0</v>
      </c>
      <c r="AB1138" s="41">
        <v>1138</v>
      </c>
    </row>
    <row r="1139" spans="27:28" ht="21" customHeight="1">
      <c r="AA1139" s="41">
        <f t="shared" ca="1" si="37"/>
        <v>0</v>
      </c>
      <c r="AB1139" s="41">
        <v>1139</v>
      </c>
    </row>
    <row r="1140" spans="27:28" ht="21" customHeight="1">
      <c r="AA1140" s="41">
        <f t="shared" ca="1" si="37"/>
        <v>0</v>
      </c>
      <c r="AB1140" s="41">
        <v>1140</v>
      </c>
    </row>
    <row r="1141" spans="27:28" ht="21" customHeight="1">
      <c r="AA1141" s="41">
        <f t="shared" ca="1" si="37"/>
        <v>0</v>
      </c>
      <c r="AB1141" s="41">
        <v>1141</v>
      </c>
    </row>
    <row r="1142" spans="27:28" ht="21" customHeight="1">
      <c r="AA1142" s="41">
        <f t="shared" ca="1" si="37"/>
        <v>0</v>
      </c>
      <c r="AB1142" s="41">
        <v>1142</v>
      </c>
    </row>
    <row r="1143" spans="27:28" ht="21" customHeight="1">
      <c r="AA1143" s="41">
        <f t="shared" ca="1" si="37"/>
        <v>0</v>
      </c>
      <c r="AB1143" s="41">
        <v>1143</v>
      </c>
    </row>
    <row r="1144" spans="27:28" ht="21" customHeight="1">
      <c r="AA1144" s="41">
        <f t="shared" ca="1" si="37"/>
        <v>0</v>
      </c>
      <c r="AB1144" s="41">
        <v>1144</v>
      </c>
    </row>
    <row r="1145" spans="27:28" ht="21" customHeight="1">
      <c r="AA1145" s="41">
        <f t="shared" ca="1" si="37"/>
        <v>0</v>
      </c>
      <c r="AB1145" s="41">
        <v>1145</v>
      </c>
    </row>
    <row r="1146" spans="27:28" ht="21" customHeight="1">
      <c r="AA1146" s="41">
        <f t="shared" ca="1" si="37"/>
        <v>0</v>
      </c>
      <c r="AB1146" s="41">
        <v>1146</v>
      </c>
    </row>
    <row r="1147" spans="27:28" ht="21" customHeight="1">
      <c r="AA1147" s="41">
        <f t="shared" ca="1" si="37"/>
        <v>0</v>
      </c>
      <c r="AB1147" s="41">
        <v>1147</v>
      </c>
    </row>
    <row r="1148" spans="27:28" ht="21" customHeight="1">
      <c r="AA1148" s="41">
        <f t="shared" ca="1" si="37"/>
        <v>0</v>
      </c>
      <c r="AB1148" s="41">
        <v>1148</v>
      </c>
    </row>
    <row r="1149" spans="27:28" ht="21" customHeight="1">
      <c r="AA1149" s="41">
        <f t="shared" ca="1" si="37"/>
        <v>0</v>
      </c>
      <c r="AB1149" s="41">
        <v>1149</v>
      </c>
    </row>
    <row r="1150" spans="27:28" ht="21" customHeight="1">
      <c r="AA1150" s="41">
        <f t="shared" ca="1" si="37"/>
        <v>0</v>
      </c>
      <c r="AB1150" s="41">
        <v>1150</v>
      </c>
    </row>
    <row r="1151" spans="27:28" ht="21" customHeight="1">
      <c r="AA1151" s="41">
        <f t="shared" ca="1" si="37"/>
        <v>0</v>
      </c>
      <c r="AB1151" s="41">
        <v>1151</v>
      </c>
    </row>
    <row r="1152" spans="27:28" ht="21" customHeight="1">
      <c r="AA1152" s="41">
        <f t="shared" ca="1" si="37"/>
        <v>0</v>
      </c>
      <c r="AB1152" s="41">
        <v>1152</v>
      </c>
    </row>
    <row r="1153" spans="27:28" ht="21" customHeight="1">
      <c r="AA1153" s="41">
        <f t="shared" ca="1" si="37"/>
        <v>0</v>
      </c>
      <c r="AB1153" s="41">
        <v>1153</v>
      </c>
    </row>
    <row r="1154" spans="27:28" ht="21" customHeight="1">
      <c r="AA1154" s="41">
        <f t="shared" ca="1" si="37"/>
        <v>0</v>
      </c>
      <c r="AB1154" s="41">
        <v>1154</v>
      </c>
    </row>
    <row r="1155" spans="27:28" ht="21" customHeight="1">
      <c r="AA1155" s="41">
        <f t="shared" ca="1" si="37"/>
        <v>0</v>
      </c>
      <c r="AB1155" s="41">
        <v>1155</v>
      </c>
    </row>
    <row r="1156" spans="27:28" ht="21" customHeight="1">
      <c r="AA1156" s="41">
        <f t="shared" ca="1" si="37"/>
        <v>0</v>
      </c>
      <c r="AB1156" s="41">
        <v>1156</v>
      </c>
    </row>
    <row r="1157" spans="27:28" ht="21" customHeight="1">
      <c r="AA1157" s="41">
        <f t="shared" ref="AA1157:AA1220" ca="1" si="38">INDIRECT($W$6&amp;"!"&amp;"B"&amp;ROW(B1157))</f>
        <v>0</v>
      </c>
      <c r="AB1157" s="41">
        <v>1157</v>
      </c>
    </row>
    <row r="1158" spans="27:28" ht="21" customHeight="1">
      <c r="AA1158" s="41">
        <f t="shared" ca="1" si="38"/>
        <v>0</v>
      </c>
      <c r="AB1158" s="41">
        <v>1158</v>
      </c>
    </row>
    <row r="1159" spans="27:28" ht="21" customHeight="1">
      <c r="AA1159" s="41">
        <f t="shared" ca="1" si="38"/>
        <v>0</v>
      </c>
      <c r="AB1159" s="41">
        <v>1159</v>
      </c>
    </row>
    <row r="1160" spans="27:28" ht="21" customHeight="1">
      <c r="AA1160" s="41">
        <f t="shared" ca="1" si="38"/>
        <v>0</v>
      </c>
      <c r="AB1160" s="41">
        <v>1160</v>
      </c>
    </row>
    <row r="1161" spans="27:28" ht="21" customHeight="1">
      <c r="AA1161" s="41">
        <f t="shared" ca="1" si="38"/>
        <v>0</v>
      </c>
      <c r="AB1161" s="41">
        <v>1161</v>
      </c>
    </row>
    <row r="1162" spans="27:28" ht="21" customHeight="1">
      <c r="AA1162" s="41">
        <f t="shared" ca="1" si="38"/>
        <v>0</v>
      </c>
      <c r="AB1162" s="41">
        <v>1162</v>
      </c>
    </row>
    <row r="1163" spans="27:28" ht="21" customHeight="1">
      <c r="AA1163" s="41">
        <f t="shared" ca="1" si="38"/>
        <v>0</v>
      </c>
      <c r="AB1163" s="41">
        <v>1163</v>
      </c>
    </row>
    <row r="1164" spans="27:28" ht="21" customHeight="1">
      <c r="AA1164" s="41">
        <f t="shared" ca="1" si="38"/>
        <v>0</v>
      </c>
      <c r="AB1164" s="41">
        <v>1164</v>
      </c>
    </row>
    <row r="1165" spans="27:28" ht="21" customHeight="1">
      <c r="AA1165" s="41">
        <f t="shared" ca="1" si="38"/>
        <v>0</v>
      </c>
      <c r="AB1165" s="41">
        <v>1165</v>
      </c>
    </row>
    <row r="1166" spans="27:28" ht="21" customHeight="1">
      <c r="AA1166" s="41">
        <f t="shared" ca="1" si="38"/>
        <v>0</v>
      </c>
      <c r="AB1166" s="41">
        <v>1166</v>
      </c>
    </row>
    <row r="1167" spans="27:28" ht="21" customHeight="1">
      <c r="AA1167" s="41">
        <f t="shared" ca="1" si="38"/>
        <v>0</v>
      </c>
      <c r="AB1167" s="41">
        <v>1167</v>
      </c>
    </row>
    <row r="1168" spans="27:28" ht="21" customHeight="1">
      <c r="AA1168" s="41">
        <f t="shared" ca="1" si="38"/>
        <v>0</v>
      </c>
      <c r="AB1168" s="41">
        <v>1168</v>
      </c>
    </row>
    <row r="1169" spans="27:28" ht="21" customHeight="1">
      <c r="AA1169" s="41">
        <f t="shared" ca="1" si="38"/>
        <v>0</v>
      </c>
      <c r="AB1169" s="41">
        <v>1169</v>
      </c>
    </row>
    <row r="1170" spans="27:28" ht="21" customHeight="1">
      <c r="AA1170" s="41">
        <f t="shared" ca="1" si="38"/>
        <v>0</v>
      </c>
      <c r="AB1170" s="41">
        <v>1170</v>
      </c>
    </row>
    <row r="1171" spans="27:28" ht="21" customHeight="1">
      <c r="AA1171" s="41">
        <f t="shared" ca="1" si="38"/>
        <v>0</v>
      </c>
      <c r="AB1171" s="41">
        <v>1171</v>
      </c>
    </row>
    <row r="1172" spans="27:28" ht="21" customHeight="1">
      <c r="AA1172" s="41">
        <f t="shared" ca="1" si="38"/>
        <v>0</v>
      </c>
      <c r="AB1172" s="41">
        <v>1172</v>
      </c>
    </row>
    <row r="1173" spans="27:28" ht="21" customHeight="1">
      <c r="AA1173" s="41">
        <f t="shared" ca="1" si="38"/>
        <v>0</v>
      </c>
      <c r="AB1173" s="41">
        <v>1173</v>
      </c>
    </row>
    <row r="1174" spans="27:28" ht="21" customHeight="1">
      <c r="AA1174" s="41">
        <f t="shared" ca="1" si="38"/>
        <v>0</v>
      </c>
      <c r="AB1174" s="41">
        <v>1174</v>
      </c>
    </row>
    <row r="1175" spans="27:28" ht="21" customHeight="1">
      <c r="AA1175" s="41">
        <f t="shared" ca="1" si="38"/>
        <v>0</v>
      </c>
      <c r="AB1175" s="41">
        <v>1175</v>
      </c>
    </row>
    <row r="1176" spans="27:28" ht="21" customHeight="1">
      <c r="AA1176" s="41">
        <f t="shared" ca="1" si="38"/>
        <v>0</v>
      </c>
      <c r="AB1176" s="41">
        <v>1176</v>
      </c>
    </row>
    <row r="1177" spans="27:28" ht="21" customHeight="1">
      <c r="AA1177" s="41">
        <f t="shared" ca="1" si="38"/>
        <v>0</v>
      </c>
      <c r="AB1177" s="41">
        <v>1177</v>
      </c>
    </row>
    <row r="1178" spans="27:28" ht="21" customHeight="1">
      <c r="AA1178" s="41">
        <f t="shared" ca="1" si="38"/>
        <v>0</v>
      </c>
      <c r="AB1178" s="41">
        <v>1178</v>
      </c>
    </row>
    <row r="1179" spans="27:28" ht="21" customHeight="1">
      <c r="AA1179" s="41">
        <f t="shared" ca="1" si="38"/>
        <v>0</v>
      </c>
      <c r="AB1179" s="41">
        <v>1179</v>
      </c>
    </row>
    <row r="1180" spans="27:28" ht="21" customHeight="1">
      <c r="AA1180" s="41">
        <f t="shared" ca="1" si="38"/>
        <v>0</v>
      </c>
      <c r="AB1180" s="41">
        <v>1180</v>
      </c>
    </row>
    <row r="1181" spans="27:28" ht="21" customHeight="1">
      <c r="AA1181" s="41">
        <f t="shared" ca="1" si="38"/>
        <v>0</v>
      </c>
      <c r="AB1181" s="41">
        <v>1181</v>
      </c>
    </row>
    <row r="1182" spans="27:28" ht="21" customHeight="1">
      <c r="AA1182" s="41">
        <f t="shared" ca="1" si="38"/>
        <v>0</v>
      </c>
      <c r="AB1182" s="41">
        <v>1182</v>
      </c>
    </row>
    <row r="1183" spans="27:28" ht="21" customHeight="1">
      <c r="AA1183" s="41">
        <f t="shared" ca="1" si="38"/>
        <v>0</v>
      </c>
      <c r="AB1183" s="41">
        <v>1183</v>
      </c>
    </row>
    <row r="1184" spans="27:28" ht="21" customHeight="1">
      <c r="AA1184" s="41">
        <f t="shared" ca="1" si="38"/>
        <v>0</v>
      </c>
      <c r="AB1184" s="41">
        <v>1184</v>
      </c>
    </row>
    <row r="1185" spans="27:28" ht="21" customHeight="1">
      <c r="AA1185" s="41">
        <f t="shared" ca="1" si="38"/>
        <v>0</v>
      </c>
      <c r="AB1185" s="41">
        <v>1185</v>
      </c>
    </row>
    <row r="1186" spans="27:28" ht="21" customHeight="1">
      <c r="AA1186" s="41">
        <f t="shared" ca="1" si="38"/>
        <v>0</v>
      </c>
      <c r="AB1186" s="41">
        <v>1186</v>
      </c>
    </row>
    <row r="1187" spans="27:28" ht="21" customHeight="1">
      <c r="AA1187" s="41">
        <f t="shared" ca="1" si="38"/>
        <v>0</v>
      </c>
      <c r="AB1187" s="41">
        <v>1187</v>
      </c>
    </row>
    <row r="1188" spans="27:28" ht="21" customHeight="1">
      <c r="AA1188" s="41">
        <f t="shared" ca="1" si="38"/>
        <v>0</v>
      </c>
      <c r="AB1188" s="41">
        <v>1188</v>
      </c>
    </row>
    <row r="1189" spans="27:28" ht="21" customHeight="1">
      <c r="AA1189" s="41">
        <f t="shared" ca="1" si="38"/>
        <v>0</v>
      </c>
      <c r="AB1189" s="41">
        <v>1189</v>
      </c>
    </row>
    <row r="1190" spans="27:28" ht="21" customHeight="1">
      <c r="AA1190" s="41">
        <f t="shared" ca="1" si="38"/>
        <v>0</v>
      </c>
      <c r="AB1190" s="41">
        <v>1190</v>
      </c>
    </row>
    <row r="1191" spans="27:28" ht="21" customHeight="1">
      <c r="AA1191" s="41">
        <f t="shared" ca="1" si="38"/>
        <v>0</v>
      </c>
      <c r="AB1191" s="41">
        <v>1191</v>
      </c>
    </row>
    <row r="1192" spans="27:28" ht="21" customHeight="1">
      <c r="AA1192" s="41">
        <f t="shared" ca="1" si="38"/>
        <v>0</v>
      </c>
      <c r="AB1192" s="41">
        <v>1192</v>
      </c>
    </row>
    <row r="1193" spans="27:28" ht="21" customHeight="1">
      <c r="AA1193" s="41">
        <f t="shared" ca="1" si="38"/>
        <v>0</v>
      </c>
      <c r="AB1193" s="41">
        <v>1193</v>
      </c>
    </row>
    <row r="1194" spans="27:28" ht="21" customHeight="1">
      <c r="AA1194" s="41">
        <f t="shared" ca="1" si="38"/>
        <v>0</v>
      </c>
      <c r="AB1194" s="41">
        <v>1194</v>
      </c>
    </row>
    <row r="1195" spans="27:28" ht="21" customHeight="1">
      <c r="AA1195" s="41">
        <f t="shared" ca="1" si="38"/>
        <v>0</v>
      </c>
      <c r="AB1195" s="41">
        <v>1195</v>
      </c>
    </row>
    <row r="1196" spans="27:28" ht="21" customHeight="1">
      <c r="AA1196" s="41">
        <f t="shared" ca="1" si="38"/>
        <v>0</v>
      </c>
      <c r="AB1196" s="41">
        <v>1196</v>
      </c>
    </row>
    <row r="1197" spans="27:28" ht="21" customHeight="1">
      <c r="AA1197" s="41">
        <f t="shared" ca="1" si="38"/>
        <v>0</v>
      </c>
      <c r="AB1197" s="41">
        <v>1197</v>
      </c>
    </row>
    <row r="1198" spans="27:28" ht="21" customHeight="1">
      <c r="AA1198" s="41">
        <f t="shared" ca="1" si="38"/>
        <v>0</v>
      </c>
      <c r="AB1198" s="41">
        <v>1198</v>
      </c>
    </row>
    <row r="1199" spans="27:28" ht="21" customHeight="1">
      <c r="AA1199" s="41">
        <f t="shared" ca="1" si="38"/>
        <v>0</v>
      </c>
      <c r="AB1199" s="41">
        <v>1199</v>
      </c>
    </row>
    <row r="1200" spans="27:28" ht="21" customHeight="1">
      <c r="AA1200" s="41">
        <f t="shared" ca="1" si="38"/>
        <v>0</v>
      </c>
      <c r="AB1200" s="41">
        <v>1200</v>
      </c>
    </row>
    <row r="1201" spans="27:28" ht="21" customHeight="1">
      <c r="AA1201" s="41">
        <f t="shared" ca="1" si="38"/>
        <v>0</v>
      </c>
      <c r="AB1201" s="41">
        <v>1201</v>
      </c>
    </row>
    <row r="1202" spans="27:28" ht="21" customHeight="1">
      <c r="AA1202" s="41">
        <f t="shared" ca="1" si="38"/>
        <v>0</v>
      </c>
      <c r="AB1202" s="41">
        <v>1202</v>
      </c>
    </row>
    <row r="1203" spans="27:28" ht="21" customHeight="1">
      <c r="AA1203" s="41">
        <f t="shared" ca="1" si="38"/>
        <v>0</v>
      </c>
      <c r="AB1203" s="41">
        <v>1203</v>
      </c>
    </row>
    <row r="1204" spans="27:28" ht="21" customHeight="1">
      <c r="AA1204" s="41">
        <f t="shared" ca="1" si="38"/>
        <v>0</v>
      </c>
      <c r="AB1204" s="41">
        <v>1204</v>
      </c>
    </row>
    <row r="1205" spans="27:28" ht="21" customHeight="1">
      <c r="AA1205" s="41">
        <f t="shared" ca="1" si="38"/>
        <v>0</v>
      </c>
      <c r="AB1205" s="41">
        <v>1205</v>
      </c>
    </row>
    <row r="1206" spans="27:28" ht="21" customHeight="1">
      <c r="AA1206" s="41">
        <f t="shared" ca="1" si="38"/>
        <v>0</v>
      </c>
      <c r="AB1206" s="41">
        <v>1206</v>
      </c>
    </row>
    <row r="1207" spans="27:28" ht="21" customHeight="1">
      <c r="AA1207" s="41">
        <f t="shared" ca="1" si="38"/>
        <v>0</v>
      </c>
      <c r="AB1207" s="41">
        <v>1207</v>
      </c>
    </row>
    <row r="1208" spans="27:28" ht="21" customHeight="1">
      <c r="AA1208" s="41">
        <f t="shared" ca="1" si="38"/>
        <v>0</v>
      </c>
      <c r="AB1208" s="41">
        <v>1208</v>
      </c>
    </row>
    <row r="1209" spans="27:28" ht="21" customHeight="1">
      <c r="AA1209" s="41">
        <f t="shared" ca="1" si="38"/>
        <v>0</v>
      </c>
      <c r="AB1209" s="41">
        <v>1209</v>
      </c>
    </row>
    <row r="1210" spans="27:28" ht="21" customHeight="1">
      <c r="AA1210" s="41">
        <f t="shared" ca="1" si="38"/>
        <v>0</v>
      </c>
      <c r="AB1210" s="41">
        <v>1210</v>
      </c>
    </row>
    <row r="1211" spans="27:28" ht="21" customHeight="1">
      <c r="AA1211" s="41">
        <f t="shared" ca="1" si="38"/>
        <v>0</v>
      </c>
      <c r="AB1211" s="41">
        <v>1211</v>
      </c>
    </row>
    <row r="1212" spans="27:28" ht="21" customHeight="1">
      <c r="AA1212" s="41">
        <f t="shared" ca="1" si="38"/>
        <v>0</v>
      </c>
      <c r="AB1212" s="41">
        <v>1212</v>
      </c>
    </row>
    <row r="1213" spans="27:28" ht="21" customHeight="1">
      <c r="AA1213" s="41">
        <f t="shared" ca="1" si="38"/>
        <v>0</v>
      </c>
      <c r="AB1213" s="41">
        <v>1213</v>
      </c>
    </row>
    <row r="1214" spans="27:28" ht="21" customHeight="1">
      <c r="AA1214" s="41">
        <f t="shared" ca="1" si="38"/>
        <v>0</v>
      </c>
      <c r="AB1214" s="41">
        <v>1214</v>
      </c>
    </row>
    <row r="1215" spans="27:28" ht="21" customHeight="1">
      <c r="AA1215" s="41">
        <f t="shared" ca="1" si="38"/>
        <v>0</v>
      </c>
      <c r="AB1215" s="41">
        <v>1215</v>
      </c>
    </row>
    <row r="1216" spans="27:28" ht="21" customHeight="1">
      <c r="AA1216" s="41">
        <f t="shared" ca="1" si="38"/>
        <v>0</v>
      </c>
      <c r="AB1216" s="41">
        <v>1216</v>
      </c>
    </row>
    <row r="1217" spans="27:28" ht="21" customHeight="1">
      <c r="AA1217" s="41">
        <f t="shared" ca="1" si="38"/>
        <v>0</v>
      </c>
      <c r="AB1217" s="41">
        <v>1217</v>
      </c>
    </row>
    <row r="1218" spans="27:28" ht="21" customHeight="1">
      <c r="AA1218" s="41">
        <f t="shared" ca="1" si="38"/>
        <v>0</v>
      </c>
      <c r="AB1218" s="41">
        <v>1218</v>
      </c>
    </row>
    <row r="1219" spans="27:28" ht="21" customHeight="1">
      <c r="AA1219" s="41">
        <f t="shared" ca="1" si="38"/>
        <v>0</v>
      </c>
      <c r="AB1219" s="41">
        <v>1219</v>
      </c>
    </row>
    <row r="1220" spans="27:28" ht="21" customHeight="1">
      <c r="AA1220" s="41">
        <f t="shared" ca="1" si="38"/>
        <v>0</v>
      </c>
      <c r="AB1220" s="41">
        <v>1220</v>
      </c>
    </row>
    <row r="1221" spans="27:28" ht="21" customHeight="1">
      <c r="AA1221" s="41">
        <f t="shared" ref="AA1221:AA1284" ca="1" si="39">INDIRECT($W$6&amp;"!"&amp;"B"&amp;ROW(B1221))</f>
        <v>0</v>
      </c>
      <c r="AB1221" s="41">
        <v>1221</v>
      </c>
    </row>
    <row r="1222" spans="27:28" ht="21" customHeight="1">
      <c r="AA1222" s="41">
        <f t="shared" ca="1" si="39"/>
        <v>0</v>
      </c>
      <c r="AB1222" s="41">
        <v>1222</v>
      </c>
    </row>
    <row r="1223" spans="27:28" ht="21" customHeight="1">
      <c r="AA1223" s="41">
        <f t="shared" ca="1" si="39"/>
        <v>0</v>
      </c>
      <c r="AB1223" s="41">
        <v>1223</v>
      </c>
    </row>
    <row r="1224" spans="27:28" ht="21" customHeight="1">
      <c r="AA1224" s="41">
        <f t="shared" ca="1" si="39"/>
        <v>0</v>
      </c>
      <c r="AB1224" s="41">
        <v>1224</v>
      </c>
    </row>
    <row r="1225" spans="27:28" ht="21" customHeight="1">
      <c r="AA1225" s="41">
        <f t="shared" ca="1" si="39"/>
        <v>0</v>
      </c>
      <c r="AB1225" s="41">
        <v>1225</v>
      </c>
    </row>
    <row r="1226" spans="27:28" ht="21" customHeight="1">
      <c r="AA1226" s="41">
        <f t="shared" ca="1" si="39"/>
        <v>0</v>
      </c>
      <c r="AB1226" s="41">
        <v>1226</v>
      </c>
    </row>
    <row r="1227" spans="27:28" ht="21" customHeight="1">
      <c r="AA1227" s="41">
        <f t="shared" ca="1" si="39"/>
        <v>0</v>
      </c>
      <c r="AB1227" s="41">
        <v>1227</v>
      </c>
    </row>
    <row r="1228" spans="27:28" ht="21" customHeight="1">
      <c r="AA1228" s="41">
        <f t="shared" ca="1" si="39"/>
        <v>0</v>
      </c>
      <c r="AB1228" s="41">
        <v>1228</v>
      </c>
    </row>
    <row r="1229" spans="27:28" ht="21" customHeight="1">
      <c r="AA1229" s="41">
        <f t="shared" ca="1" si="39"/>
        <v>0</v>
      </c>
      <c r="AB1229" s="41">
        <v>1229</v>
      </c>
    </row>
    <row r="1230" spans="27:28" ht="21" customHeight="1">
      <c r="AA1230" s="41">
        <f t="shared" ca="1" si="39"/>
        <v>0</v>
      </c>
      <c r="AB1230" s="41">
        <v>1230</v>
      </c>
    </row>
    <row r="1231" spans="27:28" ht="21" customHeight="1">
      <c r="AA1231" s="41">
        <f t="shared" ca="1" si="39"/>
        <v>0</v>
      </c>
      <c r="AB1231" s="41">
        <v>1231</v>
      </c>
    </row>
    <row r="1232" spans="27:28" ht="21" customHeight="1">
      <c r="AA1232" s="41">
        <f t="shared" ca="1" si="39"/>
        <v>0</v>
      </c>
      <c r="AB1232" s="41">
        <v>1232</v>
      </c>
    </row>
    <row r="1233" spans="27:28" ht="21" customHeight="1">
      <c r="AA1233" s="41">
        <f t="shared" ca="1" si="39"/>
        <v>0</v>
      </c>
      <c r="AB1233" s="41">
        <v>1233</v>
      </c>
    </row>
    <row r="1234" spans="27:28" ht="21" customHeight="1">
      <c r="AA1234" s="41">
        <f t="shared" ca="1" si="39"/>
        <v>0</v>
      </c>
      <c r="AB1234" s="41">
        <v>1234</v>
      </c>
    </row>
    <row r="1235" spans="27:28" ht="21" customHeight="1">
      <c r="AA1235" s="41">
        <f t="shared" ca="1" si="39"/>
        <v>0</v>
      </c>
      <c r="AB1235" s="41">
        <v>1235</v>
      </c>
    </row>
    <row r="1236" spans="27:28" ht="21" customHeight="1">
      <c r="AA1236" s="41">
        <f t="shared" ca="1" si="39"/>
        <v>0</v>
      </c>
      <c r="AB1236" s="41">
        <v>1236</v>
      </c>
    </row>
    <row r="1237" spans="27:28" ht="21" customHeight="1">
      <c r="AA1237" s="41">
        <f t="shared" ca="1" si="39"/>
        <v>0</v>
      </c>
      <c r="AB1237" s="41">
        <v>1237</v>
      </c>
    </row>
    <row r="1238" spans="27:28" ht="21" customHeight="1">
      <c r="AA1238" s="41">
        <f t="shared" ca="1" si="39"/>
        <v>0</v>
      </c>
      <c r="AB1238" s="41">
        <v>1238</v>
      </c>
    </row>
    <row r="1239" spans="27:28" ht="21" customHeight="1">
      <c r="AA1239" s="41">
        <f t="shared" ca="1" si="39"/>
        <v>0</v>
      </c>
      <c r="AB1239" s="41">
        <v>1239</v>
      </c>
    </row>
    <row r="1240" spans="27:28" ht="21" customHeight="1">
      <c r="AA1240" s="41">
        <f t="shared" ca="1" si="39"/>
        <v>0</v>
      </c>
      <c r="AB1240" s="41">
        <v>1240</v>
      </c>
    </row>
    <row r="1241" spans="27:28" ht="21" customHeight="1">
      <c r="AA1241" s="41">
        <f t="shared" ca="1" si="39"/>
        <v>0</v>
      </c>
      <c r="AB1241" s="41">
        <v>1241</v>
      </c>
    </row>
    <row r="1242" spans="27:28" ht="21" customHeight="1">
      <c r="AA1242" s="41">
        <f t="shared" ca="1" si="39"/>
        <v>0</v>
      </c>
      <c r="AB1242" s="41">
        <v>1242</v>
      </c>
    </row>
    <row r="1243" spans="27:28" ht="21" customHeight="1">
      <c r="AA1243" s="41">
        <f t="shared" ca="1" si="39"/>
        <v>0</v>
      </c>
      <c r="AB1243" s="41">
        <v>1243</v>
      </c>
    </row>
    <row r="1244" spans="27:28" ht="21" customHeight="1">
      <c r="AA1244" s="41">
        <f t="shared" ca="1" si="39"/>
        <v>0</v>
      </c>
      <c r="AB1244" s="41">
        <v>1244</v>
      </c>
    </row>
    <row r="1245" spans="27:28" ht="21" customHeight="1">
      <c r="AA1245" s="41">
        <f t="shared" ca="1" si="39"/>
        <v>0</v>
      </c>
      <c r="AB1245" s="41">
        <v>1245</v>
      </c>
    </row>
    <row r="1246" spans="27:28" ht="21" customHeight="1">
      <c r="AA1246" s="41">
        <f t="shared" ca="1" si="39"/>
        <v>0</v>
      </c>
      <c r="AB1246" s="41">
        <v>1246</v>
      </c>
    </row>
    <row r="1247" spans="27:28" ht="21" customHeight="1">
      <c r="AA1247" s="41">
        <f t="shared" ca="1" si="39"/>
        <v>0</v>
      </c>
      <c r="AB1247" s="41">
        <v>1247</v>
      </c>
    </row>
    <row r="1248" spans="27:28" ht="21" customHeight="1">
      <c r="AA1248" s="41">
        <f t="shared" ca="1" si="39"/>
        <v>0</v>
      </c>
      <c r="AB1248" s="41">
        <v>1248</v>
      </c>
    </row>
    <row r="1249" spans="27:28" ht="21" customHeight="1">
      <c r="AA1249" s="41">
        <f t="shared" ca="1" si="39"/>
        <v>0</v>
      </c>
      <c r="AB1249" s="41">
        <v>1249</v>
      </c>
    </row>
    <row r="1250" spans="27:28" ht="21" customHeight="1">
      <c r="AA1250" s="41">
        <f t="shared" ca="1" si="39"/>
        <v>0</v>
      </c>
      <c r="AB1250" s="41">
        <v>1250</v>
      </c>
    </row>
    <row r="1251" spans="27:28" ht="21" customHeight="1">
      <c r="AA1251" s="41">
        <f t="shared" ca="1" si="39"/>
        <v>0</v>
      </c>
      <c r="AB1251" s="41">
        <v>1251</v>
      </c>
    </row>
    <row r="1252" spans="27:28" ht="21" customHeight="1">
      <c r="AA1252" s="41">
        <f t="shared" ca="1" si="39"/>
        <v>0</v>
      </c>
      <c r="AB1252" s="41">
        <v>1252</v>
      </c>
    </row>
    <row r="1253" spans="27:28" ht="21" customHeight="1">
      <c r="AA1253" s="41">
        <f t="shared" ca="1" si="39"/>
        <v>0</v>
      </c>
      <c r="AB1253" s="41">
        <v>1253</v>
      </c>
    </row>
    <row r="1254" spans="27:28" ht="21" customHeight="1">
      <c r="AA1254" s="41">
        <f t="shared" ca="1" si="39"/>
        <v>0</v>
      </c>
      <c r="AB1254" s="41">
        <v>1254</v>
      </c>
    </row>
    <row r="1255" spans="27:28" ht="21" customHeight="1">
      <c r="AA1255" s="41">
        <f t="shared" ca="1" si="39"/>
        <v>0</v>
      </c>
      <c r="AB1255" s="41">
        <v>1255</v>
      </c>
    </row>
    <row r="1256" spans="27:28" ht="21" customHeight="1">
      <c r="AA1256" s="41">
        <f t="shared" ca="1" si="39"/>
        <v>0</v>
      </c>
      <c r="AB1256" s="41">
        <v>1256</v>
      </c>
    </row>
    <row r="1257" spans="27:28" ht="21" customHeight="1">
      <c r="AA1257" s="41">
        <f t="shared" ca="1" si="39"/>
        <v>0</v>
      </c>
      <c r="AB1257" s="41">
        <v>1257</v>
      </c>
    </row>
    <row r="1258" spans="27:28" ht="21" customHeight="1">
      <c r="AA1258" s="41">
        <f t="shared" ca="1" si="39"/>
        <v>0</v>
      </c>
      <c r="AB1258" s="41">
        <v>1258</v>
      </c>
    </row>
    <row r="1259" spans="27:28" ht="21" customHeight="1">
      <c r="AA1259" s="41">
        <f t="shared" ca="1" si="39"/>
        <v>0</v>
      </c>
      <c r="AB1259" s="41">
        <v>1259</v>
      </c>
    </row>
    <row r="1260" spans="27:28" ht="21" customHeight="1">
      <c r="AA1260" s="41">
        <f t="shared" ca="1" si="39"/>
        <v>0</v>
      </c>
      <c r="AB1260" s="41">
        <v>1260</v>
      </c>
    </row>
    <row r="1261" spans="27:28" ht="21" customHeight="1">
      <c r="AA1261" s="41">
        <f t="shared" ca="1" si="39"/>
        <v>0</v>
      </c>
      <c r="AB1261" s="41">
        <v>1261</v>
      </c>
    </row>
    <row r="1262" spans="27:28" ht="21" customHeight="1">
      <c r="AA1262" s="41">
        <f t="shared" ca="1" si="39"/>
        <v>0</v>
      </c>
      <c r="AB1262" s="41">
        <v>1262</v>
      </c>
    </row>
    <row r="1263" spans="27:28" ht="21" customHeight="1">
      <c r="AA1263" s="41">
        <f t="shared" ca="1" si="39"/>
        <v>0</v>
      </c>
      <c r="AB1263" s="41">
        <v>1263</v>
      </c>
    </row>
    <row r="1264" spans="27:28" ht="21" customHeight="1">
      <c r="AA1264" s="41">
        <f t="shared" ca="1" si="39"/>
        <v>0</v>
      </c>
      <c r="AB1264" s="41">
        <v>1264</v>
      </c>
    </row>
    <row r="1265" spans="27:28" ht="21" customHeight="1">
      <c r="AA1265" s="41">
        <f t="shared" ca="1" si="39"/>
        <v>0</v>
      </c>
      <c r="AB1265" s="41">
        <v>1265</v>
      </c>
    </row>
    <row r="1266" spans="27:28" ht="21" customHeight="1">
      <c r="AA1266" s="41">
        <f t="shared" ca="1" si="39"/>
        <v>0</v>
      </c>
      <c r="AB1266" s="41">
        <v>1266</v>
      </c>
    </row>
    <row r="1267" spans="27:28" ht="21" customHeight="1">
      <c r="AA1267" s="41">
        <f t="shared" ca="1" si="39"/>
        <v>0</v>
      </c>
      <c r="AB1267" s="41">
        <v>1267</v>
      </c>
    </row>
    <row r="1268" spans="27:28" ht="21" customHeight="1">
      <c r="AA1268" s="41">
        <f t="shared" ca="1" si="39"/>
        <v>0</v>
      </c>
      <c r="AB1268" s="41">
        <v>1268</v>
      </c>
    </row>
    <row r="1269" spans="27:28" ht="21" customHeight="1">
      <c r="AA1269" s="41">
        <f t="shared" ca="1" si="39"/>
        <v>0</v>
      </c>
      <c r="AB1269" s="41">
        <v>1269</v>
      </c>
    </row>
    <row r="1270" spans="27:28" ht="21" customHeight="1">
      <c r="AA1270" s="41">
        <f t="shared" ca="1" si="39"/>
        <v>0</v>
      </c>
      <c r="AB1270" s="41">
        <v>1270</v>
      </c>
    </row>
    <row r="1271" spans="27:28" ht="21" customHeight="1">
      <c r="AA1271" s="41">
        <f t="shared" ca="1" si="39"/>
        <v>0</v>
      </c>
      <c r="AB1271" s="41">
        <v>1271</v>
      </c>
    </row>
    <row r="1272" spans="27:28" ht="21" customHeight="1">
      <c r="AA1272" s="41">
        <f t="shared" ca="1" si="39"/>
        <v>0</v>
      </c>
      <c r="AB1272" s="41">
        <v>1272</v>
      </c>
    </row>
    <row r="1273" spans="27:28" ht="21" customHeight="1">
      <c r="AA1273" s="41">
        <f t="shared" ca="1" si="39"/>
        <v>0</v>
      </c>
      <c r="AB1273" s="41">
        <v>1273</v>
      </c>
    </row>
    <row r="1274" spans="27:28" ht="21" customHeight="1">
      <c r="AA1274" s="41">
        <f t="shared" ca="1" si="39"/>
        <v>0</v>
      </c>
      <c r="AB1274" s="41">
        <v>1274</v>
      </c>
    </row>
    <row r="1275" spans="27:28" ht="21" customHeight="1">
      <c r="AA1275" s="41">
        <f t="shared" ca="1" si="39"/>
        <v>0</v>
      </c>
      <c r="AB1275" s="41">
        <v>1275</v>
      </c>
    </row>
    <row r="1276" spans="27:28" ht="21" customHeight="1">
      <c r="AA1276" s="41">
        <f t="shared" ca="1" si="39"/>
        <v>0</v>
      </c>
      <c r="AB1276" s="41">
        <v>1276</v>
      </c>
    </row>
    <row r="1277" spans="27:28" ht="21" customHeight="1">
      <c r="AA1277" s="41">
        <f t="shared" ca="1" si="39"/>
        <v>0</v>
      </c>
      <c r="AB1277" s="41">
        <v>1277</v>
      </c>
    </row>
    <row r="1278" spans="27:28" ht="21" customHeight="1">
      <c r="AA1278" s="41">
        <f t="shared" ca="1" si="39"/>
        <v>0</v>
      </c>
      <c r="AB1278" s="41">
        <v>1278</v>
      </c>
    </row>
    <row r="1279" spans="27:28" ht="21" customHeight="1">
      <c r="AA1279" s="41">
        <f t="shared" ca="1" si="39"/>
        <v>0</v>
      </c>
      <c r="AB1279" s="41">
        <v>1279</v>
      </c>
    </row>
    <row r="1280" spans="27:28" ht="21" customHeight="1">
      <c r="AA1280" s="41">
        <f t="shared" ca="1" si="39"/>
        <v>0</v>
      </c>
      <c r="AB1280" s="41">
        <v>1280</v>
      </c>
    </row>
    <row r="1281" spans="27:28" ht="21" customHeight="1">
      <c r="AA1281" s="41">
        <f t="shared" ca="1" si="39"/>
        <v>0</v>
      </c>
      <c r="AB1281" s="41">
        <v>1281</v>
      </c>
    </row>
    <row r="1282" spans="27:28" ht="21" customHeight="1">
      <c r="AA1282" s="41">
        <f t="shared" ca="1" si="39"/>
        <v>0</v>
      </c>
      <c r="AB1282" s="41">
        <v>1282</v>
      </c>
    </row>
    <row r="1283" spans="27:28" ht="21" customHeight="1">
      <c r="AA1283" s="41">
        <f t="shared" ca="1" si="39"/>
        <v>0</v>
      </c>
      <c r="AB1283" s="41">
        <v>1283</v>
      </c>
    </row>
    <row r="1284" spans="27:28" ht="21" customHeight="1">
      <c r="AA1284" s="41">
        <f t="shared" ca="1" si="39"/>
        <v>0</v>
      </c>
      <c r="AB1284" s="41">
        <v>1284</v>
      </c>
    </row>
    <row r="1285" spans="27:28" ht="21" customHeight="1">
      <c r="AA1285" s="41">
        <f t="shared" ref="AA1285:AA1348" ca="1" si="40">INDIRECT($W$6&amp;"!"&amp;"B"&amp;ROW(B1285))</f>
        <v>0</v>
      </c>
      <c r="AB1285" s="41">
        <v>1285</v>
      </c>
    </row>
    <row r="1286" spans="27:28" ht="21" customHeight="1">
      <c r="AA1286" s="41">
        <f t="shared" ca="1" si="40"/>
        <v>0</v>
      </c>
      <c r="AB1286" s="41">
        <v>1286</v>
      </c>
    </row>
    <row r="1287" spans="27:28" ht="21" customHeight="1">
      <c r="AA1287" s="41">
        <f t="shared" ca="1" si="40"/>
        <v>0</v>
      </c>
      <c r="AB1287" s="41">
        <v>1287</v>
      </c>
    </row>
    <row r="1288" spans="27:28" ht="21" customHeight="1">
      <c r="AA1288" s="41">
        <f t="shared" ca="1" si="40"/>
        <v>0</v>
      </c>
      <c r="AB1288" s="41">
        <v>1288</v>
      </c>
    </row>
    <row r="1289" spans="27:28" ht="21" customHeight="1">
      <c r="AA1289" s="41">
        <f t="shared" ca="1" si="40"/>
        <v>0</v>
      </c>
      <c r="AB1289" s="41">
        <v>1289</v>
      </c>
    </row>
    <row r="1290" spans="27:28" ht="21" customHeight="1">
      <c r="AA1290" s="41">
        <f t="shared" ca="1" si="40"/>
        <v>0</v>
      </c>
      <c r="AB1290" s="41">
        <v>1290</v>
      </c>
    </row>
    <row r="1291" spans="27:28" ht="21" customHeight="1">
      <c r="AA1291" s="41">
        <f t="shared" ca="1" si="40"/>
        <v>0</v>
      </c>
      <c r="AB1291" s="41">
        <v>1291</v>
      </c>
    </row>
    <row r="1292" spans="27:28" ht="21" customHeight="1">
      <c r="AA1292" s="41">
        <f t="shared" ca="1" si="40"/>
        <v>0</v>
      </c>
      <c r="AB1292" s="41">
        <v>1292</v>
      </c>
    </row>
    <row r="1293" spans="27:28" ht="21" customHeight="1">
      <c r="AA1293" s="41">
        <f t="shared" ca="1" si="40"/>
        <v>0</v>
      </c>
      <c r="AB1293" s="41">
        <v>1293</v>
      </c>
    </row>
    <row r="1294" spans="27:28" ht="21" customHeight="1">
      <c r="AA1294" s="41">
        <f t="shared" ca="1" si="40"/>
        <v>0</v>
      </c>
      <c r="AB1294" s="41">
        <v>1294</v>
      </c>
    </row>
    <row r="1295" spans="27:28" ht="21" customHeight="1">
      <c r="AA1295" s="41">
        <f t="shared" ca="1" si="40"/>
        <v>0</v>
      </c>
      <c r="AB1295" s="41">
        <v>1295</v>
      </c>
    </row>
    <row r="1296" spans="27:28" ht="21" customHeight="1">
      <c r="AA1296" s="41">
        <f t="shared" ca="1" si="40"/>
        <v>0</v>
      </c>
      <c r="AB1296" s="41">
        <v>1296</v>
      </c>
    </row>
    <row r="1297" spans="27:28" ht="21" customHeight="1">
      <c r="AA1297" s="41">
        <f t="shared" ca="1" si="40"/>
        <v>0</v>
      </c>
      <c r="AB1297" s="41">
        <v>1297</v>
      </c>
    </row>
    <row r="1298" spans="27:28" ht="21" customHeight="1">
      <c r="AA1298" s="41">
        <f t="shared" ca="1" si="40"/>
        <v>0</v>
      </c>
      <c r="AB1298" s="41">
        <v>1298</v>
      </c>
    </row>
    <row r="1299" spans="27:28" ht="21" customHeight="1">
      <c r="AA1299" s="41">
        <f t="shared" ca="1" si="40"/>
        <v>0</v>
      </c>
      <c r="AB1299" s="41">
        <v>1299</v>
      </c>
    </row>
    <row r="1300" spans="27:28" ht="21" customHeight="1">
      <c r="AA1300" s="41">
        <f t="shared" ca="1" si="40"/>
        <v>0</v>
      </c>
      <c r="AB1300" s="41">
        <v>1300</v>
      </c>
    </row>
    <row r="1301" spans="27:28" ht="21" customHeight="1">
      <c r="AA1301" s="41">
        <f t="shared" ca="1" si="40"/>
        <v>0</v>
      </c>
      <c r="AB1301" s="41">
        <v>1301</v>
      </c>
    </row>
    <row r="1302" spans="27:28" ht="21" customHeight="1">
      <c r="AA1302" s="41">
        <f t="shared" ca="1" si="40"/>
        <v>0</v>
      </c>
      <c r="AB1302" s="41">
        <v>1302</v>
      </c>
    </row>
    <row r="1303" spans="27:28" ht="21" customHeight="1">
      <c r="AA1303" s="41">
        <f t="shared" ca="1" si="40"/>
        <v>0</v>
      </c>
      <c r="AB1303" s="41">
        <v>1303</v>
      </c>
    </row>
    <row r="1304" spans="27:28" ht="21" customHeight="1">
      <c r="AA1304" s="41">
        <f t="shared" ca="1" si="40"/>
        <v>0</v>
      </c>
      <c r="AB1304" s="41">
        <v>1304</v>
      </c>
    </row>
    <row r="1305" spans="27:28" ht="21" customHeight="1">
      <c r="AA1305" s="41">
        <f t="shared" ca="1" si="40"/>
        <v>0</v>
      </c>
      <c r="AB1305" s="41">
        <v>1305</v>
      </c>
    </row>
    <row r="1306" spans="27:28" ht="21" customHeight="1">
      <c r="AA1306" s="41">
        <f t="shared" ca="1" si="40"/>
        <v>0</v>
      </c>
      <c r="AB1306" s="41">
        <v>1306</v>
      </c>
    </row>
    <row r="1307" spans="27:28" ht="21" customHeight="1">
      <c r="AA1307" s="41">
        <f t="shared" ca="1" si="40"/>
        <v>0</v>
      </c>
      <c r="AB1307" s="41">
        <v>1307</v>
      </c>
    </row>
    <row r="1308" spans="27:28" ht="21" customHeight="1">
      <c r="AA1308" s="41">
        <f t="shared" ca="1" si="40"/>
        <v>0</v>
      </c>
      <c r="AB1308" s="41">
        <v>1308</v>
      </c>
    </row>
    <row r="1309" spans="27:28" ht="21" customHeight="1">
      <c r="AA1309" s="41">
        <f t="shared" ca="1" si="40"/>
        <v>0</v>
      </c>
      <c r="AB1309" s="41">
        <v>1309</v>
      </c>
    </row>
    <row r="1310" spans="27:28" ht="21" customHeight="1">
      <c r="AA1310" s="41">
        <f t="shared" ca="1" si="40"/>
        <v>0</v>
      </c>
      <c r="AB1310" s="41">
        <v>1310</v>
      </c>
    </row>
    <row r="1311" spans="27:28" ht="21" customHeight="1">
      <c r="AA1311" s="41">
        <f t="shared" ca="1" si="40"/>
        <v>0</v>
      </c>
      <c r="AB1311" s="41">
        <v>1311</v>
      </c>
    </row>
    <row r="1312" spans="27:28" ht="21" customHeight="1">
      <c r="AA1312" s="41">
        <f t="shared" ca="1" si="40"/>
        <v>0</v>
      </c>
      <c r="AB1312" s="41">
        <v>1312</v>
      </c>
    </row>
    <row r="1313" spans="27:28" ht="21" customHeight="1">
      <c r="AA1313" s="41">
        <f t="shared" ca="1" si="40"/>
        <v>0</v>
      </c>
      <c r="AB1313" s="41">
        <v>1313</v>
      </c>
    </row>
    <row r="1314" spans="27:28" ht="21" customHeight="1">
      <c r="AA1314" s="41">
        <f t="shared" ca="1" si="40"/>
        <v>0</v>
      </c>
      <c r="AB1314" s="41">
        <v>1314</v>
      </c>
    </row>
    <row r="1315" spans="27:28" ht="21" customHeight="1">
      <c r="AA1315" s="41">
        <f t="shared" ca="1" si="40"/>
        <v>0</v>
      </c>
      <c r="AB1315" s="41">
        <v>1315</v>
      </c>
    </row>
    <row r="1316" spans="27:28" ht="21" customHeight="1">
      <c r="AA1316" s="41">
        <f t="shared" ca="1" si="40"/>
        <v>0</v>
      </c>
      <c r="AB1316" s="41">
        <v>1316</v>
      </c>
    </row>
    <row r="1317" spans="27:28" ht="21" customHeight="1">
      <c r="AA1317" s="41">
        <f t="shared" ca="1" si="40"/>
        <v>0</v>
      </c>
      <c r="AB1317" s="41">
        <v>1317</v>
      </c>
    </row>
    <row r="1318" spans="27:28" ht="21" customHeight="1">
      <c r="AA1318" s="41">
        <f t="shared" ca="1" si="40"/>
        <v>0</v>
      </c>
      <c r="AB1318" s="41">
        <v>1318</v>
      </c>
    </row>
    <row r="1319" spans="27:28" ht="21" customHeight="1">
      <c r="AA1319" s="41">
        <f t="shared" ca="1" si="40"/>
        <v>0</v>
      </c>
      <c r="AB1319" s="41">
        <v>1319</v>
      </c>
    </row>
    <row r="1320" spans="27:28" ht="21" customHeight="1">
      <c r="AA1320" s="41">
        <f t="shared" ca="1" si="40"/>
        <v>0</v>
      </c>
      <c r="AB1320" s="41">
        <v>1320</v>
      </c>
    </row>
    <row r="1321" spans="27:28" ht="21" customHeight="1">
      <c r="AA1321" s="41">
        <f t="shared" ca="1" si="40"/>
        <v>0</v>
      </c>
      <c r="AB1321" s="41">
        <v>1321</v>
      </c>
    </row>
    <row r="1322" spans="27:28" ht="21" customHeight="1">
      <c r="AA1322" s="41">
        <f t="shared" ca="1" si="40"/>
        <v>0</v>
      </c>
      <c r="AB1322" s="41">
        <v>1322</v>
      </c>
    </row>
    <row r="1323" spans="27:28" ht="21" customHeight="1">
      <c r="AA1323" s="41">
        <f t="shared" ca="1" si="40"/>
        <v>0</v>
      </c>
      <c r="AB1323" s="41">
        <v>1323</v>
      </c>
    </row>
    <row r="1324" spans="27:28" ht="21" customHeight="1">
      <c r="AA1324" s="41">
        <f t="shared" ca="1" si="40"/>
        <v>0</v>
      </c>
      <c r="AB1324" s="41">
        <v>1324</v>
      </c>
    </row>
    <row r="1325" spans="27:28" ht="21" customHeight="1">
      <c r="AA1325" s="41">
        <f t="shared" ca="1" si="40"/>
        <v>0</v>
      </c>
      <c r="AB1325" s="41">
        <v>1325</v>
      </c>
    </row>
    <row r="1326" spans="27:28" ht="21" customHeight="1">
      <c r="AA1326" s="41">
        <f t="shared" ca="1" si="40"/>
        <v>0</v>
      </c>
      <c r="AB1326" s="41">
        <v>1326</v>
      </c>
    </row>
    <row r="1327" spans="27:28" ht="21" customHeight="1">
      <c r="AA1327" s="41">
        <f t="shared" ca="1" si="40"/>
        <v>0</v>
      </c>
      <c r="AB1327" s="41">
        <v>1327</v>
      </c>
    </row>
    <row r="1328" spans="27:28" ht="21" customHeight="1">
      <c r="AA1328" s="41">
        <f t="shared" ca="1" si="40"/>
        <v>0</v>
      </c>
      <c r="AB1328" s="41">
        <v>1328</v>
      </c>
    </row>
    <row r="1329" spans="27:28" ht="21" customHeight="1">
      <c r="AA1329" s="41">
        <f t="shared" ca="1" si="40"/>
        <v>0</v>
      </c>
      <c r="AB1329" s="41">
        <v>1329</v>
      </c>
    </row>
    <row r="1330" spans="27:28" ht="21" customHeight="1">
      <c r="AA1330" s="41">
        <f t="shared" ca="1" si="40"/>
        <v>0</v>
      </c>
      <c r="AB1330" s="41">
        <v>1330</v>
      </c>
    </row>
    <row r="1331" spans="27:28" ht="21" customHeight="1">
      <c r="AA1331" s="41">
        <f t="shared" ca="1" si="40"/>
        <v>0</v>
      </c>
      <c r="AB1331" s="41">
        <v>1331</v>
      </c>
    </row>
    <row r="1332" spans="27:28" ht="21" customHeight="1">
      <c r="AA1332" s="41">
        <f t="shared" ca="1" si="40"/>
        <v>0</v>
      </c>
      <c r="AB1332" s="41">
        <v>1332</v>
      </c>
    </row>
    <row r="1333" spans="27:28" ht="21" customHeight="1">
      <c r="AA1333" s="41">
        <f t="shared" ca="1" si="40"/>
        <v>0</v>
      </c>
      <c r="AB1333" s="41">
        <v>1333</v>
      </c>
    </row>
    <row r="1334" spans="27:28" ht="21" customHeight="1">
      <c r="AA1334" s="41">
        <f t="shared" ca="1" si="40"/>
        <v>0</v>
      </c>
      <c r="AB1334" s="41">
        <v>1334</v>
      </c>
    </row>
    <row r="1335" spans="27:28" ht="21" customHeight="1">
      <c r="AA1335" s="41">
        <f t="shared" ca="1" si="40"/>
        <v>0</v>
      </c>
      <c r="AB1335" s="41">
        <v>1335</v>
      </c>
    </row>
    <row r="1336" spans="27:28" ht="21" customHeight="1">
      <c r="AA1336" s="41">
        <f t="shared" ca="1" si="40"/>
        <v>0</v>
      </c>
      <c r="AB1336" s="41">
        <v>1336</v>
      </c>
    </row>
    <row r="1337" spans="27:28" ht="21" customHeight="1">
      <c r="AA1337" s="41">
        <f t="shared" ca="1" si="40"/>
        <v>0</v>
      </c>
      <c r="AB1337" s="41">
        <v>1337</v>
      </c>
    </row>
    <row r="1338" spans="27:28" ht="21" customHeight="1">
      <c r="AA1338" s="41">
        <f t="shared" ca="1" si="40"/>
        <v>0</v>
      </c>
      <c r="AB1338" s="41">
        <v>1338</v>
      </c>
    </row>
    <row r="1339" spans="27:28" ht="21" customHeight="1">
      <c r="AA1339" s="41">
        <f t="shared" ca="1" si="40"/>
        <v>0</v>
      </c>
      <c r="AB1339" s="41">
        <v>1339</v>
      </c>
    </row>
    <row r="1340" spans="27:28" ht="21" customHeight="1">
      <c r="AA1340" s="41">
        <f t="shared" ca="1" si="40"/>
        <v>0</v>
      </c>
      <c r="AB1340" s="41">
        <v>1340</v>
      </c>
    </row>
    <row r="1341" spans="27:28" ht="21" customHeight="1">
      <c r="AA1341" s="41">
        <f t="shared" ca="1" si="40"/>
        <v>0</v>
      </c>
      <c r="AB1341" s="41">
        <v>1341</v>
      </c>
    </row>
    <row r="1342" spans="27:28" ht="21" customHeight="1">
      <c r="AA1342" s="41">
        <f t="shared" ca="1" si="40"/>
        <v>0</v>
      </c>
      <c r="AB1342" s="41">
        <v>1342</v>
      </c>
    </row>
    <row r="1343" spans="27:28" ht="21" customHeight="1">
      <c r="AA1343" s="41">
        <f t="shared" ca="1" si="40"/>
        <v>0</v>
      </c>
      <c r="AB1343" s="41">
        <v>1343</v>
      </c>
    </row>
    <row r="1344" spans="27:28" ht="21" customHeight="1">
      <c r="AA1344" s="41">
        <f t="shared" ca="1" si="40"/>
        <v>0</v>
      </c>
      <c r="AB1344" s="41">
        <v>1344</v>
      </c>
    </row>
    <row r="1345" spans="27:28" ht="21" customHeight="1">
      <c r="AA1345" s="41">
        <f t="shared" ca="1" si="40"/>
        <v>0</v>
      </c>
      <c r="AB1345" s="41">
        <v>1345</v>
      </c>
    </row>
    <row r="1346" spans="27:28" ht="21" customHeight="1">
      <c r="AA1346" s="41">
        <f t="shared" ca="1" si="40"/>
        <v>0</v>
      </c>
      <c r="AB1346" s="41">
        <v>1346</v>
      </c>
    </row>
    <row r="1347" spans="27:28" ht="21" customHeight="1">
      <c r="AA1347" s="41">
        <f t="shared" ca="1" si="40"/>
        <v>0</v>
      </c>
      <c r="AB1347" s="41">
        <v>1347</v>
      </c>
    </row>
    <row r="1348" spans="27:28" ht="21" customHeight="1">
      <c r="AA1348" s="41">
        <f t="shared" ca="1" si="40"/>
        <v>0</v>
      </c>
      <c r="AB1348" s="41">
        <v>1348</v>
      </c>
    </row>
    <row r="1349" spans="27:28" ht="21" customHeight="1">
      <c r="AA1349" s="41">
        <f t="shared" ref="AA1349:AA1412" ca="1" si="41">INDIRECT($W$6&amp;"!"&amp;"B"&amp;ROW(B1349))</f>
        <v>0</v>
      </c>
      <c r="AB1349" s="41">
        <v>1349</v>
      </c>
    </row>
    <row r="1350" spans="27:28" ht="21" customHeight="1">
      <c r="AA1350" s="41">
        <f t="shared" ca="1" si="41"/>
        <v>0</v>
      </c>
      <c r="AB1350" s="41">
        <v>1350</v>
      </c>
    </row>
    <row r="1351" spans="27:28" ht="21" customHeight="1">
      <c r="AA1351" s="41">
        <f t="shared" ca="1" si="41"/>
        <v>0</v>
      </c>
      <c r="AB1351" s="41">
        <v>1351</v>
      </c>
    </row>
    <row r="1352" spans="27:28" ht="21" customHeight="1">
      <c r="AA1352" s="41">
        <f t="shared" ca="1" si="41"/>
        <v>0</v>
      </c>
      <c r="AB1352" s="41">
        <v>1352</v>
      </c>
    </row>
    <row r="1353" spans="27:28" ht="21" customHeight="1">
      <c r="AA1353" s="41">
        <f t="shared" ca="1" si="41"/>
        <v>0</v>
      </c>
      <c r="AB1353" s="41">
        <v>1353</v>
      </c>
    </row>
    <row r="1354" spans="27:28" ht="21" customHeight="1">
      <c r="AA1354" s="41">
        <f t="shared" ca="1" si="41"/>
        <v>0</v>
      </c>
      <c r="AB1354" s="41">
        <v>1354</v>
      </c>
    </row>
    <row r="1355" spans="27:28" ht="21" customHeight="1">
      <c r="AA1355" s="41">
        <f t="shared" ca="1" si="41"/>
        <v>0</v>
      </c>
      <c r="AB1355" s="41">
        <v>1355</v>
      </c>
    </row>
    <row r="1356" spans="27:28" ht="21" customHeight="1">
      <c r="AA1356" s="41">
        <f t="shared" ca="1" si="41"/>
        <v>0</v>
      </c>
      <c r="AB1356" s="41">
        <v>1356</v>
      </c>
    </row>
    <row r="1357" spans="27:28" ht="21" customHeight="1">
      <c r="AA1357" s="41">
        <f t="shared" ca="1" si="41"/>
        <v>0</v>
      </c>
      <c r="AB1357" s="41">
        <v>1357</v>
      </c>
    </row>
    <row r="1358" spans="27:28" ht="21" customHeight="1">
      <c r="AA1358" s="41">
        <f t="shared" ca="1" si="41"/>
        <v>0</v>
      </c>
      <c r="AB1358" s="41">
        <v>1358</v>
      </c>
    </row>
    <row r="1359" spans="27:28" ht="21" customHeight="1">
      <c r="AA1359" s="41">
        <f t="shared" ca="1" si="41"/>
        <v>0</v>
      </c>
      <c r="AB1359" s="41">
        <v>1359</v>
      </c>
    </row>
    <row r="1360" spans="27:28" ht="21" customHeight="1">
      <c r="AA1360" s="41">
        <f t="shared" ca="1" si="41"/>
        <v>0</v>
      </c>
      <c r="AB1360" s="41">
        <v>1360</v>
      </c>
    </row>
    <row r="1361" spans="27:28" ht="21" customHeight="1">
      <c r="AA1361" s="41">
        <f t="shared" ca="1" si="41"/>
        <v>0</v>
      </c>
      <c r="AB1361" s="41">
        <v>1361</v>
      </c>
    </row>
    <row r="1362" spans="27:28" ht="21" customHeight="1">
      <c r="AA1362" s="41">
        <f t="shared" ca="1" si="41"/>
        <v>0</v>
      </c>
      <c r="AB1362" s="41">
        <v>1362</v>
      </c>
    </row>
    <row r="1363" spans="27:28" ht="21" customHeight="1">
      <c r="AA1363" s="41">
        <f t="shared" ca="1" si="41"/>
        <v>0</v>
      </c>
      <c r="AB1363" s="41">
        <v>1363</v>
      </c>
    </row>
    <row r="1364" spans="27:28" ht="21" customHeight="1">
      <c r="AA1364" s="41">
        <f t="shared" ca="1" si="41"/>
        <v>0</v>
      </c>
      <c r="AB1364" s="41">
        <v>1364</v>
      </c>
    </row>
    <row r="1365" spans="27:28" ht="21" customHeight="1">
      <c r="AA1365" s="41">
        <f t="shared" ca="1" si="41"/>
        <v>0</v>
      </c>
      <c r="AB1365" s="41">
        <v>1365</v>
      </c>
    </row>
    <row r="1366" spans="27:28" ht="21" customHeight="1">
      <c r="AA1366" s="41">
        <f t="shared" ca="1" si="41"/>
        <v>0</v>
      </c>
      <c r="AB1366" s="41">
        <v>1366</v>
      </c>
    </row>
    <row r="1367" spans="27:28" ht="21" customHeight="1">
      <c r="AA1367" s="41">
        <f t="shared" ca="1" si="41"/>
        <v>0</v>
      </c>
      <c r="AB1367" s="41">
        <v>1367</v>
      </c>
    </row>
    <row r="1368" spans="27:28" ht="21" customHeight="1">
      <c r="AA1368" s="41">
        <f t="shared" ca="1" si="41"/>
        <v>0</v>
      </c>
      <c r="AB1368" s="41">
        <v>1368</v>
      </c>
    </row>
    <row r="1369" spans="27:28" ht="21" customHeight="1">
      <c r="AA1369" s="41">
        <f t="shared" ca="1" si="41"/>
        <v>0</v>
      </c>
      <c r="AB1369" s="41">
        <v>1369</v>
      </c>
    </row>
    <row r="1370" spans="27:28" ht="21" customHeight="1">
      <c r="AA1370" s="41">
        <f t="shared" ca="1" si="41"/>
        <v>0</v>
      </c>
      <c r="AB1370" s="41">
        <v>1370</v>
      </c>
    </row>
    <row r="1371" spans="27:28" ht="21" customHeight="1">
      <c r="AA1371" s="41">
        <f t="shared" ca="1" si="41"/>
        <v>0</v>
      </c>
      <c r="AB1371" s="41">
        <v>1371</v>
      </c>
    </row>
    <row r="1372" spans="27:28" ht="21" customHeight="1">
      <c r="AA1372" s="41">
        <f t="shared" ca="1" si="41"/>
        <v>0</v>
      </c>
      <c r="AB1372" s="41">
        <v>1372</v>
      </c>
    </row>
    <row r="1373" spans="27:28" ht="21" customHeight="1">
      <c r="AA1373" s="41">
        <f t="shared" ca="1" si="41"/>
        <v>0</v>
      </c>
      <c r="AB1373" s="41">
        <v>1373</v>
      </c>
    </row>
    <row r="1374" spans="27:28" ht="21" customHeight="1">
      <c r="AA1374" s="41">
        <f t="shared" ca="1" si="41"/>
        <v>0</v>
      </c>
      <c r="AB1374" s="41">
        <v>1374</v>
      </c>
    </row>
    <row r="1375" spans="27:28" ht="21" customHeight="1">
      <c r="AA1375" s="41">
        <f t="shared" ca="1" si="41"/>
        <v>0</v>
      </c>
      <c r="AB1375" s="41">
        <v>1375</v>
      </c>
    </row>
    <row r="1376" spans="27:28" ht="21" customHeight="1">
      <c r="AA1376" s="41">
        <f t="shared" ca="1" si="41"/>
        <v>0</v>
      </c>
      <c r="AB1376" s="41">
        <v>1376</v>
      </c>
    </row>
    <row r="1377" spans="27:28" ht="21" customHeight="1">
      <c r="AA1377" s="41">
        <f t="shared" ca="1" si="41"/>
        <v>0</v>
      </c>
      <c r="AB1377" s="41">
        <v>1377</v>
      </c>
    </row>
    <row r="1378" spans="27:28" ht="21" customHeight="1">
      <c r="AA1378" s="41">
        <f t="shared" ca="1" si="41"/>
        <v>0</v>
      </c>
      <c r="AB1378" s="41">
        <v>1378</v>
      </c>
    </row>
    <row r="1379" spans="27:28" ht="21" customHeight="1">
      <c r="AA1379" s="41">
        <f t="shared" ca="1" si="41"/>
        <v>0</v>
      </c>
      <c r="AB1379" s="41">
        <v>1379</v>
      </c>
    </row>
    <row r="1380" spans="27:28" ht="21" customHeight="1">
      <c r="AA1380" s="41">
        <f t="shared" ca="1" si="41"/>
        <v>0</v>
      </c>
      <c r="AB1380" s="41">
        <v>1380</v>
      </c>
    </row>
    <row r="1381" spans="27:28" ht="21" customHeight="1">
      <c r="AA1381" s="41">
        <f t="shared" ca="1" si="41"/>
        <v>0</v>
      </c>
      <c r="AB1381" s="41">
        <v>1381</v>
      </c>
    </row>
    <row r="1382" spans="27:28" ht="21" customHeight="1">
      <c r="AA1382" s="41">
        <f t="shared" ca="1" si="41"/>
        <v>0</v>
      </c>
      <c r="AB1382" s="41">
        <v>1382</v>
      </c>
    </row>
    <row r="1383" spans="27:28" ht="21" customHeight="1">
      <c r="AA1383" s="41">
        <f t="shared" ca="1" si="41"/>
        <v>0</v>
      </c>
      <c r="AB1383" s="41">
        <v>1383</v>
      </c>
    </row>
    <row r="1384" spans="27:28" ht="21" customHeight="1">
      <c r="AA1384" s="41">
        <f t="shared" ca="1" si="41"/>
        <v>0</v>
      </c>
      <c r="AB1384" s="41">
        <v>1384</v>
      </c>
    </row>
    <row r="1385" spans="27:28" ht="21" customHeight="1">
      <c r="AA1385" s="41">
        <f t="shared" ca="1" si="41"/>
        <v>0</v>
      </c>
      <c r="AB1385" s="41">
        <v>1385</v>
      </c>
    </row>
    <row r="1386" spans="27:28" ht="21" customHeight="1">
      <c r="AA1386" s="41">
        <f t="shared" ca="1" si="41"/>
        <v>0</v>
      </c>
      <c r="AB1386" s="41">
        <v>1386</v>
      </c>
    </row>
    <row r="1387" spans="27:28" ht="21" customHeight="1">
      <c r="AA1387" s="41">
        <f t="shared" ca="1" si="41"/>
        <v>0</v>
      </c>
      <c r="AB1387" s="41">
        <v>1387</v>
      </c>
    </row>
    <row r="1388" spans="27:28" ht="21" customHeight="1">
      <c r="AA1388" s="41">
        <f t="shared" ca="1" si="41"/>
        <v>0</v>
      </c>
      <c r="AB1388" s="41">
        <v>1388</v>
      </c>
    </row>
    <row r="1389" spans="27:28" ht="21" customHeight="1">
      <c r="AA1389" s="41">
        <f t="shared" ca="1" si="41"/>
        <v>0</v>
      </c>
      <c r="AB1389" s="41">
        <v>1389</v>
      </c>
    </row>
    <row r="1390" spans="27:28" ht="21" customHeight="1">
      <c r="AA1390" s="41">
        <f t="shared" ca="1" si="41"/>
        <v>0</v>
      </c>
      <c r="AB1390" s="41">
        <v>1390</v>
      </c>
    </row>
    <row r="1391" spans="27:28" ht="21" customHeight="1">
      <c r="AA1391" s="41">
        <f t="shared" ca="1" si="41"/>
        <v>0</v>
      </c>
      <c r="AB1391" s="41">
        <v>1391</v>
      </c>
    </row>
    <row r="1392" spans="27:28" ht="21" customHeight="1">
      <c r="AA1392" s="41">
        <f t="shared" ca="1" si="41"/>
        <v>0</v>
      </c>
      <c r="AB1392" s="41">
        <v>1392</v>
      </c>
    </row>
    <row r="1393" spans="27:28" ht="21" customHeight="1">
      <c r="AA1393" s="41">
        <f t="shared" ca="1" si="41"/>
        <v>0</v>
      </c>
      <c r="AB1393" s="41">
        <v>1393</v>
      </c>
    </row>
    <row r="1394" spans="27:28" ht="21" customHeight="1">
      <c r="AA1394" s="41">
        <f t="shared" ca="1" si="41"/>
        <v>0</v>
      </c>
      <c r="AB1394" s="41">
        <v>1394</v>
      </c>
    </row>
    <row r="1395" spans="27:28" ht="21" customHeight="1">
      <c r="AA1395" s="41">
        <f t="shared" ca="1" si="41"/>
        <v>0</v>
      </c>
      <c r="AB1395" s="41">
        <v>1395</v>
      </c>
    </row>
    <row r="1396" spans="27:28" ht="21" customHeight="1">
      <c r="AA1396" s="41">
        <f t="shared" ca="1" si="41"/>
        <v>0</v>
      </c>
      <c r="AB1396" s="41">
        <v>1396</v>
      </c>
    </row>
    <row r="1397" spans="27:28" ht="21" customHeight="1">
      <c r="AA1397" s="41">
        <f t="shared" ca="1" si="41"/>
        <v>0</v>
      </c>
      <c r="AB1397" s="41">
        <v>1397</v>
      </c>
    </row>
    <row r="1398" spans="27:28" ht="21" customHeight="1">
      <c r="AA1398" s="41">
        <f t="shared" ca="1" si="41"/>
        <v>0</v>
      </c>
      <c r="AB1398" s="41">
        <v>1398</v>
      </c>
    </row>
    <row r="1399" spans="27:28" ht="21" customHeight="1">
      <c r="AA1399" s="41">
        <f t="shared" ca="1" si="41"/>
        <v>0</v>
      </c>
      <c r="AB1399" s="41">
        <v>1399</v>
      </c>
    </row>
    <row r="1400" spans="27:28" ht="21" customHeight="1">
      <c r="AA1400" s="41">
        <f t="shared" ca="1" si="41"/>
        <v>0</v>
      </c>
      <c r="AB1400" s="41">
        <v>1400</v>
      </c>
    </row>
    <row r="1401" spans="27:28" ht="21" customHeight="1">
      <c r="AA1401" s="41">
        <f t="shared" ca="1" si="41"/>
        <v>0</v>
      </c>
      <c r="AB1401" s="41">
        <v>1401</v>
      </c>
    </row>
    <row r="1402" spans="27:28" ht="21" customHeight="1">
      <c r="AA1402" s="41">
        <f t="shared" ca="1" si="41"/>
        <v>0</v>
      </c>
      <c r="AB1402" s="41">
        <v>1402</v>
      </c>
    </row>
    <row r="1403" spans="27:28" ht="21" customHeight="1">
      <c r="AA1403" s="41">
        <f t="shared" ca="1" si="41"/>
        <v>0</v>
      </c>
      <c r="AB1403" s="41">
        <v>1403</v>
      </c>
    </row>
    <row r="1404" spans="27:28" ht="21" customHeight="1">
      <c r="AA1404" s="41">
        <f t="shared" ca="1" si="41"/>
        <v>0</v>
      </c>
      <c r="AB1404" s="41">
        <v>1404</v>
      </c>
    </row>
    <row r="1405" spans="27:28" ht="21" customHeight="1">
      <c r="AA1405" s="41">
        <f t="shared" ca="1" si="41"/>
        <v>0</v>
      </c>
      <c r="AB1405" s="41">
        <v>1405</v>
      </c>
    </row>
    <row r="1406" spans="27:28" ht="21" customHeight="1">
      <c r="AA1406" s="41">
        <f t="shared" ca="1" si="41"/>
        <v>0</v>
      </c>
      <c r="AB1406" s="41">
        <v>1406</v>
      </c>
    </row>
    <row r="1407" spans="27:28" ht="21" customHeight="1">
      <c r="AA1407" s="41">
        <f t="shared" ca="1" si="41"/>
        <v>0</v>
      </c>
      <c r="AB1407" s="41">
        <v>1407</v>
      </c>
    </row>
    <row r="1408" spans="27:28" ht="21" customHeight="1">
      <c r="AA1408" s="41">
        <f t="shared" ca="1" si="41"/>
        <v>0</v>
      </c>
      <c r="AB1408" s="41">
        <v>1408</v>
      </c>
    </row>
    <row r="1409" spans="27:28" ht="21" customHeight="1">
      <c r="AA1409" s="41">
        <f t="shared" ca="1" si="41"/>
        <v>0</v>
      </c>
      <c r="AB1409" s="41">
        <v>1409</v>
      </c>
    </row>
    <row r="1410" spans="27:28" ht="21" customHeight="1">
      <c r="AA1410" s="41">
        <f t="shared" ca="1" si="41"/>
        <v>0</v>
      </c>
      <c r="AB1410" s="41">
        <v>1410</v>
      </c>
    </row>
    <row r="1411" spans="27:28" ht="21" customHeight="1">
      <c r="AA1411" s="41">
        <f t="shared" ca="1" si="41"/>
        <v>0</v>
      </c>
      <c r="AB1411" s="41">
        <v>1411</v>
      </c>
    </row>
    <row r="1412" spans="27:28" ht="21" customHeight="1">
      <c r="AA1412" s="41">
        <f t="shared" ca="1" si="41"/>
        <v>0</v>
      </c>
      <c r="AB1412" s="41">
        <v>1412</v>
      </c>
    </row>
    <row r="1413" spans="27:28" ht="21" customHeight="1">
      <c r="AA1413" s="41">
        <f t="shared" ref="AA1413:AA1476" ca="1" si="42">INDIRECT($W$6&amp;"!"&amp;"B"&amp;ROW(B1413))</f>
        <v>0</v>
      </c>
      <c r="AB1413" s="41">
        <v>1413</v>
      </c>
    </row>
    <row r="1414" spans="27:28" ht="21" customHeight="1">
      <c r="AA1414" s="41">
        <f t="shared" ca="1" si="42"/>
        <v>0</v>
      </c>
      <c r="AB1414" s="41">
        <v>1414</v>
      </c>
    </row>
    <row r="1415" spans="27:28" ht="21" customHeight="1">
      <c r="AA1415" s="41">
        <f t="shared" ca="1" si="42"/>
        <v>0</v>
      </c>
      <c r="AB1415" s="41">
        <v>1415</v>
      </c>
    </row>
    <row r="1416" spans="27:28" ht="21" customHeight="1">
      <c r="AA1416" s="41">
        <f t="shared" ca="1" si="42"/>
        <v>0</v>
      </c>
      <c r="AB1416" s="41">
        <v>1416</v>
      </c>
    </row>
    <row r="1417" spans="27:28" ht="21" customHeight="1">
      <c r="AA1417" s="41">
        <f t="shared" ca="1" si="42"/>
        <v>0</v>
      </c>
      <c r="AB1417" s="41">
        <v>1417</v>
      </c>
    </row>
    <row r="1418" spans="27:28" ht="21" customHeight="1">
      <c r="AA1418" s="41">
        <f t="shared" ca="1" si="42"/>
        <v>0</v>
      </c>
      <c r="AB1418" s="41">
        <v>1418</v>
      </c>
    </row>
    <row r="1419" spans="27:28" ht="21" customHeight="1">
      <c r="AA1419" s="41">
        <f t="shared" ca="1" si="42"/>
        <v>0</v>
      </c>
      <c r="AB1419" s="41">
        <v>1419</v>
      </c>
    </row>
    <row r="1420" spans="27:28" ht="21" customHeight="1">
      <c r="AA1420" s="41">
        <f t="shared" ca="1" si="42"/>
        <v>0</v>
      </c>
      <c r="AB1420" s="41">
        <v>1420</v>
      </c>
    </row>
    <row r="1421" spans="27:28" ht="21" customHeight="1">
      <c r="AA1421" s="41">
        <f t="shared" ca="1" si="42"/>
        <v>0</v>
      </c>
      <c r="AB1421" s="41">
        <v>1421</v>
      </c>
    </row>
    <row r="1422" spans="27:28" ht="21" customHeight="1">
      <c r="AA1422" s="41">
        <f t="shared" ca="1" si="42"/>
        <v>0</v>
      </c>
      <c r="AB1422" s="41">
        <v>1422</v>
      </c>
    </row>
    <row r="1423" spans="27:28" ht="21" customHeight="1">
      <c r="AA1423" s="41">
        <f t="shared" ca="1" si="42"/>
        <v>0</v>
      </c>
      <c r="AB1423" s="41">
        <v>1423</v>
      </c>
    </row>
    <row r="1424" spans="27:28" ht="21" customHeight="1">
      <c r="AA1424" s="41">
        <f t="shared" ca="1" si="42"/>
        <v>0</v>
      </c>
      <c r="AB1424" s="41">
        <v>1424</v>
      </c>
    </row>
    <row r="1425" spans="27:28" ht="21" customHeight="1">
      <c r="AA1425" s="41">
        <f t="shared" ca="1" si="42"/>
        <v>0</v>
      </c>
      <c r="AB1425" s="41">
        <v>1425</v>
      </c>
    </row>
    <row r="1426" spans="27:28" ht="21" customHeight="1">
      <c r="AA1426" s="41">
        <f t="shared" ca="1" si="42"/>
        <v>0</v>
      </c>
      <c r="AB1426" s="41">
        <v>1426</v>
      </c>
    </row>
    <row r="1427" spans="27:28" ht="21" customHeight="1">
      <c r="AA1427" s="41">
        <f t="shared" ca="1" si="42"/>
        <v>0</v>
      </c>
      <c r="AB1427" s="41">
        <v>1427</v>
      </c>
    </row>
    <row r="1428" spans="27:28" ht="21" customHeight="1">
      <c r="AA1428" s="41">
        <f t="shared" ca="1" si="42"/>
        <v>0</v>
      </c>
      <c r="AB1428" s="41">
        <v>1428</v>
      </c>
    </row>
    <row r="1429" spans="27:28" ht="21" customHeight="1">
      <c r="AA1429" s="41">
        <f t="shared" ca="1" si="42"/>
        <v>0</v>
      </c>
      <c r="AB1429" s="41">
        <v>1429</v>
      </c>
    </row>
    <row r="1430" spans="27:28" ht="21" customHeight="1">
      <c r="AA1430" s="41">
        <f t="shared" ca="1" si="42"/>
        <v>0</v>
      </c>
      <c r="AB1430" s="41">
        <v>1430</v>
      </c>
    </row>
    <row r="1431" spans="27:28" ht="21" customHeight="1">
      <c r="AA1431" s="41">
        <f t="shared" ca="1" si="42"/>
        <v>0</v>
      </c>
      <c r="AB1431" s="41">
        <v>1431</v>
      </c>
    </row>
    <row r="1432" spans="27:28" ht="21" customHeight="1">
      <c r="AA1432" s="41">
        <f t="shared" ca="1" si="42"/>
        <v>0</v>
      </c>
      <c r="AB1432" s="41">
        <v>1432</v>
      </c>
    </row>
    <row r="1433" spans="27:28" ht="21" customHeight="1">
      <c r="AA1433" s="41">
        <f t="shared" ca="1" si="42"/>
        <v>0</v>
      </c>
      <c r="AB1433" s="41">
        <v>1433</v>
      </c>
    </row>
    <row r="1434" spans="27:28" ht="21" customHeight="1">
      <c r="AA1434" s="41">
        <f t="shared" ca="1" si="42"/>
        <v>0</v>
      </c>
      <c r="AB1434" s="41">
        <v>1434</v>
      </c>
    </row>
    <row r="1435" spans="27:28" ht="21" customHeight="1">
      <c r="AA1435" s="41">
        <f t="shared" ca="1" si="42"/>
        <v>0</v>
      </c>
      <c r="AB1435" s="41">
        <v>1435</v>
      </c>
    </row>
    <row r="1436" spans="27:28" ht="21" customHeight="1">
      <c r="AA1436" s="41">
        <f t="shared" ca="1" si="42"/>
        <v>0</v>
      </c>
      <c r="AB1436" s="41">
        <v>1436</v>
      </c>
    </row>
    <row r="1437" spans="27:28" ht="21" customHeight="1">
      <c r="AA1437" s="41">
        <f t="shared" ca="1" si="42"/>
        <v>0</v>
      </c>
      <c r="AB1437" s="41">
        <v>1437</v>
      </c>
    </row>
    <row r="1438" spans="27:28" ht="21" customHeight="1">
      <c r="AA1438" s="41">
        <f t="shared" ca="1" si="42"/>
        <v>0</v>
      </c>
      <c r="AB1438" s="41">
        <v>1438</v>
      </c>
    </row>
    <row r="1439" spans="27:28" ht="21" customHeight="1">
      <c r="AA1439" s="41">
        <f t="shared" ca="1" si="42"/>
        <v>0</v>
      </c>
      <c r="AB1439" s="41">
        <v>1439</v>
      </c>
    </row>
    <row r="1440" spans="27:28" ht="21" customHeight="1">
      <c r="AA1440" s="41">
        <f t="shared" ca="1" si="42"/>
        <v>0</v>
      </c>
      <c r="AB1440" s="41">
        <v>1440</v>
      </c>
    </row>
    <row r="1441" spans="27:28" ht="21" customHeight="1">
      <c r="AA1441" s="41">
        <f t="shared" ca="1" si="42"/>
        <v>0</v>
      </c>
      <c r="AB1441" s="41">
        <v>1441</v>
      </c>
    </row>
    <row r="1442" spans="27:28" ht="21" customHeight="1">
      <c r="AA1442" s="41">
        <f t="shared" ca="1" si="42"/>
        <v>0</v>
      </c>
      <c r="AB1442" s="41">
        <v>1442</v>
      </c>
    </row>
    <row r="1443" spans="27:28" ht="21" customHeight="1">
      <c r="AA1443" s="41">
        <f t="shared" ca="1" si="42"/>
        <v>0</v>
      </c>
      <c r="AB1443" s="41">
        <v>1443</v>
      </c>
    </row>
    <row r="1444" spans="27:28" ht="21" customHeight="1">
      <c r="AA1444" s="41">
        <f t="shared" ca="1" si="42"/>
        <v>0</v>
      </c>
      <c r="AB1444" s="41">
        <v>1444</v>
      </c>
    </row>
    <row r="1445" spans="27:28" ht="21" customHeight="1">
      <c r="AA1445" s="41">
        <f t="shared" ca="1" si="42"/>
        <v>0</v>
      </c>
      <c r="AB1445" s="41">
        <v>1445</v>
      </c>
    </row>
    <row r="1446" spans="27:28" ht="21" customHeight="1">
      <c r="AA1446" s="41">
        <f t="shared" ca="1" si="42"/>
        <v>0</v>
      </c>
      <c r="AB1446" s="41">
        <v>1446</v>
      </c>
    </row>
    <row r="1447" spans="27:28" ht="21" customHeight="1">
      <c r="AA1447" s="41">
        <f t="shared" ca="1" si="42"/>
        <v>0</v>
      </c>
      <c r="AB1447" s="41">
        <v>1447</v>
      </c>
    </row>
    <row r="1448" spans="27:28" ht="21" customHeight="1">
      <c r="AA1448" s="41">
        <f t="shared" ca="1" si="42"/>
        <v>0</v>
      </c>
      <c r="AB1448" s="41">
        <v>1448</v>
      </c>
    </row>
    <row r="1449" spans="27:28" ht="21" customHeight="1">
      <c r="AA1449" s="41">
        <f t="shared" ca="1" si="42"/>
        <v>0</v>
      </c>
      <c r="AB1449" s="41">
        <v>1449</v>
      </c>
    </row>
    <row r="1450" spans="27:28" ht="21" customHeight="1">
      <c r="AA1450" s="41">
        <f t="shared" ca="1" si="42"/>
        <v>0</v>
      </c>
      <c r="AB1450" s="41">
        <v>1450</v>
      </c>
    </row>
    <row r="1451" spans="27:28" ht="21" customHeight="1">
      <c r="AA1451" s="41">
        <f t="shared" ca="1" si="42"/>
        <v>0</v>
      </c>
      <c r="AB1451" s="41">
        <v>1451</v>
      </c>
    </row>
    <row r="1452" spans="27:28" ht="21" customHeight="1">
      <c r="AA1452" s="41">
        <f t="shared" ca="1" si="42"/>
        <v>0</v>
      </c>
      <c r="AB1452" s="41">
        <v>1452</v>
      </c>
    </row>
    <row r="1453" spans="27:28" ht="21" customHeight="1">
      <c r="AA1453" s="41">
        <f t="shared" ca="1" si="42"/>
        <v>0</v>
      </c>
      <c r="AB1453" s="41">
        <v>1453</v>
      </c>
    </row>
    <row r="1454" spans="27:28" ht="21" customHeight="1">
      <c r="AA1454" s="41">
        <f t="shared" ca="1" si="42"/>
        <v>0</v>
      </c>
      <c r="AB1454" s="41">
        <v>1454</v>
      </c>
    </row>
    <row r="1455" spans="27:28" ht="21" customHeight="1">
      <c r="AA1455" s="41">
        <f t="shared" ca="1" si="42"/>
        <v>0</v>
      </c>
      <c r="AB1455" s="41">
        <v>1455</v>
      </c>
    </row>
    <row r="1456" spans="27:28" ht="21" customHeight="1">
      <c r="AA1456" s="41">
        <f t="shared" ca="1" si="42"/>
        <v>0</v>
      </c>
      <c r="AB1456" s="41">
        <v>1456</v>
      </c>
    </row>
    <row r="1457" spans="27:28" ht="21" customHeight="1">
      <c r="AA1457" s="41">
        <f t="shared" ca="1" si="42"/>
        <v>0</v>
      </c>
      <c r="AB1457" s="41">
        <v>1457</v>
      </c>
    </row>
    <row r="1458" spans="27:28" ht="21" customHeight="1">
      <c r="AA1458" s="41">
        <f t="shared" ca="1" si="42"/>
        <v>0</v>
      </c>
      <c r="AB1458" s="41">
        <v>1458</v>
      </c>
    </row>
    <row r="1459" spans="27:28" ht="21" customHeight="1">
      <c r="AA1459" s="41">
        <f t="shared" ca="1" si="42"/>
        <v>0</v>
      </c>
      <c r="AB1459" s="41">
        <v>1459</v>
      </c>
    </row>
    <row r="1460" spans="27:28" ht="21" customHeight="1">
      <c r="AA1460" s="41">
        <f t="shared" ca="1" si="42"/>
        <v>0</v>
      </c>
      <c r="AB1460" s="41">
        <v>1460</v>
      </c>
    </row>
    <row r="1461" spans="27:28" ht="21" customHeight="1">
      <c r="AA1461" s="41">
        <f t="shared" ca="1" si="42"/>
        <v>0</v>
      </c>
      <c r="AB1461" s="41">
        <v>1461</v>
      </c>
    </row>
    <row r="1462" spans="27:28" ht="21" customHeight="1">
      <c r="AA1462" s="41">
        <f t="shared" ca="1" si="42"/>
        <v>0</v>
      </c>
      <c r="AB1462" s="41">
        <v>1462</v>
      </c>
    </row>
    <row r="1463" spans="27:28" ht="21" customHeight="1">
      <c r="AA1463" s="41">
        <f t="shared" ca="1" si="42"/>
        <v>0</v>
      </c>
      <c r="AB1463" s="41">
        <v>1463</v>
      </c>
    </row>
    <row r="1464" spans="27:28" ht="21" customHeight="1">
      <c r="AA1464" s="41">
        <f t="shared" ca="1" si="42"/>
        <v>0</v>
      </c>
      <c r="AB1464" s="41">
        <v>1464</v>
      </c>
    </row>
    <row r="1465" spans="27:28" ht="21" customHeight="1">
      <c r="AA1465" s="41">
        <f t="shared" ca="1" si="42"/>
        <v>0</v>
      </c>
      <c r="AB1465" s="41">
        <v>1465</v>
      </c>
    </row>
    <row r="1466" spans="27:28" ht="21" customHeight="1">
      <c r="AA1466" s="41">
        <f t="shared" ca="1" si="42"/>
        <v>0</v>
      </c>
      <c r="AB1466" s="41">
        <v>1466</v>
      </c>
    </row>
    <row r="1467" spans="27:28" ht="21" customHeight="1">
      <c r="AA1467" s="41">
        <f t="shared" ca="1" si="42"/>
        <v>0</v>
      </c>
      <c r="AB1467" s="41">
        <v>1467</v>
      </c>
    </row>
    <row r="1468" spans="27:28" ht="21" customHeight="1">
      <c r="AA1468" s="41">
        <f t="shared" ca="1" si="42"/>
        <v>0</v>
      </c>
      <c r="AB1468" s="41">
        <v>1468</v>
      </c>
    </row>
    <row r="1469" spans="27:28" ht="21" customHeight="1">
      <c r="AA1469" s="41">
        <f t="shared" ca="1" si="42"/>
        <v>0</v>
      </c>
      <c r="AB1469" s="41">
        <v>1469</v>
      </c>
    </row>
    <row r="1470" spans="27:28" ht="21" customHeight="1">
      <c r="AA1470" s="41">
        <f t="shared" ca="1" si="42"/>
        <v>0</v>
      </c>
      <c r="AB1470" s="41">
        <v>1470</v>
      </c>
    </row>
    <row r="1471" spans="27:28" ht="21" customHeight="1">
      <c r="AA1471" s="41">
        <f t="shared" ca="1" si="42"/>
        <v>0</v>
      </c>
      <c r="AB1471" s="41">
        <v>1471</v>
      </c>
    </row>
    <row r="1472" spans="27:28" ht="21" customHeight="1">
      <c r="AA1472" s="41">
        <f t="shared" ca="1" si="42"/>
        <v>0</v>
      </c>
      <c r="AB1472" s="41">
        <v>1472</v>
      </c>
    </row>
    <row r="1473" spans="27:28" ht="21" customHeight="1">
      <c r="AA1473" s="41">
        <f t="shared" ca="1" si="42"/>
        <v>0</v>
      </c>
      <c r="AB1473" s="41">
        <v>1473</v>
      </c>
    </row>
    <row r="1474" spans="27:28" ht="21" customHeight="1">
      <c r="AA1474" s="41">
        <f t="shared" ca="1" si="42"/>
        <v>0</v>
      </c>
      <c r="AB1474" s="41">
        <v>1474</v>
      </c>
    </row>
    <row r="1475" spans="27:28" ht="21" customHeight="1">
      <c r="AA1475" s="41">
        <f t="shared" ca="1" si="42"/>
        <v>0</v>
      </c>
      <c r="AB1475" s="41">
        <v>1475</v>
      </c>
    </row>
    <row r="1476" spans="27:28" ht="21" customHeight="1">
      <c r="AA1476" s="41">
        <f t="shared" ca="1" si="42"/>
        <v>0</v>
      </c>
      <c r="AB1476" s="41">
        <v>1476</v>
      </c>
    </row>
    <row r="1477" spans="27:28" ht="21" customHeight="1">
      <c r="AA1477" s="41">
        <f t="shared" ref="AA1477:AA1540" ca="1" si="43">INDIRECT($W$6&amp;"!"&amp;"B"&amp;ROW(B1477))</f>
        <v>0</v>
      </c>
      <c r="AB1477" s="41">
        <v>1477</v>
      </c>
    </row>
    <row r="1478" spans="27:28" ht="21" customHeight="1">
      <c r="AA1478" s="41">
        <f t="shared" ca="1" si="43"/>
        <v>0</v>
      </c>
      <c r="AB1478" s="41">
        <v>1478</v>
      </c>
    </row>
    <row r="1479" spans="27:28" ht="21" customHeight="1">
      <c r="AA1479" s="41">
        <f t="shared" ca="1" si="43"/>
        <v>0</v>
      </c>
      <c r="AB1479" s="41">
        <v>1479</v>
      </c>
    </row>
    <row r="1480" spans="27:28" ht="21" customHeight="1">
      <c r="AA1480" s="41">
        <f t="shared" ca="1" si="43"/>
        <v>0</v>
      </c>
      <c r="AB1480" s="41">
        <v>1480</v>
      </c>
    </row>
    <row r="1481" spans="27:28" ht="21" customHeight="1">
      <c r="AA1481" s="41">
        <f t="shared" ca="1" si="43"/>
        <v>0</v>
      </c>
      <c r="AB1481" s="41">
        <v>1481</v>
      </c>
    </row>
    <row r="1482" spans="27:28" ht="21" customHeight="1">
      <c r="AA1482" s="41">
        <f t="shared" ca="1" si="43"/>
        <v>0</v>
      </c>
      <c r="AB1482" s="41">
        <v>1482</v>
      </c>
    </row>
    <row r="1483" spans="27:28" ht="21" customHeight="1">
      <c r="AA1483" s="41">
        <f t="shared" ca="1" si="43"/>
        <v>0</v>
      </c>
      <c r="AB1483" s="41">
        <v>1483</v>
      </c>
    </row>
    <row r="1484" spans="27:28" ht="21" customHeight="1">
      <c r="AA1484" s="41">
        <f t="shared" ca="1" si="43"/>
        <v>0</v>
      </c>
      <c r="AB1484" s="41">
        <v>1484</v>
      </c>
    </row>
    <row r="1485" spans="27:28" ht="21" customHeight="1">
      <c r="AA1485" s="41">
        <f t="shared" ca="1" si="43"/>
        <v>0</v>
      </c>
      <c r="AB1485" s="41">
        <v>1485</v>
      </c>
    </row>
    <row r="1486" spans="27:28" ht="21" customHeight="1">
      <c r="AA1486" s="41">
        <f t="shared" ca="1" si="43"/>
        <v>0</v>
      </c>
      <c r="AB1486" s="41">
        <v>1486</v>
      </c>
    </row>
    <row r="1487" spans="27:28" ht="21" customHeight="1">
      <c r="AA1487" s="41">
        <f t="shared" ca="1" si="43"/>
        <v>0</v>
      </c>
      <c r="AB1487" s="41">
        <v>1487</v>
      </c>
    </row>
    <row r="1488" spans="27:28" ht="21" customHeight="1">
      <c r="AA1488" s="41">
        <f t="shared" ca="1" si="43"/>
        <v>0</v>
      </c>
      <c r="AB1488" s="41">
        <v>1488</v>
      </c>
    </row>
    <row r="1489" spans="27:28" ht="21" customHeight="1">
      <c r="AA1489" s="41">
        <f t="shared" ca="1" si="43"/>
        <v>0</v>
      </c>
      <c r="AB1489" s="41">
        <v>1489</v>
      </c>
    </row>
    <row r="1490" spans="27:28" ht="21" customHeight="1">
      <c r="AA1490" s="41">
        <f t="shared" ca="1" si="43"/>
        <v>0</v>
      </c>
      <c r="AB1490" s="41">
        <v>1490</v>
      </c>
    </row>
    <row r="1491" spans="27:28" ht="21" customHeight="1">
      <c r="AA1491" s="41">
        <f t="shared" ca="1" si="43"/>
        <v>0</v>
      </c>
      <c r="AB1491" s="41">
        <v>1491</v>
      </c>
    </row>
    <row r="1492" spans="27:28" ht="21" customHeight="1">
      <c r="AA1492" s="41">
        <f t="shared" ca="1" si="43"/>
        <v>0</v>
      </c>
      <c r="AB1492" s="41">
        <v>1492</v>
      </c>
    </row>
    <row r="1493" spans="27:28" ht="21" customHeight="1">
      <c r="AA1493" s="41">
        <f t="shared" ca="1" si="43"/>
        <v>0</v>
      </c>
      <c r="AB1493" s="41">
        <v>1493</v>
      </c>
    </row>
    <row r="1494" spans="27:28" ht="21" customHeight="1">
      <c r="AA1494" s="41">
        <f t="shared" ca="1" si="43"/>
        <v>0</v>
      </c>
      <c r="AB1494" s="41">
        <v>1494</v>
      </c>
    </row>
    <row r="1495" spans="27:28" ht="21" customHeight="1">
      <c r="AA1495" s="41">
        <f t="shared" ca="1" si="43"/>
        <v>0</v>
      </c>
      <c r="AB1495" s="41">
        <v>1495</v>
      </c>
    </row>
    <row r="1496" spans="27:28" ht="21" customHeight="1">
      <c r="AA1496" s="41">
        <f t="shared" ca="1" si="43"/>
        <v>0</v>
      </c>
      <c r="AB1496" s="41">
        <v>1496</v>
      </c>
    </row>
    <row r="1497" spans="27:28" ht="21" customHeight="1">
      <c r="AA1497" s="41">
        <f t="shared" ca="1" si="43"/>
        <v>0</v>
      </c>
      <c r="AB1497" s="41">
        <v>1497</v>
      </c>
    </row>
    <row r="1498" spans="27:28" ht="21" customHeight="1">
      <c r="AA1498" s="41">
        <f t="shared" ca="1" si="43"/>
        <v>0</v>
      </c>
      <c r="AB1498" s="41">
        <v>1498</v>
      </c>
    </row>
    <row r="1499" spans="27:28" ht="21" customHeight="1">
      <c r="AA1499" s="41">
        <f t="shared" ca="1" si="43"/>
        <v>0</v>
      </c>
      <c r="AB1499" s="41">
        <v>1499</v>
      </c>
    </row>
    <row r="1500" spans="27:28" ht="21" customHeight="1">
      <c r="AA1500" s="41">
        <f t="shared" ca="1" si="43"/>
        <v>0</v>
      </c>
      <c r="AB1500" s="41">
        <v>1500</v>
      </c>
    </row>
    <row r="1501" spans="27:28" ht="21" customHeight="1">
      <c r="AA1501" s="41">
        <f t="shared" ca="1" si="43"/>
        <v>0</v>
      </c>
      <c r="AB1501" s="41">
        <v>1501</v>
      </c>
    </row>
    <row r="1502" spans="27:28" ht="21" customHeight="1">
      <c r="AA1502" s="41">
        <f t="shared" ca="1" si="43"/>
        <v>0</v>
      </c>
      <c r="AB1502" s="41">
        <v>1502</v>
      </c>
    </row>
    <row r="1503" spans="27:28" ht="21" customHeight="1">
      <c r="AA1503" s="41">
        <f t="shared" ca="1" si="43"/>
        <v>0</v>
      </c>
      <c r="AB1503" s="41">
        <v>1503</v>
      </c>
    </row>
    <row r="1504" spans="27:28" ht="21" customHeight="1">
      <c r="AA1504" s="41">
        <f t="shared" ca="1" si="43"/>
        <v>0</v>
      </c>
      <c r="AB1504" s="41">
        <v>1504</v>
      </c>
    </row>
    <row r="1505" spans="27:28" ht="21" customHeight="1">
      <c r="AA1505" s="41">
        <f t="shared" ca="1" si="43"/>
        <v>0</v>
      </c>
      <c r="AB1505" s="41">
        <v>1505</v>
      </c>
    </row>
    <row r="1506" spans="27:28" ht="21" customHeight="1">
      <c r="AA1506" s="41">
        <f t="shared" ca="1" si="43"/>
        <v>0</v>
      </c>
      <c r="AB1506" s="41">
        <v>1506</v>
      </c>
    </row>
    <row r="1507" spans="27:28" ht="21" customHeight="1">
      <c r="AA1507" s="41">
        <f t="shared" ca="1" si="43"/>
        <v>0</v>
      </c>
      <c r="AB1507" s="41">
        <v>1507</v>
      </c>
    </row>
    <row r="1508" spans="27:28" ht="21" customHeight="1">
      <c r="AA1508" s="41">
        <f t="shared" ca="1" si="43"/>
        <v>0</v>
      </c>
      <c r="AB1508" s="41">
        <v>1508</v>
      </c>
    </row>
    <row r="1509" spans="27:28" ht="21" customHeight="1">
      <c r="AA1509" s="41">
        <f t="shared" ca="1" si="43"/>
        <v>0</v>
      </c>
      <c r="AB1509" s="41">
        <v>1509</v>
      </c>
    </row>
    <row r="1510" spans="27:28" ht="21" customHeight="1">
      <c r="AA1510" s="41">
        <f t="shared" ca="1" si="43"/>
        <v>0</v>
      </c>
      <c r="AB1510" s="41">
        <v>1510</v>
      </c>
    </row>
    <row r="1511" spans="27:28" ht="21" customHeight="1">
      <c r="AA1511" s="41">
        <f t="shared" ca="1" si="43"/>
        <v>0</v>
      </c>
      <c r="AB1511" s="41">
        <v>1511</v>
      </c>
    </row>
    <row r="1512" spans="27:28" ht="21" customHeight="1">
      <c r="AA1512" s="41">
        <f t="shared" ca="1" si="43"/>
        <v>0</v>
      </c>
      <c r="AB1512" s="41">
        <v>1512</v>
      </c>
    </row>
    <row r="1513" spans="27:28" ht="21" customHeight="1">
      <c r="AA1513" s="41">
        <f t="shared" ca="1" si="43"/>
        <v>0</v>
      </c>
      <c r="AB1513" s="41">
        <v>1513</v>
      </c>
    </row>
    <row r="1514" spans="27:28" ht="21" customHeight="1">
      <c r="AA1514" s="41">
        <f t="shared" ca="1" si="43"/>
        <v>0</v>
      </c>
      <c r="AB1514" s="41">
        <v>1514</v>
      </c>
    </row>
    <row r="1515" spans="27:28" ht="21" customHeight="1">
      <c r="AA1515" s="41">
        <f t="shared" ca="1" si="43"/>
        <v>0</v>
      </c>
      <c r="AB1515" s="41">
        <v>1515</v>
      </c>
    </row>
    <row r="1516" spans="27:28" ht="21" customHeight="1">
      <c r="AA1516" s="41">
        <f t="shared" ca="1" si="43"/>
        <v>0</v>
      </c>
      <c r="AB1516" s="41">
        <v>1516</v>
      </c>
    </row>
    <row r="1517" spans="27:28" ht="21" customHeight="1">
      <c r="AA1517" s="41">
        <f t="shared" ca="1" si="43"/>
        <v>0</v>
      </c>
      <c r="AB1517" s="41">
        <v>1517</v>
      </c>
    </row>
    <row r="1518" spans="27:28" ht="21" customHeight="1">
      <c r="AA1518" s="41">
        <f t="shared" ca="1" si="43"/>
        <v>0</v>
      </c>
      <c r="AB1518" s="41">
        <v>1518</v>
      </c>
    </row>
    <row r="1519" spans="27:28" ht="21" customHeight="1">
      <c r="AA1519" s="41">
        <f t="shared" ca="1" si="43"/>
        <v>0</v>
      </c>
      <c r="AB1519" s="41">
        <v>1519</v>
      </c>
    </row>
    <row r="1520" spans="27:28" ht="21" customHeight="1">
      <c r="AA1520" s="41">
        <f t="shared" ca="1" si="43"/>
        <v>0</v>
      </c>
      <c r="AB1520" s="41">
        <v>1520</v>
      </c>
    </row>
    <row r="1521" spans="27:28" ht="21" customHeight="1">
      <c r="AA1521" s="41">
        <f t="shared" ca="1" si="43"/>
        <v>0</v>
      </c>
      <c r="AB1521" s="41">
        <v>1521</v>
      </c>
    </row>
    <row r="1522" spans="27:28" ht="21" customHeight="1">
      <c r="AA1522" s="41">
        <f t="shared" ca="1" si="43"/>
        <v>0</v>
      </c>
      <c r="AB1522" s="41">
        <v>1522</v>
      </c>
    </row>
    <row r="1523" spans="27:28" ht="21" customHeight="1">
      <c r="AA1523" s="41">
        <f t="shared" ca="1" si="43"/>
        <v>0</v>
      </c>
      <c r="AB1523" s="41">
        <v>1523</v>
      </c>
    </row>
    <row r="1524" spans="27:28" ht="21" customHeight="1">
      <c r="AA1524" s="41">
        <f t="shared" ca="1" si="43"/>
        <v>0</v>
      </c>
      <c r="AB1524" s="41">
        <v>1524</v>
      </c>
    </row>
    <row r="1525" spans="27:28" ht="21" customHeight="1">
      <c r="AA1525" s="41">
        <f t="shared" ca="1" si="43"/>
        <v>0</v>
      </c>
      <c r="AB1525" s="41">
        <v>1525</v>
      </c>
    </row>
    <row r="1526" spans="27:28" ht="21" customHeight="1">
      <c r="AA1526" s="41">
        <f t="shared" ca="1" si="43"/>
        <v>0</v>
      </c>
      <c r="AB1526" s="41">
        <v>1526</v>
      </c>
    </row>
    <row r="1527" spans="27:28" ht="21" customHeight="1">
      <c r="AA1527" s="41">
        <f t="shared" ca="1" si="43"/>
        <v>0</v>
      </c>
      <c r="AB1527" s="41">
        <v>1527</v>
      </c>
    </row>
    <row r="1528" spans="27:28" ht="21" customHeight="1">
      <c r="AA1528" s="41">
        <f t="shared" ca="1" si="43"/>
        <v>0</v>
      </c>
      <c r="AB1528" s="41">
        <v>1528</v>
      </c>
    </row>
    <row r="1529" spans="27:28" ht="21" customHeight="1">
      <c r="AA1529" s="41">
        <f t="shared" ca="1" si="43"/>
        <v>0</v>
      </c>
      <c r="AB1529" s="41">
        <v>1529</v>
      </c>
    </row>
    <row r="1530" spans="27:28" ht="21" customHeight="1">
      <c r="AA1530" s="41">
        <f t="shared" ca="1" si="43"/>
        <v>0</v>
      </c>
      <c r="AB1530" s="41">
        <v>1530</v>
      </c>
    </row>
    <row r="1531" spans="27:28" ht="21" customHeight="1">
      <c r="AA1531" s="41">
        <f t="shared" ca="1" si="43"/>
        <v>0</v>
      </c>
      <c r="AB1531" s="41">
        <v>1531</v>
      </c>
    </row>
    <row r="1532" spans="27:28" ht="21" customHeight="1">
      <c r="AA1532" s="41">
        <f t="shared" ca="1" si="43"/>
        <v>0</v>
      </c>
      <c r="AB1532" s="41">
        <v>1532</v>
      </c>
    </row>
    <row r="1533" spans="27:28" ht="21" customHeight="1">
      <c r="AA1533" s="41">
        <f t="shared" ca="1" si="43"/>
        <v>0</v>
      </c>
      <c r="AB1533" s="41">
        <v>1533</v>
      </c>
    </row>
    <row r="1534" spans="27:28" ht="21" customHeight="1">
      <c r="AA1534" s="41">
        <f t="shared" ca="1" si="43"/>
        <v>0</v>
      </c>
      <c r="AB1534" s="41">
        <v>1534</v>
      </c>
    </row>
    <row r="1535" spans="27:28" ht="21" customHeight="1">
      <c r="AA1535" s="41">
        <f t="shared" ca="1" si="43"/>
        <v>0</v>
      </c>
      <c r="AB1535" s="41">
        <v>1535</v>
      </c>
    </row>
    <row r="1536" spans="27:28" ht="21" customHeight="1">
      <c r="AA1536" s="41">
        <f t="shared" ca="1" si="43"/>
        <v>0</v>
      </c>
      <c r="AB1536" s="41">
        <v>1536</v>
      </c>
    </row>
    <row r="1537" spans="27:28" ht="21" customHeight="1">
      <c r="AA1537" s="41">
        <f t="shared" ca="1" si="43"/>
        <v>0</v>
      </c>
      <c r="AB1537" s="41">
        <v>1537</v>
      </c>
    </row>
    <row r="1538" spans="27:28" ht="21" customHeight="1">
      <c r="AA1538" s="41">
        <f t="shared" ca="1" si="43"/>
        <v>0</v>
      </c>
      <c r="AB1538" s="41">
        <v>1538</v>
      </c>
    </row>
    <row r="1539" spans="27:28" ht="21" customHeight="1">
      <c r="AA1539" s="41">
        <f t="shared" ca="1" si="43"/>
        <v>0</v>
      </c>
      <c r="AB1539" s="41">
        <v>1539</v>
      </c>
    </row>
    <row r="1540" spans="27:28" ht="21" customHeight="1">
      <c r="AA1540" s="41">
        <f t="shared" ca="1" si="43"/>
        <v>0</v>
      </c>
      <c r="AB1540" s="41">
        <v>1540</v>
      </c>
    </row>
    <row r="1541" spans="27:28" ht="21" customHeight="1">
      <c r="AA1541" s="41">
        <f t="shared" ref="AA1541:AA1604" ca="1" si="44">INDIRECT($W$6&amp;"!"&amp;"B"&amp;ROW(B1541))</f>
        <v>0</v>
      </c>
      <c r="AB1541" s="41">
        <v>1541</v>
      </c>
    </row>
    <row r="1542" spans="27:28" ht="21" customHeight="1">
      <c r="AA1542" s="41">
        <f t="shared" ca="1" si="44"/>
        <v>0</v>
      </c>
      <c r="AB1542" s="41">
        <v>1542</v>
      </c>
    </row>
    <row r="1543" spans="27:28" ht="21" customHeight="1">
      <c r="AA1543" s="41">
        <f t="shared" ca="1" si="44"/>
        <v>0</v>
      </c>
      <c r="AB1543" s="41">
        <v>1543</v>
      </c>
    </row>
    <row r="1544" spans="27:28" ht="21" customHeight="1">
      <c r="AA1544" s="41">
        <f t="shared" ca="1" si="44"/>
        <v>0</v>
      </c>
      <c r="AB1544" s="41">
        <v>1544</v>
      </c>
    </row>
    <row r="1545" spans="27:28" ht="21" customHeight="1">
      <c r="AA1545" s="41">
        <f t="shared" ca="1" si="44"/>
        <v>0</v>
      </c>
      <c r="AB1545" s="41">
        <v>1545</v>
      </c>
    </row>
    <row r="1546" spans="27:28" ht="21" customHeight="1">
      <c r="AA1546" s="41">
        <f t="shared" ca="1" si="44"/>
        <v>0</v>
      </c>
      <c r="AB1546" s="41">
        <v>1546</v>
      </c>
    </row>
    <row r="1547" spans="27:28" ht="21" customHeight="1">
      <c r="AA1547" s="41">
        <f t="shared" ca="1" si="44"/>
        <v>0</v>
      </c>
      <c r="AB1547" s="41">
        <v>1547</v>
      </c>
    </row>
    <row r="1548" spans="27:28" ht="21" customHeight="1">
      <c r="AA1548" s="41">
        <f t="shared" ca="1" si="44"/>
        <v>0</v>
      </c>
      <c r="AB1548" s="41">
        <v>1548</v>
      </c>
    </row>
    <row r="1549" spans="27:28" ht="21" customHeight="1">
      <c r="AA1549" s="41">
        <f t="shared" ca="1" si="44"/>
        <v>0</v>
      </c>
      <c r="AB1549" s="41">
        <v>1549</v>
      </c>
    </row>
    <row r="1550" spans="27:28" ht="21" customHeight="1">
      <c r="AA1550" s="41">
        <f t="shared" ca="1" si="44"/>
        <v>0</v>
      </c>
      <c r="AB1550" s="41">
        <v>1550</v>
      </c>
    </row>
    <row r="1551" spans="27:28" ht="21" customHeight="1">
      <c r="AA1551" s="41">
        <f t="shared" ca="1" si="44"/>
        <v>0</v>
      </c>
      <c r="AB1551" s="41">
        <v>1551</v>
      </c>
    </row>
    <row r="1552" spans="27:28" ht="21" customHeight="1">
      <c r="AA1552" s="41">
        <f t="shared" ca="1" si="44"/>
        <v>0</v>
      </c>
      <c r="AB1552" s="41">
        <v>1552</v>
      </c>
    </row>
    <row r="1553" spans="27:28" ht="21" customHeight="1">
      <c r="AA1553" s="41">
        <f t="shared" ca="1" si="44"/>
        <v>0</v>
      </c>
      <c r="AB1553" s="41">
        <v>1553</v>
      </c>
    </row>
    <row r="1554" spans="27:28" ht="21" customHeight="1">
      <c r="AA1554" s="41">
        <f t="shared" ca="1" si="44"/>
        <v>0</v>
      </c>
      <c r="AB1554" s="41">
        <v>1554</v>
      </c>
    </row>
    <row r="1555" spans="27:28" ht="21" customHeight="1">
      <c r="AA1555" s="41">
        <f t="shared" ca="1" si="44"/>
        <v>0</v>
      </c>
      <c r="AB1555" s="41">
        <v>1555</v>
      </c>
    </row>
    <row r="1556" spans="27:28" ht="21" customHeight="1">
      <c r="AA1556" s="41">
        <f t="shared" ca="1" si="44"/>
        <v>0</v>
      </c>
      <c r="AB1556" s="41">
        <v>1556</v>
      </c>
    </row>
    <row r="1557" spans="27:28" ht="21" customHeight="1">
      <c r="AA1557" s="41">
        <f t="shared" ca="1" si="44"/>
        <v>0</v>
      </c>
      <c r="AB1557" s="41">
        <v>1557</v>
      </c>
    </row>
    <row r="1558" spans="27:28" ht="21" customHeight="1">
      <c r="AA1558" s="41">
        <f t="shared" ca="1" si="44"/>
        <v>0</v>
      </c>
      <c r="AB1558" s="41">
        <v>1558</v>
      </c>
    </row>
    <row r="1559" spans="27:28" ht="21" customHeight="1">
      <c r="AA1559" s="41">
        <f t="shared" ca="1" si="44"/>
        <v>0</v>
      </c>
      <c r="AB1559" s="41">
        <v>1559</v>
      </c>
    </row>
    <row r="1560" spans="27:28" ht="21" customHeight="1">
      <c r="AA1560" s="41">
        <f t="shared" ca="1" si="44"/>
        <v>0</v>
      </c>
      <c r="AB1560" s="41">
        <v>1560</v>
      </c>
    </row>
    <row r="1561" spans="27:28" ht="21" customHeight="1">
      <c r="AA1561" s="41">
        <f t="shared" ca="1" si="44"/>
        <v>0</v>
      </c>
      <c r="AB1561" s="41">
        <v>1561</v>
      </c>
    </row>
    <row r="1562" spans="27:28" ht="21" customHeight="1">
      <c r="AA1562" s="41">
        <f t="shared" ca="1" si="44"/>
        <v>0</v>
      </c>
      <c r="AB1562" s="41">
        <v>1562</v>
      </c>
    </row>
    <row r="1563" spans="27:28" ht="21" customHeight="1">
      <c r="AA1563" s="41">
        <f t="shared" ca="1" si="44"/>
        <v>0</v>
      </c>
      <c r="AB1563" s="41">
        <v>1563</v>
      </c>
    </row>
    <row r="1564" spans="27:28" ht="21" customHeight="1">
      <c r="AA1564" s="41">
        <f t="shared" ca="1" si="44"/>
        <v>0</v>
      </c>
      <c r="AB1564" s="41">
        <v>1564</v>
      </c>
    </row>
    <row r="1565" spans="27:28" ht="21" customHeight="1">
      <c r="AA1565" s="41">
        <f t="shared" ca="1" si="44"/>
        <v>0</v>
      </c>
      <c r="AB1565" s="41">
        <v>1565</v>
      </c>
    </row>
    <row r="1566" spans="27:28" ht="21" customHeight="1">
      <c r="AA1566" s="41">
        <f t="shared" ca="1" si="44"/>
        <v>0</v>
      </c>
      <c r="AB1566" s="41">
        <v>1566</v>
      </c>
    </row>
    <row r="1567" spans="27:28" ht="21" customHeight="1">
      <c r="AA1567" s="41">
        <f t="shared" ca="1" si="44"/>
        <v>0</v>
      </c>
      <c r="AB1567" s="41">
        <v>1567</v>
      </c>
    </row>
    <row r="1568" spans="27:28" ht="21" customHeight="1">
      <c r="AA1568" s="41">
        <f t="shared" ca="1" si="44"/>
        <v>0</v>
      </c>
      <c r="AB1568" s="41">
        <v>1568</v>
      </c>
    </row>
    <row r="1569" spans="27:28" ht="21" customHeight="1">
      <c r="AA1569" s="41">
        <f t="shared" ca="1" si="44"/>
        <v>0</v>
      </c>
      <c r="AB1569" s="41">
        <v>1569</v>
      </c>
    </row>
    <row r="1570" spans="27:28" ht="21" customHeight="1">
      <c r="AA1570" s="41">
        <f t="shared" ca="1" si="44"/>
        <v>0</v>
      </c>
      <c r="AB1570" s="41">
        <v>1570</v>
      </c>
    </row>
    <row r="1571" spans="27:28" ht="21" customHeight="1">
      <c r="AA1571" s="41">
        <f t="shared" ca="1" si="44"/>
        <v>0</v>
      </c>
      <c r="AB1571" s="41">
        <v>1571</v>
      </c>
    </row>
    <row r="1572" spans="27:28" ht="21" customHeight="1">
      <c r="AA1572" s="41">
        <f t="shared" ca="1" si="44"/>
        <v>0</v>
      </c>
      <c r="AB1572" s="41">
        <v>1572</v>
      </c>
    </row>
    <row r="1573" spans="27:28" ht="21" customHeight="1">
      <c r="AA1573" s="41">
        <f t="shared" ca="1" si="44"/>
        <v>0</v>
      </c>
      <c r="AB1573" s="41">
        <v>1573</v>
      </c>
    </row>
    <row r="1574" spans="27:28" ht="21" customHeight="1">
      <c r="AA1574" s="41">
        <f t="shared" ca="1" si="44"/>
        <v>0</v>
      </c>
      <c r="AB1574" s="41">
        <v>1574</v>
      </c>
    </row>
    <row r="1575" spans="27:28" ht="21" customHeight="1">
      <c r="AA1575" s="41">
        <f t="shared" ca="1" si="44"/>
        <v>0</v>
      </c>
      <c r="AB1575" s="41">
        <v>1575</v>
      </c>
    </row>
    <row r="1576" spans="27:28" ht="21" customHeight="1">
      <c r="AA1576" s="41">
        <f t="shared" ca="1" si="44"/>
        <v>0</v>
      </c>
      <c r="AB1576" s="41">
        <v>1576</v>
      </c>
    </row>
    <row r="1577" spans="27:28" ht="21" customHeight="1">
      <c r="AA1577" s="41">
        <f t="shared" ca="1" si="44"/>
        <v>0</v>
      </c>
      <c r="AB1577" s="41">
        <v>1577</v>
      </c>
    </row>
    <row r="1578" spans="27:28" ht="21" customHeight="1">
      <c r="AA1578" s="41">
        <f t="shared" ca="1" si="44"/>
        <v>0</v>
      </c>
      <c r="AB1578" s="41">
        <v>1578</v>
      </c>
    </row>
    <row r="1579" spans="27:28" ht="21" customHeight="1">
      <c r="AA1579" s="41">
        <f t="shared" ca="1" si="44"/>
        <v>0</v>
      </c>
      <c r="AB1579" s="41">
        <v>1579</v>
      </c>
    </row>
    <row r="1580" spans="27:28" ht="21" customHeight="1">
      <c r="AA1580" s="41">
        <f t="shared" ca="1" si="44"/>
        <v>0</v>
      </c>
      <c r="AB1580" s="41">
        <v>1580</v>
      </c>
    </row>
    <row r="1581" spans="27:28" ht="21" customHeight="1">
      <c r="AA1581" s="41">
        <f t="shared" ca="1" si="44"/>
        <v>0</v>
      </c>
      <c r="AB1581" s="41">
        <v>1581</v>
      </c>
    </row>
    <row r="1582" spans="27:28" ht="21" customHeight="1">
      <c r="AA1582" s="41">
        <f t="shared" ca="1" si="44"/>
        <v>0</v>
      </c>
      <c r="AB1582" s="41">
        <v>1582</v>
      </c>
    </row>
    <row r="1583" spans="27:28" ht="21" customHeight="1">
      <c r="AA1583" s="41">
        <f t="shared" ca="1" si="44"/>
        <v>0</v>
      </c>
      <c r="AB1583" s="41">
        <v>1583</v>
      </c>
    </row>
    <row r="1584" spans="27:28" ht="21" customHeight="1">
      <c r="AA1584" s="41">
        <f t="shared" ca="1" si="44"/>
        <v>0</v>
      </c>
      <c r="AB1584" s="41">
        <v>1584</v>
      </c>
    </row>
    <row r="1585" spans="27:28" ht="21" customHeight="1">
      <c r="AA1585" s="41">
        <f t="shared" ca="1" si="44"/>
        <v>0</v>
      </c>
      <c r="AB1585" s="41">
        <v>1585</v>
      </c>
    </row>
    <row r="1586" spans="27:28" ht="21" customHeight="1">
      <c r="AA1586" s="41">
        <f t="shared" ca="1" si="44"/>
        <v>0</v>
      </c>
      <c r="AB1586" s="41">
        <v>1586</v>
      </c>
    </row>
    <row r="1587" spans="27:28" ht="21" customHeight="1">
      <c r="AA1587" s="41">
        <f t="shared" ca="1" si="44"/>
        <v>0</v>
      </c>
      <c r="AB1587" s="41">
        <v>1587</v>
      </c>
    </row>
    <row r="1588" spans="27:28" ht="21" customHeight="1">
      <c r="AA1588" s="41">
        <f t="shared" ca="1" si="44"/>
        <v>0</v>
      </c>
      <c r="AB1588" s="41">
        <v>1588</v>
      </c>
    </row>
    <row r="1589" spans="27:28" ht="21" customHeight="1">
      <c r="AA1589" s="41">
        <f t="shared" ca="1" si="44"/>
        <v>0</v>
      </c>
      <c r="AB1589" s="41">
        <v>1589</v>
      </c>
    </row>
    <row r="1590" spans="27:28" ht="21" customHeight="1">
      <c r="AA1590" s="41">
        <f t="shared" ca="1" si="44"/>
        <v>0</v>
      </c>
      <c r="AB1590" s="41">
        <v>1590</v>
      </c>
    </row>
    <row r="1591" spans="27:28" ht="21" customHeight="1">
      <c r="AA1591" s="41">
        <f t="shared" ca="1" si="44"/>
        <v>0</v>
      </c>
      <c r="AB1591" s="41">
        <v>1591</v>
      </c>
    </row>
    <row r="1592" spans="27:28" ht="21" customHeight="1">
      <c r="AA1592" s="41">
        <f t="shared" ca="1" si="44"/>
        <v>0</v>
      </c>
      <c r="AB1592" s="41">
        <v>1592</v>
      </c>
    </row>
    <row r="1593" spans="27:28" ht="21" customHeight="1">
      <c r="AA1593" s="41">
        <f t="shared" ca="1" si="44"/>
        <v>0</v>
      </c>
      <c r="AB1593" s="41">
        <v>1593</v>
      </c>
    </row>
    <row r="1594" spans="27:28" ht="21" customHeight="1">
      <c r="AA1594" s="41">
        <f t="shared" ca="1" si="44"/>
        <v>0</v>
      </c>
      <c r="AB1594" s="41">
        <v>1594</v>
      </c>
    </row>
    <row r="1595" spans="27:28" ht="21" customHeight="1">
      <c r="AA1595" s="41">
        <f t="shared" ca="1" si="44"/>
        <v>0</v>
      </c>
      <c r="AB1595" s="41">
        <v>1595</v>
      </c>
    </row>
    <row r="1596" spans="27:28" ht="21" customHeight="1">
      <c r="AA1596" s="41">
        <f t="shared" ca="1" si="44"/>
        <v>0</v>
      </c>
      <c r="AB1596" s="41">
        <v>1596</v>
      </c>
    </row>
    <row r="1597" spans="27:28" ht="21" customHeight="1">
      <c r="AA1597" s="41">
        <f t="shared" ca="1" si="44"/>
        <v>0</v>
      </c>
      <c r="AB1597" s="41">
        <v>1597</v>
      </c>
    </row>
    <row r="1598" spans="27:28" ht="21" customHeight="1">
      <c r="AA1598" s="41">
        <f t="shared" ca="1" si="44"/>
        <v>0</v>
      </c>
      <c r="AB1598" s="41">
        <v>1598</v>
      </c>
    </row>
    <row r="1599" spans="27:28" ht="21" customHeight="1">
      <c r="AA1599" s="41">
        <f t="shared" ca="1" si="44"/>
        <v>0</v>
      </c>
      <c r="AB1599" s="41">
        <v>1599</v>
      </c>
    </row>
    <row r="1600" spans="27:28" ht="21" customHeight="1">
      <c r="AA1600" s="41">
        <f t="shared" ca="1" si="44"/>
        <v>0</v>
      </c>
      <c r="AB1600" s="41">
        <v>1600</v>
      </c>
    </row>
    <row r="1601" spans="27:28" ht="21" customHeight="1">
      <c r="AA1601" s="41">
        <f t="shared" ca="1" si="44"/>
        <v>0</v>
      </c>
      <c r="AB1601" s="41">
        <v>1601</v>
      </c>
    </row>
    <row r="1602" spans="27:28" ht="21" customHeight="1">
      <c r="AA1602" s="41">
        <f t="shared" ca="1" si="44"/>
        <v>0</v>
      </c>
      <c r="AB1602" s="41">
        <v>1602</v>
      </c>
    </row>
    <row r="1603" spans="27:28" ht="21" customHeight="1">
      <c r="AA1603" s="41">
        <f t="shared" ca="1" si="44"/>
        <v>0</v>
      </c>
      <c r="AB1603" s="41">
        <v>1603</v>
      </c>
    </row>
    <row r="1604" spans="27:28" ht="21" customHeight="1">
      <c r="AA1604" s="41">
        <f t="shared" ca="1" si="44"/>
        <v>0</v>
      </c>
      <c r="AB1604" s="41">
        <v>1604</v>
      </c>
    </row>
    <row r="1605" spans="27:28" ht="21" customHeight="1">
      <c r="AA1605" s="41">
        <f t="shared" ref="AA1605:AA1668" ca="1" si="45">INDIRECT($W$6&amp;"!"&amp;"B"&amp;ROW(B1605))</f>
        <v>0</v>
      </c>
      <c r="AB1605" s="41">
        <v>1605</v>
      </c>
    </row>
    <row r="1606" spans="27:28" ht="21" customHeight="1">
      <c r="AA1606" s="41">
        <f t="shared" ca="1" si="45"/>
        <v>0</v>
      </c>
      <c r="AB1606" s="41">
        <v>1606</v>
      </c>
    </row>
    <row r="1607" spans="27:28" ht="21" customHeight="1">
      <c r="AA1607" s="41">
        <f t="shared" ca="1" si="45"/>
        <v>0</v>
      </c>
      <c r="AB1607" s="41">
        <v>1607</v>
      </c>
    </row>
    <row r="1608" spans="27:28" ht="21" customHeight="1">
      <c r="AA1608" s="41">
        <f t="shared" ca="1" si="45"/>
        <v>0</v>
      </c>
      <c r="AB1608" s="41">
        <v>1608</v>
      </c>
    </row>
    <row r="1609" spans="27:28" ht="21" customHeight="1">
      <c r="AA1609" s="41">
        <f t="shared" ca="1" si="45"/>
        <v>0</v>
      </c>
      <c r="AB1609" s="41">
        <v>1609</v>
      </c>
    </row>
    <row r="1610" spans="27:28" ht="21" customHeight="1">
      <c r="AA1610" s="41">
        <f t="shared" ca="1" si="45"/>
        <v>0</v>
      </c>
      <c r="AB1610" s="41">
        <v>1610</v>
      </c>
    </row>
    <row r="1611" spans="27:28" ht="21" customHeight="1">
      <c r="AA1611" s="41">
        <f t="shared" ca="1" si="45"/>
        <v>0</v>
      </c>
      <c r="AB1611" s="41">
        <v>1611</v>
      </c>
    </row>
    <row r="1612" spans="27:28" ht="21" customHeight="1">
      <c r="AA1612" s="41">
        <f t="shared" ca="1" si="45"/>
        <v>0</v>
      </c>
      <c r="AB1612" s="41">
        <v>1612</v>
      </c>
    </row>
    <row r="1613" spans="27:28" ht="21" customHeight="1">
      <c r="AA1613" s="41">
        <f t="shared" ca="1" si="45"/>
        <v>0</v>
      </c>
      <c r="AB1613" s="41">
        <v>1613</v>
      </c>
    </row>
    <row r="1614" spans="27:28" ht="21" customHeight="1">
      <c r="AA1614" s="41">
        <f t="shared" ca="1" si="45"/>
        <v>0</v>
      </c>
      <c r="AB1614" s="41">
        <v>1614</v>
      </c>
    </row>
    <row r="1615" spans="27:28" ht="21" customHeight="1">
      <c r="AA1615" s="41">
        <f t="shared" ca="1" si="45"/>
        <v>0</v>
      </c>
      <c r="AB1615" s="41">
        <v>1615</v>
      </c>
    </row>
    <row r="1616" spans="27:28" ht="21" customHeight="1">
      <c r="AA1616" s="41">
        <f t="shared" ca="1" si="45"/>
        <v>0</v>
      </c>
      <c r="AB1616" s="41">
        <v>1616</v>
      </c>
    </row>
    <row r="1617" spans="27:28" ht="21" customHeight="1">
      <c r="AA1617" s="41">
        <f t="shared" ca="1" si="45"/>
        <v>0</v>
      </c>
      <c r="AB1617" s="41">
        <v>1617</v>
      </c>
    </row>
    <row r="1618" spans="27:28" ht="21" customHeight="1">
      <c r="AA1618" s="41">
        <f t="shared" ca="1" si="45"/>
        <v>0</v>
      </c>
      <c r="AB1618" s="41">
        <v>1618</v>
      </c>
    </row>
    <row r="1619" spans="27:28" ht="21" customHeight="1">
      <c r="AA1619" s="41">
        <f t="shared" ca="1" si="45"/>
        <v>0</v>
      </c>
      <c r="AB1619" s="41">
        <v>1619</v>
      </c>
    </row>
    <row r="1620" spans="27:28" ht="21" customHeight="1">
      <c r="AA1620" s="41">
        <f t="shared" ca="1" si="45"/>
        <v>0</v>
      </c>
      <c r="AB1620" s="41">
        <v>1620</v>
      </c>
    </row>
    <row r="1621" spans="27:28" ht="21" customHeight="1">
      <c r="AA1621" s="41">
        <f t="shared" ca="1" si="45"/>
        <v>0</v>
      </c>
      <c r="AB1621" s="41">
        <v>1621</v>
      </c>
    </row>
    <row r="1622" spans="27:28" ht="21" customHeight="1">
      <c r="AA1622" s="41">
        <f t="shared" ca="1" si="45"/>
        <v>0</v>
      </c>
      <c r="AB1622" s="41">
        <v>1622</v>
      </c>
    </row>
    <row r="1623" spans="27:28" ht="21" customHeight="1">
      <c r="AA1623" s="41">
        <f t="shared" ca="1" si="45"/>
        <v>0</v>
      </c>
      <c r="AB1623" s="41">
        <v>1623</v>
      </c>
    </row>
    <row r="1624" spans="27:28" ht="21" customHeight="1">
      <c r="AA1624" s="41">
        <f t="shared" ca="1" si="45"/>
        <v>0</v>
      </c>
      <c r="AB1624" s="41">
        <v>1624</v>
      </c>
    </row>
    <row r="1625" spans="27:28" ht="21" customHeight="1">
      <c r="AA1625" s="41">
        <f t="shared" ca="1" si="45"/>
        <v>0</v>
      </c>
      <c r="AB1625" s="41">
        <v>1625</v>
      </c>
    </row>
    <row r="1626" spans="27:28" ht="21" customHeight="1">
      <c r="AA1626" s="41">
        <f t="shared" ca="1" si="45"/>
        <v>0</v>
      </c>
      <c r="AB1626" s="41">
        <v>1626</v>
      </c>
    </row>
    <row r="1627" spans="27:28" ht="21" customHeight="1">
      <c r="AA1627" s="41">
        <f t="shared" ca="1" si="45"/>
        <v>0</v>
      </c>
      <c r="AB1627" s="41">
        <v>1627</v>
      </c>
    </row>
    <row r="1628" spans="27:28" ht="21" customHeight="1">
      <c r="AA1628" s="41">
        <f t="shared" ca="1" si="45"/>
        <v>0</v>
      </c>
      <c r="AB1628" s="41">
        <v>1628</v>
      </c>
    </row>
    <row r="1629" spans="27:28" ht="21" customHeight="1">
      <c r="AA1629" s="41">
        <f t="shared" ca="1" si="45"/>
        <v>0</v>
      </c>
      <c r="AB1629" s="41">
        <v>1629</v>
      </c>
    </row>
    <row r="1630" spans="27:28" ht="21" customHeight="1">
      <c r="AA1630" s="41">
        <f t="shared" ca="1" si="45"/>
        <v>0</v>
      </c>
      <c r="AB1630" s="41">
        <v>1630</v>
      </c>
    </row>
    <row r="1631" spans="27:28" ht="21" customHeight="1">
      <c r="AA1631" s="41">
        <f t="shared" ca="1" si="45"/>
        <v>0</v>
      </c>
      <c r="AB1631" s="41">
        <v>1631</v>
      </c>
    </row>
    <row r="1632" spans="27:28" ht="21" customHeight="1">
      <c r="AA1632" s="41">
        <f t="shared" ca="1" si="45"/>
        <v>0</v>
      </c>
      <c r="AB1632" s="41">
        <v>1632</v>
      </c>
    </row>
    <row r="1633" spans="27:28" ht="21" customHeight="1">
      <c r="AA1633" s="41">
        <f t="shared" ca="1" si="45"/>
        <v>0</v>
      </c>
      <c r="AB1633" s="41">
        <v>1633</v>
      </c>
    </row>
    <row r="1634" spans="27:28" ht="21" customHeight="1">
      <c r="AA1634" s="41">
        <f t="shared" ca="1" si="45"/>
        <v>0</v>
      </c>
      <c r="AB1634" s="41">
        <v>1634</v>
      </c>
    </row>
    <row r="1635" spans="27:28" ht="21" customHeight="1">
      <c r="AA1635" s="41">
        <f t="shared" ca="1" si="45"/>
        <v>0</v>
      </c>
      <c r="AB1635" s="41">
        <v>1635</v>
      </c>
    </row>
    <row r="1636" spans="27:28" ht="21" customHeight="1">
      <c r="AA1636" s="41">
        <f t="shared" ca="1" si="45"/>
        <v>0</v>
      </c>
      <c r="AB1636" s="41">
        <v>1636</v>
      </c>
    </row>
    <row r="1637" spans="27:28" ht="21" customHeight="1">
      <c r="AA1637" s="41">
        <f t="shared" ca="1" si="45"/>
        <v>0</v>
      </c>
      <c r="AB1637" s="41">
        <v>1637</v>
      </c>
    </row>
    <row r="1638" spans="27:28" ht="21" customHeight="1">
      <c r="AA1638" s="41">
        <f t="shared" ca="1" si="45"/>
        <v>0</v>
      </c>
      <c r="AB1638" s="41">
        <v>1638</v>
      </c>
    </row>
    <row r="1639" spans="27:28" ht="21" customHeight="1">
      <c r="AA1639" s="41">
        <f t="shared" ca="1" si="45"/>
        <v>0</v>
      </c>
      <c r="AB1639" s="41">
        <v>1639</v>
      </c>
    </row>
    <row r="1640" spans="27:28" ht="21" customHeight="1">
      <c r="AA1640" s="41">
        <f t="shared" ca="1" si="45"/>
        <v>0</v>
      </c>
      <c r="AB1640" s="41">
        <v>1640</v>
      </c>
    </row>
    <row r="1641" spans="27:28" ht="21" customHeight="1">
      <c r="AA1641" s="41">
        <f t="shared" ca="1" si="45"/>
        <v>0</v>
      </c>
      <c r="AB1641" s="41">
        <v>1641</v>
      </c>
    </row>
    <row r="1642" spans="27:28" ht="21" customHeight="1">
      <c r="AA1642" s="41">
        <f t="shared" ca="1" si="45"/>
        <v>0</v>
      </c>
      <c r="AB1642" s="41">
        <v>1642</v>
      </c>
    </row>
    <row r="1643" spans="27:28" ht="21" customHeight="1">
      <c r="AA1643" s="41">
        <f t="shared" ca="1" si="45"/>
        <v>0</v>
      </c>
      <c r="AB1643" s="41">
        <v>1643</v>
      </c>
    </row>
    <row r="1644" spans="27:28" ht="21" customHeight="1">
      <c r="AA1644" s="41">
        <f t="shared" ca="1" si="45"/>
        <v>0</v>
      </c>
      <c r="AB1644" s="41">
        <v>1644</v>
      </c>
    </row>
    <row r="1645" spans="27:28" ht="21" customHeight="1">
      <c r="AA1645" s="41">
        <f t="shared" ca="1" si="45"/>
        <v>0</v>
      </c>
      <c r="AB1645" s="41">
        <v>1645</v>
      </c>
    </row>
    <row r="1646" spans="27:28" ht="21" customHeight="1">
      <c r="AA1646" s="41">
        <f t="shared" ca="1" si="45"/>
        <v>0</v>
      </c>
      <c r="AB1646" s="41">
        <v>1646</v>
      </c>
    </row>
    <row r="1647" spans="27:28" ht="21" customHeight="1">
      <c r="AA1647" s="41">
        <f t="shared" ca="1" si="45"/>
        <v>0</v>
      </c>
      <c r="AB1647" s="41">
        <v>1647</v>
      </c>
    </row>
    <row r="1648" spans="27:28" ht="21" customHeight="1">
      <c r="AA1648" s="41">
        <f t="shared" ca="1" si="45"/>
        <v>0</v>
      </c>
      <c r="AB1648" s="41">
        <v>1648</v>
      </c>
    </row>
    <row r="1649" spans="27:28" ht="21" customHeight="1">
      <c r="AA1649" s="41">
        <f t="shared" ca="1" si="45"/>
        <v>0</v>
      </c>
      <c r="AB1649" s="41">
        <v>1649</v>
      </c>
    </row>
    <row r="1650" spans="27:28" ht="21" customHeight="1">
      <c r="AA1650" s="41">
        <f t="shared" ca="1" si="45"/>
        <v>0</v>
      </c>
      <c r="AB1650" s="41">
        <v>1650</v>
      </c>
    </row>
    <row r="1651" spans="27:28" ht="21" customHeight="1">
      <c r="AA1651" s="41">
        <f t="shared" ca="1" si="45"/>
        <v>0</v>
      </c>
      <c r="AB1651" s="41">
        <v>1651</v>
      </c>
    </row>
    <row r="1652" spans="27:28" ht="21" customHeight="1">
      <c r="AA1652" s="41">
        <f t="shared" ca="1" si="45"/>
        <v>0</v>
      </c>
      <c r="AB1652" s="41">
        <v>1652</v>
      </c>
    </row>
    <row r="1653" spans="27:28" ht="21" customHeight="1">
      <c r="AA1653" s="41">
        <f t="shared" ca="1" si="45"/>
        <v>0</v>
      </c>
      <c r="AB1653" s="41">
        <v>1653</v>
      </c>
    </row>
    <row r="1654" spans="27:28" ht="21" customHeight="1">
      <c r="AA1654" s="41">
        <f t="shared" ca="1" si="45"/>
        <v>0</v>
      </c>
      <c r="AB1654" s="41">
        <v>1654</v>
      </c>
    </row>
    <row r="1655" spans="27:28" ht="21" customHeight="1">
      <c r="AA1655" s="41">
        <f t="shared" ca="1" si="45"/>
        <v>0</v>
      </c>
      <c r="AB1655" s="41">
        <v>1655</v>
      </c>
    </row>
    <row r="1656" spans="27:28" ht="21" customHeight="1">
      <c r="AA1656" s="41">
        <f t="shared" ca="1" si="45"/>
        <v>0</v>
      </c>
      <c r="AB1656" s="41">
        <v>1656</v>
      </c>
    </row>
    <row r="1657" spans="27:28" ht="21" customHeight="1">
      <c r="AA1657" s="41">
        <f t="shared" ca="1" si="45"/>
        <v>0</v>
      </c>
      <c r="AB1657" s="41">
        <v>1657</v>
      </c>
    </row>
    <row r="1658" spans="27:28" ht="21" customHeight="1">
      <c r="AA1658" s="41">
        <f t="shared" ca="1" si="45"/>
        <v>0</v>
      </c>
      <c r="AB1658" s="41">
        <v>1658</v>
      </c>
    </row>
    <row r="1659" spans="27:28" ht="21" customHeight="1">
      <c r="AA1659" s="41">
        <f t="shared" ca="1" si="45"/>
        <v>0</v>
      </c>
      <c r="AB1659" s="41">
        <v>1659</v>
      </c>
    </row>
    <row r="1660" spans="27:28" ht="21" customHeight="1">
      <c r="AA1660" s="41">
        <f t="shared" ca="1" si="45"/>
        <v>0</v>
      </c>
      <c r="AB1660" s="41">
        <v>1660</v>
      </c>
    </row>
    <row r="1661" spans="27:28" ht="21" customHeight="1">
      <c r="AA1661" s="41">
        <f t="shared" ca="1" si="45"/>
        <v>0</v>
      </c>
      <c r="AB1661" s="41">
        <v>1661</v>
      </c>
    </row>
    <row r="1662" spans="27:28" ht="21" customHeight="1">
      <c r="AA1662" s="41">
        <f t="shared" ca="1" si="45"/>
        <v>0</v>
      </c>
      <c r="AB1662" s="41">
        <v>1662</v>
      </c>
    </row>
    <row r="1663" spans="27:28" ht="21" customHeight="1">
      <c r="AA1663" s="41">
        <f t="shared" ca="1" si="45"/>
        <v>0</v>
      </c>
      <c r="AB1663" s="41">
        <v>1663</v>
      </c>
    </row>
    <row r="1664" spans="27:28" ht="21" customHeight="1">
      <c r="AA1664" s="41">
        <f t="shared" ca="1" si="45"/>
        <v>0</v>
      </c>
      <c r="AB1664" s="41">
        <v>1664</v>
      </c>
    </row>
    <row r="1665" spans="27:28" ht="21" customHeight="1">
      <c r="AA1665" s="41">
        <f t="shared" ca="1" si="45"/>
        <v>0</v>
      </c>
      <c r="AB1665" s="41">
        <v>1665</v>
      </c>
    </row>
    <row r="1666" spans="27:28" ht="21" customHeight="1">
      <c r="AA1666" s="41">
        <f t="shared" ca="1" si="45"/>
        <v>0</v>
      </c>
      <c r="AB1666" s="41">
        <v>1666</v>
      </c>
    </row>
    <row r="1667" spans="27:28" ht="21" customHeight="1">
      <c r="AA1667" s="41">
        <f t="shared" ca="1" si="45"/>
        <v>0</v>
      </c>
      <c r="AB1667" s="41">
        <v>1667</v>
      </c>
    </row>
    <row r="1668" spans="27:28" ht="21" customHeight="1">
      <c r="AA1668" s="41">
        <f t="shared" ca="1" si="45"/>
        <v>0</v>
      </c>
      <c r="AB1668" s="41">
        <v>1668</v>
      </c>
    </row>
    <row r="1669" spans="27:28" ht="21" customHeight="1">
      <c r="AA1669" s="41">
        <f t="shared" ref="AA1669:AA1732" ca="1" si="46">INDIRECT($W$6&amp;"!"&amp;"B"&amp;ROW(B1669))</f>
        <v>0</v>
      </c>
      <c r="AB1669" s="41">
        <v>1669</v>
      </c>
    </row>
    <row r="1670" spans="27:28" ht="21" customHeight="1">
      <c r="AA1670" s="41">
        <f t="shared" ca="1" si="46"/>
        <v>0</v>
      </c>
      <c r="AB1670" s="41">
        <v>1670</v>
      </c>
    </row>
    <row r="1671" spans="27:28" ht="21" customHeight="1">
      <c r="AA1671" s="41">
        <f t="shared" ca="1" si="46"/>
        <v>0</v>
      </c>
      <c r="AB1671" s="41">
        <v>1671</v>
      </c>
    </row>
    <row r="1672" spans="27:28" ht="21" customHeight="1">
      <c r="AA1672" s="41">
        <f t="shared" ca="1" si="46"/>
        <v>0</v>
      </c>
      <c r="AB1672" s="41">
        <v>1672</v>
      </c>
    </row>
    <row r="1673" spans="27:28" ht="21" customHeight="1">
      <c r="AA1673" s="41">
        <f t="shared" ca="1" si="46"/>
        <v>0</v>
      </c>
      <c r="AB1673" s="41">
        <v>1673</v>
      </c>
    </row>
    <row r="1674" spans="27:28" ht="21" customHeight="1">
      <c r="AA1674" s="41">
        <f t="shared" ca="1" si="46"/>
        <v>0</v>
      </c>
      <c r="AB1674" s="41">
        <v>1674</v>
      </c>
    </row>
    <row r="1675" spans="27:28" ht="21" customHeight="1">
      <c r="AA1675" s="41">
        <f t="shared" ca="1" si="46"/>
        <v>0</v>
      </c>
      <c r="AB1675" s="41">
        <v>1675</v>
      </c>
    </row>
    <row r="1676" spans="27:28" ht="21" customHeight="1">
      <c r="AA1676" s="41">
        <f t="shared" ca="1" si="46"/>
        <v>0</v>
      </c>
      <c r="AB1676" s="41">
        <v>1676</v>
      </c>
    </row>
    <row r="1677" spans="27:28" ht="21" customHeight="1">
      <c r="AA1677" s="41">
        <f t="shared" ca="1" si="46"/>
        <v>0</v>
      </c>
      <c r="AB1677" s="41">
        <v>1677</v>
      </c>
    </row>
    <row r="1678" spans="27:28" ht="21" customHeight="1">
      <c r="AA1678" s="41">
        <f t="shared" ca="1" si="46"/>
        <v>0</v>
      </c>
      <c r="AB1678" s="41">
        <v>1678</v>
      </c>
    </row>
    <row r="1679" spans="27:28" ht="21" customHeight="1">
      <c r="AA1679" s="41">
        <f t="shared" ca="1" si="46"/>
        <v>0</v>
      </c>
      <c r="AB1679" s="41">
        <v>1679</v>
      </c>
    </row>
    <row r="1680" spans="27:28" ht="21" customHeight="1">
      <c r="AA1680" s="41">
        <f t="shared" ca="1" si="46"/>
        <v>0</v>
      </c>
      <c r="AB1680" s="41">
        <v>1680</v>
      </c>
    </row>
    <row r="1681" spans="27:28" ht="21" customHeight="1">
      <c r="AA1681" s="41">
        <f t="shared" ca="1" si="46"/>
        <v>0</v>
      </c>
      <c r="AB1681" s="41">
        <v>1681</v>
      </c>
    </row>
    <row r="1682" spans="27:28" ht="21" customHeight="1">
      <c r="AA1682" s="41">
        <f t="shared" ca="1" si="46"/>
        <v>0</v>
      </c>
      <c r="AB1682" s="41">
        <v>1682</v>
      </c>
    </row>
    <row r="1683" spans="27:28" ht="21" customHeight="1">
      <c r="AA1683" s="41">
        <f t="shared" ca="1" si="46"/>
        <v>0</v>
      </c>
      <c r="AB1683" s="41">
        <v>1683</v>
      </c>
    </row>
    <row r="1684" spans="27:28" ht="21" customHeight="1">
      <c r="AA1684" s="41">
        <f t="shared" ca="1" si="46"/>
        <v>0</v>
      </c>
      <c r="AB1684" s="41">
        <v>1684</v>
      </c>
    </row>
    <row r="1685" spans="27:28" ht="21" customHeight="1">
      <c r="AA1685" s="41">
        <f t="shared" ca="1" si="46"/>
        <v>0</v>
      </c>
      <c r="AB1685" s="41">
        <v>1685</v>
      </c>
    </row>
    <row r="1686" spans="27:28" ht="21" customHeight="1">
      <c r="AA1686" s="41">
        <f t="shared" ca="1" si="46"/>
        <v>0</v>
      </c>
      <c r="AB1686" s="41">
        <v>1686</v>
      </c>
    </row>
    <row r="1687" spans="27:28" ht="21" customHeight="1">
      <c r="AA1687" s="41">
        <f t="shared" ca="1" si="46"/>
        <v>0</v>
      </c>
      <c r="AB1687" s="41">
        <v>1687</v>
      </c>
    </row>
    <row r="1688" spans="27:28" ht="21" customHeight="1">
      <c r="AA1688" s="41">
        <f t="shared" ca="1" si="46"/>
        <v>0</v>
      </c>
      <c r="AB1688" s="41">
        <v>1688</v>
      </c>
    </row>
    <row r="1689" spans="27:28" ht="21" customHeight="1">
      <c r="AA1689" s="41">
        <f t="shared" ca="1" si="46"/>
        <v>0</v>
      </c>
      <c r="AB1689" s="41">
        <v>1689</v>
      </c>
    </row>
    <row r="1690" spans="27:28" ht="21" customHeight="1">
      <c r="AA1690" s="41">
        <f t="shared" ca="1" si="46"/>
        <v>0</v>
      </c>
      <c r="AB1690" s="41">
        <v>1690</v>
      </c>
    </row>
    <row r="1691" spans="27:28" ht="21" customHeight="1">
      <c r="AA1691" s="41">
        <f t="shared" ca="1" si="46"/>
        <v>0</v>
      </c>
      <c r="AB1691" s="41">
        <v>1691</v>
      </c>
    </row>
    <row r="1692" spans="27:28" ht="21" customHeight="1">
      <c r="AA1692" s="41">
        <f t="shared" ca="1" si="46"/>
        <v>0</v>
      </c>
      <c r="AB1692" s="41">
        <v>1692</v>
      </c>
    </row>
    <row r="1693" spans="27:28" ht="21" customHeight="1">
      <c r="AA1693" s="41">
        <f t="shared" ca="1" si="46"/>
        <v>0</v>
      </c>
      <c r="AB1693" s="41">
        <v>1693</v>
      </c>
    </row>
    <row r="1694" spans="27:28" ht="21" customHeight="1">
      <c r="AA1694" s="41">
        <f t="shared" ca="1" si="46"/>
        <v>0</v>
      </c>
      <c r="AB1694" s="41">
        <v>1694</v>
      </c>
    </row>
    <row r="1695" spans="27:28" ht="21" customHeight="1">
      <c r="AA1695" s="41">
        <f t="shared" ca="1" si="46"/>
        <v>0</v>
      </c>
      <c r="AB1695" s="41">
        <v>1695</v>
      </c>
    </row>
    <row r="1696" spans="27:28" ht="21" customHeight="1">
      <c r="AA1696" s="41">
        <f t="shared" ca="1" si="46"/>
        <v>0</v>
      </c>
      <c r="AB1696" s="41">
        <v>1696</v>
      </c>
    </row>
    <row r="1697" spans="27:28" ht="21" customHeight="1">
      <c r="AA1697" s="41">
        <f t="shared" ca="1" si="46"/>
        <v>0</v>
      </c>
      <c r="AB1697" s="41">
        <v>1697</v>
      </c>
    </row>
    <row r="1698" spans="27:28" ht="21" customHeight="1">
      <c r="AA1698" s="41">
        <f t="shared" ca="1" si="46"/>
        <v>0</v>
      </c>
      <c r="AB1698" s="41">
        <v>1698</v>
      </c>
    </row>
    <row r="1699" spans="27:28" ht="21" customHeight="1">
      <c r="AA1699" s="41">
        <f t="shared" ca="1" si="46"/>
        <v>0</v>
      </c>
      <c r="AB1699" s="41">
        <v>1699</v>
      </c>
    </row>
    <row r="1700" spans="27:28" ht="21" customHeight="1">
      <c r="AA1700" s="41">
        <f t="shared" ca="1" si="46"/>
        <v>0</v>
      </c>
      <c r="AB1700" s="41">
        <v>1700</v>
      </c>
    </row>
    <row r="1701" spans="27:28" ht="21" customHeight="1">
      <c r="AA1701" s="41">
        <f t="shared" ca="1" si="46"/>
        <v>0</v>
      </c>
      <c r="AB1701" s="41">
        <v>1701</v>
      </c>
    </row>
    <row r="1702" spans="27:28" ht="21" customHeight="1">
      <c r="AA1702" s="41">
        <f t="shared" ca="1" si="46"/>
        <v>0</v>
      </c>
      <c r="AB1702" s="41">
        <v>1702</v>
      </c>
    </row>
    <row r="1703" spans="27:28" ht="21" customHeight="1">
      <c r="AA1703" s="41">
        <f t="shared" ca="1" si="46"/>
        <v>0</v>
      </c>
      <c r="AB1703" s="41">
        <v>1703</v>
      </c>
    </row>
    <row r="1704" spans="27:28" ht="21" customHeight="1">
      <c r="AA1704" s="41">
        <f t="shared" ca="1" si="46"/>
        <v>0</v>
      </c>
      <c r="AB1704" s="41">
        <v>1704</v>
      </c>
    </row>
    <row r="1705" spans="27:28" ht="21" customHeight="1">
      <c r="AA1705" s="41">
        <f t="shared" ca="1" si="46"/>
        <v>0</v>
      </c>
      <c r="AB1705" s="41">
        <v>1705</v>
      </c>
    </row>
    <row r="1706" spans="27:28" ht="21" customHeight="1">
      <c r="AA1706" s="41">
        <f t="shared" ca="1" si="46"/>
        <v>0</v>
      </c>
      <c r="AB1706" s="41">
        <v>1706</v>
      </c>
    </row>
    <row r="1707" spans="27:28" ht="21" customHeight="1">
      <c r="AA1707" s="41">
        <f t="shared" ca="1" si="46"/>
        <v>0</v>
      </c>
      <c r="AB1707" s="41">
        <v>1707</v>
      </c>
    </row>
    <row r="1708" spans="27:28" ht="21" customHeight="1">
      <c r="AA1708" s="41">
        <f t="shared" ca="1" si="46"/>
        <v>0</v>
      </c>
      <c r="AB1708" s="41">
        <v>1708</v>
      </c>
    </row>
    <row r="1709" spans="27:28" ht="21" customHeight="1">
      <c r="AA1709" s="41">
        <f t="shared" ca="1" si="46"/>
        <v>0</v>
      </c>
      <c r="AB1709" s="41">
        <v>1709</v>
      </c>
    </row>
    <row r="1710" spans="27:28" ht="21" customHeight="1">
      <c r="AA1710" s="41">
        <f t="shared" ca="1" si="46"/>
        <v>0</v>
      </c>
      <c r="AB1710" s="41">
        <v>1710</v>
      </c>
    </row>
    <row r="1711" spans="27:28" ht="21" customHeight="1">
      <c r="AA1711" s="41">
        <f t="shared" ca="1" si="46"/>
        <v>0</v>
      </c>
      <c r="AB1711" s="41">
        <v>1711</v>
      </c>
    </row>
    <row r="1712" spans="27:28" ht="21" customHeight="1">
      <c r="AA1712" s="41">
        <f t="shared" ca="1" si="46"/>
        <v>0</v>
      </c>
      <c r="AB1712" s="41">
        <v>1712</v>
      </c>
    </row>
    <row r="1713" spans="27:28" ht="21" customHeight="1">
      <c r="AA1713" s="41">
        <f t="shared" ca="1" si="46"/>
        <v>0</v>
      </c>
      <c r="AB1713" s="41">
        <v>1713</v>
      </c>
    </row>
    <row r="1714" spans="27:28" ht="21" customHeight="1">
      <c r="AA1714" s="41">
        <f t="shared" ca="1" si="46"/>
        <v>0</v>
      </c>
      <c r="AB1714" s="41">
        <v>1714</v>
      </c>
    </row>
    <row r="1715" spans="27:28" ht="21" customHeight="1">
      <c r="AA1715" s="41">
        <f t="shared" ca="1" si="46"/>
        <v>0</v>
      </c>
      <c r="AB1715" s="41">
        <v>1715</v>
      </c>
    </row>
    <row r="1716" spans="27:28" ht="21" customHeight="1">
      <c r="AA1716" s="41">
        <f t="shared" ca="1" si="46"/>
        <v>0</v>
      </c>
      <c r="AB1716" s="41">
        <v>1716</v>
      </c>
    </row>
    <row r="1717" spans="27:28" ht="21" customHeight="1">
      <c r="AA1717" s="41">
        <f t="shared" ca="1" si="46"/>
        <v>0</v>
      </c>
      <c r="AB1717" s="41">
        <v>1717</v>
      </c>
    </row>
    <row r="1718" spans="27:28" ht="21" customHeight="1">
      <c r="AA1718" s="41">
        <f t="shared" ca="1" si="46"/>
        <v>0</v>
      </c>
      <c r="AB1718" s="41">
        <v>1718</v>
      </c>
    </row>
    <row r="1719" spans="27:28" ht="21" customHeight="1">
      <c r="AA1719" s="41">
        <f t="shared" ca="1" si="46"/>
        <v>0</v>
      </c>
      <c r="AB1719" s="41">
        <v>1719</v>
      </c>
    </row>
    <row r="1720" spans="27:28" ht="21" customHeight="1">
      <c r="AA1720" s="41">
        <f t="shared" ca="1" si="46"/>
        <v>0</v>
      </c>
      <c r="AB1720" s="41">
        <v>1720</v>
      </c>
    </row>
    <row r="1721" spans="27:28" ht="21" customHeight="1">
      <c r="AA1721" s="41">
        <f t="shared" ca="1" si="46"/>
        <v>0</v>
      </c>
      <c r="AB1721" s="41">
        <v>1721</v>
      </c>
    </row>
    <row r="1722" spans="27:28" ht="21" customHeight="1">
      <c r="AA1722" s="41">
        <f t="shared" ca="1" si="46"/>
        <v>0</v>
      </c>
      <c r="AB1722" s="41">
        <v>1722</v>
      </c>
    </row>
    <row r="1723" spans="27:28" ht="21" customHeight="1">
      <c r="AA1723" s="41">
        <f t="shared" ca="1" si="46"/>
        <v>0</v>
      </c>
      <c r="AB1723" s="41">
        <v>1723</v>
      </c>
    </row>
    <row r="1724" spans="27:28" ht="21" customHeight="1">
      <c r="AA1724" s="41">
        <f t="shared" ca="1" si="46"/>
        <v>0</v>
      </c>
      <c r="AB1724" s="41">
        <v>1724</v>
      </c>
    </row>
    <row r="1725" spans="27:28" ht="21" customHeight="1">
      <c r="AA1725" s="41">
        <f t="shared" ca="1" si="46"/>
        <v>0</v>
      </c>
      <c r="AB1725" s="41">
        <v>1725</v>
      </c>
    </row>
    <row r="1726" spans="27:28" ht="21" customHeight="1">
      <c r="AA1726" s="41">
        <f t="shared" ca="1" si="46"/>
        <v>0</v>
      </c>
      <c r="AB1726" s="41">
        <v>1726</v>
      </c>
    </row>
    <row r="1727" spans="27:28" ht="21" customHeight="1">
      <c r="AA1727" s="41">
        <f t="shared" ca="1" si="46"/>
        <v>0</v>
      </c>
      <c r="AB1727" s="41">
        <v>1727</v>
      </c>
    </row>
    <row r="1728" spans="27:28" ht="21" customHeight="1">
      <c r="AA1728" s="41">
        <f t="shared" ca="1" si="46"/>
        <v>0</v>
      </c>
      <c r="AB1728" s="41">
        <v>1728</v>
      </c>
    </row>
    <row r="1729" spans="27:28" ht="21" customHeight="1">
      <c r="AA1729" s="41">
        <f t="shared" ca="1" si="46"/>
        <v>0</v>
      </c>
      <c r="AB1729" s="41">
        <v>1729</v>
      </c>
    </row>
    <row r="1730" spans="27:28" ht="21" customHeight="1">
      <c r="AA1730" s="41">
        <f t="shared" ca="1" si="46"/>
        <v>0</v>
      </c>
      <c r="AB1730" s="41">
        <v>1730</v>
      </c>
    </row>
    <row r="1731" spans="27:28" ht="21" customHeight="1">
      <c r="AA1731" s="41">
        <f t="shared" ca="1" si="46"/>
        <v>0</v>
      </c>
      <c r="AB1731" s="41">
        <v>1731</v>
      </c>
    </row>
    <row r="1732" spans="27:28" ht="21" customHeight="1">
      <c r="AA1732" s="41">
        <f t="shared" ca="1" si="46"/>
        <v>0</v>
      </c>
      <c r="AB1732" s="41">
        <v>1732</v>
      </c>
    </row>
    <row r="1733" spans="27:28" ht="21" customHeight="1">
      <c r="AA1733" s="41">
        <f t="shared" ref="AA1733:AA1795" ca="1" si="47">INDIRECT($W$6&amp;"!"&amp;"B"&amp;ROW(B1733))</f>
        <v>0</v>
      </c>
      <c r="AB1733" s="41">
        <v>1733</v>
      </c>
    </row>
    <row r="1734" spans="27:28" ht="21" customHeight="1">
      <c r="AA1734" s="41">
        <f t="shared" ca="1" si="47"/>
        <v>0</v>
      </c>
      <c r="AB1734" s="41">
        <v>1734</v>
      </c>
    </row>
    <row r="1735" spans="27:28" ht="21" customHeight="1">
      <c r="AA1735" s="41">
        <f t="shared" ca="1" si="47"/>
        <v>0</v>
      </c>
      <c r="AB1735" s="41">
        <v>1735</v>
      </c>
    </row>
    <row r="1736" spans="27:28" ht="21" customHeight="1">
      <c r="AA1736" s="41">
        <f t="shared" ca="1" si="47"/>
        <v>0</v>
      </c>
      <c r="AB1736" s="41">
        <v>1736</v>
      </c>
    </row>
    <row r="1737" spans="27:28" ht="21" customHeight="1">
      <c r="AA1737" s="41">
        <f t="shared" ca="1" si="47"/>
        <v>0</v>
      </c>
      <c r="AB1737" s="41">
        <v>1737</v>
      </c>
    </row>
    <row r="1738" spans="27:28" ht="21" customHeight="1">
      <c r="AA1738" s="41">
        <f t="shared" ca="1" si="47"/>
        <v>0</v>
      </c>
      <c r="AB1738" s="41">
        <v>1738</v>
      </c>
    </row>
    <row r="1739" spans="27:28" ht="21" customHeight="1">
      <c r="AA1739" s="41">
        <f t="shared" ca="1" si="47"/>
        <v>0</v>
      </c>
      <c r="AB1739" s="41">
        <v>1739</v>
      </c>
    </row>
    <row r="1740" spans="27:28" ht="21" customHeight="1">
      <c r="AA1740" s="41">
        <f t="shared" ca="1" si="47"/>
        <v>0</v>
      </c>
      <c r="AB1740" s="41">
        <v>1740</v>
      </c>
    </row>
    <row r="1741" spans="27:28" ht="21" customHeight="1">
      <c r="AA1741" s="41">
        <f t="shared" ca="1" si="47"/>
        <v>0</v>
      </c>
      <c r="AB1741" s="41">
        <v>1741</v>
      </c>
    </row>
    <row r="1742" spans="27:28" ht="21" customHeight="1">
      <c r="AA1742" s="41">
        <f t="shared" ca="1" si="47"/>
        <v>0</v>
      </c>
      <c r="AB1742" s="41">
        <v>1742</v>
      </c>
    </row>
    <row r="1743" spans="27:28" ht="21" customHeight="1">
      <c r="AA1743" s="41">
        <f t="shared" ca="1" si="47"/>
        <v>0</v>
      </c>
      <c r="AB1743" s="41">
        <v>1743</v>
      </c>
    </row>
    <row r="1744" spans="27:28" ht="21" customHeight="1">
      <c r="AA1744" s="41">
        <f t="shared" ca="1" si="47"/>
        <v>0</v>
      </c>
      <c r="AB1744" s="41">
        <v>1744</v>
      </c>
    </row>
    <row r="1745" spans="27:28" ht="21" customHeight="1">
      <c r="AA1745" s="41">
        <f t="shared" ca="1" si="47"/>
        <v>0</v>
      </c>
      <c r="AB1745" s="41">
        <v>1745</v>
      </c>
    </row>
    <row r="1746" spans="27:28" ht="21" customHeight="1">
      <c r="AA1746" s="41">
        <f t="shared" ca="1" si="47"/>
        <v>0</v>
      </c>
      <c r="AB1746" s="41">
        <v>1746</v>
      </c>
    </row>
    <row r="1747" spans="27:28" ht="21" customHeight="1">
      <c r="AA1747" s="41">
        <f t="shared" ca="1" si="47"/>
        <v>0</v>
      </c>
      <c r="AB1747" s="41">
        <v>1747</v>
      </c>
    </row>
    <row r="1748" spans="27:28" ht="21" customHeight="1">
      <c r="AA1748" s="41">
        <f t="shared" ca="1" si="47"/>
        <v>0</v>
      </c>
      <c r="AB1748" s="41">
        <v>1748</v>
      </c>
    </row>
    <row r="1749" spans="27:28" ht="21" customHeight="1">
      <c r="AA1749" s="41">
        <f t="shared" ca="1" si="47"/>
        <v>0</v>
      </c>
      <c r="AB1749" s="41">
        <v>1749</v>
      </c>
    </row>
    <row r="1750" spans="27:28" ht="21" customHeight="1">
      <c r="AA1750" s="41">
        <f t="shared" ca="1" si="47"/>
        <v>0</v>
      </c>
      <c r="AB1750" s="41">
        <v>1750</v>
      </c>
    </row>
    <row r="1751" spans="27:28" ht="21" customHeight="1">
      <c r="AA1751" s="41">
        <f t="shared" ca="1" si="47"/>
        <v>0</v>
      </c>
      <c r="AB1751" s="41">
        <v>1751</v>
      </c>
    </row>
    <row r="1752" spans="27:28" ht="21" customHeight="1">
      <c r="AA1752" s="41">
        <f t="shared" ca="1" si="47"/>
        <v>0</v>
      </c>
      <c r="AB1752" s="41">
        <v>1752</v>
      </c>
    </row>
    <row r="1753" spans="27:28" ht="21" customHeight="1">
      <c r="AA1753" s="41">
        <f t="shared" ca="1" si="47"/>
        <v>0</v>
      </c>
      <c r="AB1753" s="41">
        <v>1753</v>
      </c>
    </row>
    <row r="1754" spans="27:28" ht="21" customHeight="1">
      <c r="AA1754" s="41">
        <f t="shared" ca="1" si="47"/>
        <v>0</v>
      </c>
      <c r="AB1754" s="41">
        <v>1754</v>
      </c>
    </row>
    <row r="1755" spans="27:28" ht="21" customHeight="1">
      <c r="AA1755" s="41">
        <f t="shared" ca="1" si="47"/>
        <v>0</v>
      </c>
      <c r="AB1755" s="41">
        <v>1755</v>
      </c>
    </row>
    <row r="1756" spans="27:28" ht="21" customHeight="1">
      <c r="AA1756" s="41">
        <f t="shared" ca="1" si="47"/>
        <v>0</v>
      </c>
      <c r="AB1756" s="41">
        <v>1756</v>
      </c>
    </row>
    <row r="1757" spans="27:28" ht="21" customHeight="1">
      <c r="AA1757" s="41">
        <f t="shared" ca="1" si="47"/>
        <v>0</v>
      </c>
      <c r="AB1757" s="41">
        <v>1757</v>
      </c>
    </row>
    <row r="1758" spans="27:28" ht="21" customHeight="1">
      <c r="AA1758" s="41">
        <f t="shared" ca="1" si="47"/>
        <v>0</v>
      </c>
      <c r="AB1758" s="41">
        <v>1758</v>
      </c>
    </row>
    <row r="1759" spans="27:28" ht="21" customHeight="1">
      <c r="AA1759" s="41">
        <f t="shared" ca="1" si="47"/>
        <v>0</v>
      </c>
      <c r="AB1759" s="41">
        <v>1759</v>
      </c>
    </row>
    <row r="1760" spans="27:28" ht="21" customHeight="1">
      <c r="AA1760" s="41">
        <f t="shared" ca="1" si="47"/>
        <v>0</v>
      </c>
      <c r="AB1760" s="41">
        <v>1760</v>
      </c>
    </row>
    <row r="1761" spans="27:28" ht="21" customHeight="1">
      <c r="AA1761" s="41">
        <f t="shared" ca="1" si="47"/>
        <v>0</v>
      </c>
      <c r="AB1761" s="41">
        <v>1761</v>
      </c>
    </row>
    <row r="1762" spans="27:28" ht="21" customHeight="1">
      <c r="AA1762" s="41">
        <f t="shared" ca="1" si="47"/>
        <v>0</v>
      </c>
      <c r="AB1762" s="41">
        <v>1762</v>
      </c>
    </row>
    <row r="1763" spans="27:28" ht="21" customHeight="1">
      <c r="AA1763" s="41">
        <f t="shared" ca="1" si="47"/>
        <v>0</v>
      </c>
      <c r="AB1763" s="41">
        <v>1763</v>
      </c>
    </row>
    <row r="1764" spans="27:28" ht="21" customHeight="1">
      <c r="AA1764" s="41">
        <f t="shared" ca="1" si="47"/>
        <v>0</v>
      </c>
      <c r="AB1764" s="41">
        <v>1764</v>
      </c>
    </row>
    <row r="1765" spans="27:28" ht="21" customHeight="1">
      <c r="AA1765" s="41">
        <f t="shared" ca="1" si="47"/>
        <v>0</v>
      </c>
      <c r="AB1765" s="41">
        <v>1765</v>
      </c>
    </row>
    <row r="1766" spans="27:28" ht="21" customHeight="1">
      <c r="AA1766" s="41">
        <f t="shared" ca="1" si="47"/>
        <v>0</v>
      </c>
      <c r="AB1766" s="41">
        <v>1766</v>
      </c>
    </row>
    <row r="1767" spans="27:28" ht="21" customHeight="1">
      <c r="AA1767" s="41">
        <f t="shared" ca="1" si="47"/>
        <v>0</v>
      </c>
      <c r="AB1767" s="41">
        <v>1767</v>
      </c>
    </row>
    <row r="1768" spans="27:28" ht="21" customHeight="1">
      <c r="AA1768" s="41">
        <f t="shared" ca="1" si="47"/>
        <v>0</v>
      </c>
      <c r="AB1768" s="41">
        <v>1768</v>
      </c>
    </row>
    <row r="1769" spans="27:28" ht="21" customHeight="1">
      <c r="AA1769" s="41">
        <f t="shared" ca="1" si="47"/>
        <v>0</v>
      </c>
      <c r="AB1769" s="41">
        <v>1769</v>
      </c>
    </row>
    <row r="1770" spans="27:28" ht="21" customHeight="1">
      <c r="AA1770" s="41">
        <f t="shared" ca="1" si="47"/>
        <v>0</v>
      </c>
      <c r="AB1770" s="41">
        <v>1770</v>
      </c>
    </row>
    <row r="1771" spans="27:28" ht="21" customHeight="1">
      <c r="AA1771" s="41">
        <f t="shared" ca="1" si="47"/>
        <v>0</v>
      </c>
      <c r="AB1771" s="41">
        <v>1771</v>
      </c>
    </row>
    <row r="1772" spans="27:28" ht="21" customHeight="1">
      <c r="AA1772" s="41">
        <f t="shared" ca="1" si="47"/>
        <v>0</v>
      </c>
      <c r="AB1772" s="41">
        <v>1772</v>
      </c>
    </row>
    <row r="1773" spans="27:28" ht="21" customHeight="1">
      <c r="AA1773" s="41">
        <f t="shared" ca="1" si="47"/>
        <v>0</v>
      </c>
      <c r="AB1773" s="41">
        <v>1773</v>
      </c>
    </row>
    <row r="1774" spans="27:28" ht="21" customHeight="1">
      <c r="AA1774" s="41">
        <f t="shared" ca="1" si="47"/>
        <v>0</v>
      </c>
      <c r="AB1774" s="41">
        <v>1774</v>
      </c>
    </row>
    <row r="1775" spans="27:28" ht="21" customHeight="1">
      <c r="AA1775" s="41">
        <f t="shared" ca="1" si="47"/>
        <v>0</v>
      </c>
      <c r="AB1775" s="41">
        <v>1775</v>
      </c>
    </row>
    <row r="1776" spans="27:28" ht="21" customHeight="1">
      <c r="AA1776" s="41">
        <f t="shared" ca="1" si="47"/>
        <v>0</v>
      </c>
      <c r="AB1776" s="41">
        <v>1776</v>
      </c>
    </row>
    <row r="1777" spans="27:28" ht="21" customHeight="1">
      <c r="AA1777" s="41">
        <f t="shared" ca="1" si="47"/>
        <v>0</v>
      </c>
      <c r="AB1777" s="41">
        <v>1777</v>
      </c>
    </row>
    <row r="1778" spans="27:28" ht="21" customHeight="1">
      <c r="AA1778" s="41">
        <f t="shared" ca="1" si="47"/>
        <v>0</v>
      </c>
      <c r="AB1778" s="41">
        <v>1778</v>
      </c>
    </row>
    <row r="1779" spans="27:28" ht="21" customHeight="1">
      <c r="AA1779" s="41">
        <f t="shared" ca="1" si="47"/>
        <v>0</v>
      </c>
      <c r="AB1779" s="41">
        <v>1779</v>
      </c>
    </row>
    <row r="1780" spans="27:28" ht="21" customHeight="1">
      <c r="AA1780" s="41">
        <f t="shared" ca="1" si="47"/>
        <v>0</v>
      </c>
      <c r="AB1780" s="41">
        <v>1780</v>
      </c>
    </row>
    <row r="1781" spans="27:28" ht="21" customHeight="1">
      <c r="AA1781" s="41">
        <f t="shared" ca="1" si="47"/>
        <v>0</v>
      </c>
      <c r="AB1781" s="41">
        <v>1781</v>
      </c>
    </row>
    <row r="1782" spans="27:28" ht="21" customHeight="1">
      <c r="AA1782" s="41">
        <f t="shared" ca="1" si="47"/>
        <v>0</v>
      </c>
      <c r="AB1782" s="41">
        <v>1782</v>
      </c>
    </row>
    <row r="1783" spans="27:28" ht="21" customHeight="1">
      <c r="AA1783" s="41">
        <f t="shared" ca="1" si="47"/>
        <v>0</v>
      </c>
      <c r="AB1783" s="41">
        <v>1783</v>
      </c>
    </row>
    <row r="1784" spans="27:28" ht="21" customHeight="1">
      <c r="AA1784" s="41">
        <f t="shared" ca="1" si="47"/>
        <v>0</v>
      </c>
      <c r="AB1784" s="41">
        <v>1784</v>
      </c>
    </row>
    <row r="1785" spans="27:28" ht="21" customHeight="1">
      <c r="AA1785" s="41">
        <f t="shared" ca="1" si="47"/>
        <v>0</v>
      </c>
      <c r="AB1785" s="41">
        <v>1785</v>
      </c>
    </row>
    <row r="1786" spans="27:28" ht="21" customHeight="1">
      <c r="AA1786" s="41">
        <f t="shared" ca="1" si="47"/>
        <v>0</v>
      </c>
      <c r="AB1786" s="41">
        <v>1786</v>
      </c>
    </row>
    <row r="1787" spans="27:28" ht="21" customHeight="1">
      <c r="AA1787" s="41">
        <f t="shared" ca="1" si="47"/>
        <v>0</v>
      </c>
      <c r="AB1787" s="41">
        <v>1787</v>
      </c>
    </row>
    <row r="1788" spans="27:28" ht="21" customHeight="1">
      <c r="AA1788" s="41">
        <f t="shared" ca="1" si="47"/>
        <v>0</v>
      </c>
      <c r="AB1788" s="41">
        <v>1788</v>
      </c>
    </row>
    <row r="1789" spans="27:28" ht="21" customHeight="1">
      <c r="AA1789" s="41">
        <f t="shared" ca="1" si="47"/>
        <v>0</v>
      </c>
      <c r="AB1789" s="41">
        <v>1789</v>
      </c>
    </row>
    <row r="1790" spans="27:28" ht="21" customHeight="1">
      <c r="AA1790" s="41">
        <f t="shared" ca="1" si="47"/>
        <v>0</v>
      </c>
      <c r="AB1790" s="41">
        <v>1790</v>
      </c>
    </row>
    <row r="1791" spans="27:28" ht="21" customHeight="1">
      <c r="AA1791" s="41">
        <f t="shared" ca="1" si="47"/>
        <v>0</v>
      </c>
      <c r="AB1791" s="41">
        <v>1791</v>
      </c>
    </row>
    <row r="1792" spans="27:28" ht="21" customHeight="1">
      <c r="AA1792" s="41">
        <f t="shared" ca="1" si="47"/>
        <v>0</v>
      </c>
      <c r="AB1792" s="41">
        <v>1792</v>
      </c>
    </row>
    <row r="1793" spans="27:28" ht="21" customHeight="1">
      <c r="AA1793" s="41">
        <f t="shared" ca="1" si="47"/>
        <v>0</v>
      </c>
      <c r="AB1793" s="41">
        <v>1793</v>
      </c>
    </row>
    <row r="1794" spans="27:28" ht="21" customHeight="1">
      <c r="AA1794" s="41">
        <f t="shared" ca="1" si="47"/>
        <v>0</v>
      </c>
      <c r="AB1794" s="41">
        <v>1794</v>
      </c>
    </row>
    <row r="1795" spans="27:28" ht="21" customHeight="1">
      <c r="AA1795" s="41">
        <f t="shared" ca="1" si="47"/>
        <v>0</v>
      </c>
      <c r="AB1795" s="41">
        <v>1795</v>
      </c>
    </row>
  </sheetData>
  <mergeCells count="16">
    <mergeCell ref="H27:K27"/>
    <mergeCell ref="B32:D32"/>
    <mergeCell ref="B8:D8"/>
    <mergeCell ref="J8:J14"/>
    <mergeCell ref="B9:D9"/>
    <mergeCell ref="B11:D11"/>
    <mergeCell ref="B12:B26"/>
    <mergeCell ref="C12:C18"/>
    <mergeCell ref="I16:I22"/>
    <mergeCell ref="C19:C25"/>
    <mergeCell ref="H5:K6"/>
    <mergeCell ref="L5:L6"/>
    <mergeCell ref="M5:O5"/>
    <mergeCell ref="P5:P6"/>
    <mergeCell ref="H7:H23"/>
    <mergeCell ref="I7:I14"/>
  </mergeCells>
  <phoneticPr fontId="3"/>
  <printOptions horizontalCentered="1"/>
  <pageMargins left="0.59055118110236227" right="0.59055118110236227" top="0.59055118110236227" bottom="0.39370078740157483" header="0.31496062992125984" footer="0.31496062992125984"/>
  <pageSetup paperSize="9" scale="53" orientation="landscape" horizontalDpi="400" verticalDpi="400" r:id="rId1"/>
  <headerFooter alignWithMargins="0">
    <oddHeader>&amp;R&amp;F   &amp;D   &amp;T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Q47"/>
  <sheetViews>
    <sheetView zoomScaleNormal="100" workbookViewId="0">
      <selection sqref="A1:P2"/>
    </sheetView>
  </sheetViews>
  <sheetFormatPr defaultColWidth="0" defaultRowHeight="13.5" customHeight="1" zeroHeight="1"/>
  <cols>
    <col min="1" max="1" width="3.375" style="205" customWidth="1"/>
    <col min="2" max="2" width="15.875" style="205" customWidth="1"/>
    <col min="3" max="3" width="16.75" style="205" customWidth="1"/>
    <col min="4" max="4" width="8.75" style="205" customWidth="1"/>
    <col min="5" max="5" width="10.375" style="205" customWidth="1"/>
    <col min="6" max="6" width="15.625" style="205" customWidth="1"/>
    <col min="7" max="7" width="8.75" style="205" customWidth="1"/>
    <col min="8" max="8" width="8.625" style="282" customWidth="1"/>
    <col min="9" max="9" width="15.125" style="205" customWidth="1"/>
    <col min="10" max="10" width="8.75" style="205" customWidth="1"/>
    <col min="11" max="11" width="18" style="205" customWidth="1"/>
    <col min="12" max="12" width="10.5" style="283" customWidth="1"/>
    <col min="13" max="13" width="13.5" style="205" customWidth="1"/>
    <col min="14" max="14" width="12.875" style="205" customWidth="1"/>
    <col min="15" max="15" width="8.875" style="205" customWidth="1"/>
    <col min="16" max="16" width="13.375" style="205" customWidth="1"/>
    <col min="17" max="17" width="1.25" style="205" customWidth="1"/>
    <col min="18" max="16384" width="0" style="205" hidden="1"/>
  </cols>
  <sheetData>
    <row r="1" spans="1:16" ht="13.5" customHeight="1">
      <c r="A1" s="216" t="s">
        <v>726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2" spans="1:16" ht="13.5" customHeight="1">
      <c r="A2" s="216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</row>
    <row r="3" spans="1:16" s="218" customFormat="1" ht="8.1" customHeight="1" thickBot="1">
      <c r="A3" s="217"/>
    </row>
    <row r="4" spans="1:16" s="220" customFormat="1" ht="21.75" customHeight="1">
      <c r="A4" s="219"/>
      <c r="B4" s="216"/>
      <c r="C4" s="216"/>
      <c r="E4" s="221" t="s">
        <v>727</v>
      </c>
      <c r="F4" s="222"/>
      <c r="H4" s="223"/>
      <c r="I4" s="224"/>
      <c r="L4" s="224"/>
      <c r="M4" s="224"/>
      <c r="O4" s="225" t="s">
        <v>728</v>
      </c>
      <c r="P4" s="226"/>
    </row>
    <row r="5" spans="1:16" s="220" customFormat="1" ht="21.75" customHeight="1" thickBot="1">
      <c r="A5" s="227"/>
      <c r="B5" s="228"/>
      <c r="C5" s="228"/>
      <c r="E5" s="229" t="s">
        <v>729</v>
      </c>
      <c r="F5" s="230">
        <f ca="1">INDIRECT(B47&amp;"!L26")</f>
        <v>0</v>
      </c>
      <c r="H5" s="223"/>
      <c r="I5" s="224"/>
      <c r="L5" s="224"/>
      <c r="M5" s="224"/>
      <c r="O5" s="229" t="s">
        <v>730</v>
      </c>
      <c r="P5" s="230">
        <f ca="1">INDIRECT(B47&amp;"!N27")</f>
        <v>0</v>
      </c>
    </row>
    <row r="6" spans="1:16" s="220" customFormat="1" ht="21.75" customHeight="1" thickBot="1">
      <c r="A6" s="227"/>
      <c r="F6" s="231"/>
      <c r="H6" s="223"/>
      <c r="I6" s="224"/>
      <c r="L6" s="224"/>
      <c r="M6" s="231"/>
    </row>
    <row r="7" spans="1:16" s="220" customFormat="1" ht="21.75" customHeight="1">
      <c r="C7" s="231"/>
      <c r="E7" s="221" t="s">
        <v>731</v>
      </c>
      <c r="F7" s="226"/>
      <c r="H7" s="232" t="s">
        <v>732</v>
      </c>
      <c r="I7" s="226"/>
      <c r="K7" s="233" t="s">
        <v>733</v>
      </c>
      <c r="L7" s="234" t="s">
        <v>734</v>
      </c>
      <c r="M7" s="235">
        <f ca="1">INDIRECT(B47&amp;"!N15")</f>
        <v>0</v>
      </c>
    </row>
    <row r="8" spans="1:16" s="220" customFormat="1" ht="21.75" customHeight="1" thickBot="1">
      <c r="A8" s="231"/>
      <c r="B8" s="236" t="s">
        <v>735</v>
      </c>
      <c r="C8" s="236"/>
      <c r="E8" s="229" t="s">
        <v>736</v>
      </c>
      <c r="F8" s="230">
        <f ca="1">INDIRECT(B47&amp;"!L7")</f>
        <v>0</v>
      </c>
      <c r="H8" s="229" t="s">
        <v>737</v>
      </c>
      <c r="I8" s="230">
        <f ca="1">INDIRECT(B47&amp;"!L15")</f>
        <v>0</v>
      </c>
      <c r="K8" s="237" t="s">
        <v>738</v>
      </c>
      <c r="L8" s="238" t="s">
        <v>739</v>
      </c>
      <c r="M8" s="239">
        <f ca="1">INDIRECT(B47&amp;"!O15")</f>
        <v>0</v>
      </c>
    </row>
    <row r="9" spans="1:16" s="220" customFormat="1" ht="21.75" customHeight="1" thickBot="1">
      <c r="A9" s="231"/>
      <c r="C9" s="231"/>
      <c r="F9" s="231"/>
      <c r="H9" s="223"/>
      <c r="I9" s="231"/>
      <c r="K9" s="240"/>
      <c r="L9" s="241" t="s">
        <v>740</v>
      </c>
      <c r="M9" s="242">
        <f ca="1">INDIRECT(B47&amp;"!P7")</f>
        <v>0</v>
      </c>
    </row>
    <row r="10" spans="1:16" s="220" customFormat="1" ht="21.75" customHeight="1" thickBot="1">
      <c r="A10" s="231"/>
      <c r="B10" s="243" t="s">
        <v>741</v>
      </c>
      <c r="C10" s="244">
        <f ca="1">INDIRECT(B47&amp;"!E12")+INDIRECT(B47&amp;"!F12")</f>
        <v>0</v>
      </c>
      <c r="F10" s="231"/>
      <c r="H10" s="223"/>
      <c r="K10" s="245" t="s">
        <v>742</v>
      </c>
      <c r="L10" s="246" t="s">
        <v>743</v>
      </c>
      <c r="M10" s="244">
        <f ca="1">INDIRECT(B47&amp;"!M23")</f>
        <v>0</v>
      </c>
      <c r="O10" s="225" t="s">
        <v>744</v>
      </c>
      <c r="P10" s="226"/>
    </row>
    <row r="11" spans="1:16" s="220" customFormat="1" ht="21.75" customHeight="1" thickBot="1">
      <c r="A11" s="231"/>
      <c r="C11" s="247"/>
      <c r="F11" s="231"/>
      <c r="H11" s="223"/>
      <c r="I11" s="231"/>
      <c r="L11" s="224"/>
      <c r="M11" s="231"/>
      <c r="O11" s="229"/>
      <c r="P11" s="230">
        <f ca="1">INDIRECT(B47&amp;"!N23")</f>
        <v>0</v>
      </c>
    </row>
    <row r="12" spans="1:16" s="220" customFormat="1" ht="21.75" customHeight="1" thickBot="1">
      <c r="A12" s="231"/>
      <c r="B12" s="243" t="s">
        <v>745</v>
      </c>
      <c r="C12" s="244">
        <f ca="1">INDIRECT(B47&amp;"!E13")+INDIRECT(B47&amp;"!F13")</f>
        <v>0</v>
      </c>
      <c r="F12" s="231"/>
      <c r="H12" s="232" t="s">
        <v>746</v>
      </c>
      <c r="I12" s="226"/>
      <c r="K12" s="233" t="s">
        <v>747</v>
      </c>
      <c r="L12" s="234" t="s">
        <v>748</v>
      </c>
      <c r="M12" s="235">
        <f ca="1">INDIRECT(B47&amp;"!M16")</f>
        <v>0</v>
      </c>
    </row>
    <row r="13" spans="1:16" s="220" customFormat="1" ht="21.75" customHeight="1" thickBot="1">
      <c r="A13" s="231"/>
      <c r="C13" s="247"/>
      <c r="F13" s="231"/>
      <c r="H13" s="229" t="s">
        <v>749</v>
      </c>
      <c r="I13" s="230">
        <f ca="1">INDIRECT(B47&amp;"!L16")</f>
        <v>0</v>
      </c>
      <c r="K13" s="248" t="s">
        <v>750</v>
      </c>
      <c r="L13" s="249" t="s">
        <v>751</v>
      </c>
      <c r="M13" s="250">
        <f ca="1">INDIRECT(B47&amp;"!N16")</f>
        <v>0</v>
      </c>
    </row>
    <row r="14" spans="1:16" s="220" customFormat="1" ht="21.75" customHeight="1" thickBot="1">
      <c r="A14" s="231"/>
      <c r="B14" s="243" t="s">
        <v>752</v>
      </c>
      <c r="C14" s="244">
        <f ca="1">INDIRECT(B47&amp;"!E14")+INDIRECT(B47&amp;"!F14")</f>
        <v>0</v>
      </c>
      <c r="F14" s="231"/>
      <c r="H14" s="223"/>
      <c r="I14" s="231"/>
      <c r="K14" s="251" t="s">
        <v>753</v>
      </c>
      <c r="L14" s="252" t="s">
        <v>754</v>
      </c>
      <c r="M14" s="230">
        <f ca="1">INDIRECT(B47&amp;"!O16")</f>
        <v>0</v>
      </c>
    </row>
    <row r="15" spans="1:16" s="220" customFormat="1" ht="21.75" customHeight="1" thickBot="1">
      <c r="A15" s="231"/>
      <c r="B15" s="253"/>
      <c r="C15" s="254"/>
      <c r="F15" s="231"/>
      <c r="H15" s="223"/>
      <c r="I15" s="231"/>
      <c r="K15" s="255"/>
      <c r="L15" s="241" t="s">
        <v>755</v>
      </c>
      <c r="M15" s="242">
        <f ca="1">INDIRECT(B47&amp;"!P16")</f>
        <v>0</v>
      </c>
    </row>
    <row r="16" spans="1:16" s="220" customFormat="1" ht="21.75" customHeight="1" thickBot="1">
      <c r="A16" s="231"/>
      <c r="B16" s="243" t="s">
        <v>756</v>
      </c>
      <c r="C16" s="244">
        <f ca="1">INDIRECT(B47&amp;"!E15")+INDIRECT(B47&amp;"!F15")</f>
        <v>0</v>
      </c>
      <c r="F16" s="231"/>
      <c r="H16" s="232" t="s">
        <v>757</v>
      </c>
      <c r="I16" s="226"/>
      <c r="K16" s="233" t="s">
        <v>758</v>
      </c>
      <c r="L16" s="234" t="s">
        <v>759</v>
      </c>
      <c r="M16" s="235">
        <f ca="1">INDIRECT(B47&amp;"!M21")</f>
        <v>0</v>
      </c>
    </row>
    <row r="17" spans="1:17" s="220" customFormat="1" ht="21.75" customHeight="1" thickBot="1">
      <c r="A17" s="231"/>
      <c r="C17" s="256"/>
      <c r="H17" s="229" t="s">
        <v>760</v>
      </c>
      <c r="I17" s="230">
        <f ca="1">INDIRECT(B47&amp;"!L21")</f>
        <v>0</v>
      </c>
      <c r="K17" s="248" t="s">
        <v>761</v>
      </c>
      <c r="L17" s="249" t="s">
        <v>762</v>
      </c>
      <c r="M17" s="250">
        <f ca="1">INDIRECT(B47&amp;"!N21")</f>
        <v>0</v>
      </c>
    </row>
    <row r="18" spans="1:17" s="220" customFormat="1" ht="21.75" customHeight="1" thickBot="1">
      <c r="A18" s="231"/>
      <c r="B18" s="257" t="s">
        <v>763</v>
      </c>
      <c r="C18" s="244">
        <f ca="1">INDIRECT(B47&amp;"!E16")+INDIRECT(B47&amp;"!F16")</f>
        <v>0</v>
      </c>
      <c r="H18" s="223"/>
      <c r="I18" s="231"/>
      <c r="K18" s="251" t="s">
        <v>753</v>
      </c>
      <c r="L18" s="252" t="s">
        <v>764</v>
      </c>
      <c r="M18" s="230">
        <f ca="1">INDIRECT(B47&amp;"!O21")</f>
        <v>0</v>
      </c>
    </row>
    <row r="19" spans="1:17" s="220" customFormat="1" ht="21.75" customHeight="1" thickBot="1">
      <c r="A19" s="231"/>
      <c r="C19" s="247"/>
      <c r="H19" s="223"/>
      <c r="I19" s="231"/>
      <c r="K19" s="255"/>
      <c r="L19" s="241" t="s">
        <v>765</v>
      </c>
      <c r="M19" s="242">
        <f ca="1">INDIRECT(B47&amp;"!P21")</f>
        <v>0</v>
      </c>
    </row>
    <row r="20" spans="1:17" s="220" customFormat="1" ht="21.75" customHeight="1" thickBot="1">
      <c r="A20" s="231"/>
      <c r="B20" s="257" t="s">
        <v>766</v>
      </c>
      <c r="C20" s="244">
        <f ca="1">INDIRECT(B47&amp;"!E17")+INDIRECT(B47&amp;"!F17")</f>
        <v>0</v>
      </c>
      <c r="E20" s="232" t="s">
        <v>767</v>
      </c>
      <c r="F20" s="222"/>
      <c r="H20" s="232" t="s">
        <v>768</v>
      </c>
      <c r="I20" s="226"/>
      <c r="K20" s="233" t="s">
        <v>758</v>
      </c>
      <c r="L20" s="234" t="s">
        <v>769</v>
      </c>
      <c r="M20" s="258">
        <f ca="1">INDIRECT(B47&amp;"!M17")</f>
        <v>0</v>
      </c>
      <c r="Q20" s="259"/>
    </row>
    <row r="21" spans="1:17" s="220" customFormat="1" ht="21.75" customHeight="1" thickBot="1">
      <c r="A21" s="231"/>
      <c r="B21" s="260"/>
      <c r="C21" s="247"/>
      <c r="E21" s="229"/>
      <c r="F21" s="230">
        <f ca="1">INDIRECT(B47&amp;"!L23")</f>
        <v>0</v>
      </c>
      <c r="H21" s="229" t="s">
        <v>770</v>
      </c>
      <c r="I21" s="230">
        <f ca="1">INDIRECT(B47&amp;"!L17")</f>
        <v>0</v>
      </c>
      <c r="K21" s="248" t="s">
        <v>771</v>
      </c>
      <c r="L21" s="249" t="s">
        <v>772</v>
      </c>
      <c r="M21" s="261">
        <f ca="1">INDIRECT(B47&amp;"!N17")</f>
        <v>0</v>
      </c>
    </row>
    <row r="22" spans="1:17" s="220" customFormat="1" ht="21.75" customHeight="1" thickBot="1">
      <c r="A22" s="231"/>
      <c r="B22" s="257" t="s">
        <v>773</v>
      </c>
      <c r="C22" s="244">
        <f ca="1">INDIRECT(B47&amp;"!E25")+INDIRECT(B47&amp;"!F25")</f>
        <v>0</v>
      </c>
      <c r="F22" s="231"/>
      <c r="K22" s="251" t="s">
        <v>753</v>
      </c>
      <c r="L22" s="252" t="s">
        <v>774</v>
      </c>
      <c r="M22" s="239">
        <f ca="1">INDIRECT(B47&amp;"!O17")</f>
        <v>0</v>
      </c>
    </row>
    <row r="23" spans="1:17" s="220" customFormat="1" ht="21.75" customHeight="1" thickBot="1">
      <c r="A23" s="231"/>
      <c r="B23" s="253"/>
      <c r="C23" s="262"/>
      <c r="F23" s="231"/>
      <c r="H23" s="223"/>
      <c r="I23" s="231"/>
      <c r="K23" s="255"/>
      <c r="L23" s="241" t="s">
        <v>740</v>
      </c>
      <c r="M23" s="242">
        <f ca="1">INDIRECT(B47&amp;"!P17")</f>
        <v>0</v>
      </c>
    </row>
    <row r="24" spans="1:17" s="220" customFormat="1" ht="21.75" customHeight="1" thickBot="1">
      <c r="A24" s="231"/>
      <c r="B24" s="257" t="s">
        <v>775</v>
      </c>
      <c r="C24" s="244">
        <f ca="1">INDIRECT(B47&amp;"!Y133")</f>
        <v>0</v>
      </c>
      <c r="F24" s="231"/>
      <c r="H24" s="225" t="s">
        <v>776</v>
      </c>
      <c r="I24" s="226"/>
      <c r="K24" s="233" t="s">
        <v>747</v>
      </c>
      <c r="L24" s="263" t="s">
        <v>777</v>
      </c>
      <c r="M24" s="258">
        <f ca="1">INDIRECT(B47&amp;"!M18")</f>
        <v>0</v>
      </c>
    </row>
    <row r="25" spans="1:17" s="220" customFormat="1" ht="21.75" customHeight="1" thickBot="1">
      <c r="A25" s="231"/>
      <c r="B25" s="264"/>
      <c r="C25" s="265"/>
      <c r="F25" s="231"/>
      <c r="H25" s="229" t="s">
        <v>778</v>
      </c>
      <c r="I25" s="230">
        <f ca="1">INDIRECT(B47&amp;"!L18")</f>
        <v>0</v>
      </c>
      <c r="K25" s="248" t="s">
        <v>771</v>
      </c>
      <c r="L25" s="266" t="s">
        <v>779</v>
      </c>
      <c r="M25" s="261">
        <f ca="1">INDIRECT(B47&amp;"!N18")</f>
        <v>0</v>
      </c>
    </row>
    <row r="26" spans="1:17" s="220" customFormat="1" ht="21.75" customHeight="1" thickBot="1">
      <c r="A26" s="231"/>
      <c r="B26" s="267" t="s">
        <v>780</v>
      </c>
      <c r="C26" s="244">
        <f ca="1">INDIRECT(B47&amp;"!E31")</f>
        <v>0</v>
      </c>
      <c r="F26" s="231"/>
      <c r="K26" s="251" t="s">
        <v>753</v>
      </c>
      <c r="L26" s="268" t="s">
        <v>781</v>
      </c>
      <c r="M26" s="239">
        <f ca="1">INDIRECT(B47&amp;"!O18")</f>
        <v>0</v>
      </c>
    </row>
    <row r="27" spans="1:17" s="220" customFormat="1" ht="21.75" customHeight="1" thickBot="1">
      <c r="A27" s="231"/>
      <c r="F27" s="231"/>
      <c r="L27" s="241" t="s">
        <v>782</v>
      </c>
      <c r="M27" s="242">
        <f ca="1">INDIRECT(B47&amp;"!P18")</f>
        <v>0</v>
      </c>
      <c r="N27" s="269"/>
    </row>
    <row r="28" spans="1:17" s="220" customFormat="1" ht="21.75" customHeight="1">
      <c r="A28" s="231"/>
      <c r="B28" s="270"/>
      <c r="C28" s="265"/>
      <c r="F28" s="231"/>
      <c r="H28" s="225" t="s">
        <v>783</v>
      </c>
      <c r="I28" s="226"/>
      <c r="K28" s="233" t="s">
        <v>747</v>
      </c>
      <c r="L28" s="263" t="s">
        <v>784</v>
      </c>
      <c r="M28" s="235">
        <f ca="1">INDIRECT(B47&amp;"!M19")</f>
        <v>0</v>
      </c>
      <c r="N28" s="269"/>
    </row>
    <row r="29" spans="1:17" s="220" customFormat="1" ht="21.75" customHeight="1" thickBot="1">
      <c r="A29" s="231"/>
      <c r="B29" s="270"/>
      <c r="C29" s="265"/>
      <c r="F29" s="231"/>
      <c r="H29" s="229" t="s">
        <v>785</v>
      </c>
      <c r="I29" s="230">
        <f ca="1">INDIRECT(B47&amp;"!L19")</f>
        <v>0</v>
      </c>
      <c r="K29" s="248" t="s">
        <v>786</v>
      </c>
      <c r="L29" s="266" t="s">
        <v>787</v>
      </c>
      <c r="M29" s="250">
        <f ca="1">INDIRECT(B47&amp;"!N19")</f>
        <v>0</v>
      </c>
      <c r="N29" s="269"/>
    </row>
    <row r="30" spans="1:17" s="220" customFormat="1" ht="21.75" customHeight="1" thickBot="1">
      <c r="A30" s="231"/>
      <c r="B30" s="270"/>
      <c r="C30" s="265"/>
      <c r="F30" s="231"/>
      <c r="H30" s="223"/>
      <c r="I30" s="224"/>
      <c r="K30" s="251" t="s">
        <v>633</v>
      </c>
      <c r="L30" s="268" t="s">
        <v>788</v>
      </c>
      <c r="M30" s="230">
        <f ca="1">INDIRECT(B47&amp;"!O19")</f>
        <v>0</v>
      </c>
      <c r="N30" s="269"/>
    </row>
    <row r="31" spans="1:17" s="220" customFormat="1" ht="21.75" customHeight="1" thickBot="1">
      <c r="A31" s="231"/>
      <c r="B31" s="270"/>
      <c r="C31" s="265"/>
      <c r="F31" s="231"/>
      <c r="L31" s="241" t="s">
        <v>755</v>
      </c>
      <c r="M31" s="242">
        <f ca="1">INDIRECT(B47&amp;"!P19")</f>
        <v>0</v>
      </c>
      <c r="N31" s="269"/>
    </row>
    <row r="32" spans="1:17" s="220" customFormat="1" ht="21.75" customHeight="1">
      <c r="A32" s="231"/>
      <c r="B32" s="270"/>
      <c r="C32" s="265"/>
      <c r="F32" s="231"/>
      <c r="H32" s="232" t="s">
        <v>789</v>
      </c>
      <c r="I32" s="226"/>
      <c r="K32" s="233" t="s">
        <v>790</v>
      </c>
      <c r="L32" s="234" t="s">
        <v>791</v>
      </c>
      <c r="M32" s="235">
        <f ca="1">INDIRECT(B47&amp;"!M20")</f>
        <v>0</v>
      </c>
      <c r="N32" s="269"/>
    </row>
    <row r="33" spans="1:16" s="220" customFormat="1" ht="21.75" customHeight="1" thickBot="1">
      <c r="A33" s="231"/>
      <c r="B33" s="270"/>
      <c r="C33" s="265"/>
      <c r="F33" s="231"/>
      <c r="H33" s="229" t="s">
        <v>792</v>
      </c>
      <c r="I33" s="230">
        <f ca="1">INDIRECT(B47&amp;"!L20")</f>
        <v>0</v>
      </c>
      <c r="K33" s="248" t="s">
        <v>786</v>
      </c>
      <c r="L33" s="249" t="s">
        <v>793</v>
      </c>
      <c r="M33" s="250">
        <f ca="1">INDIRECT(B47&amp;"!N20")</f>
        <v>0</v>
      </c>
      <c r="N33" s="269"/>
    </row>
    <row r="34" spans="1:16" s="220" customFormat="1" ht="21.75" customHeight="1" thickBot="1">
      <c r="A34" s="231"/>
      <c r="B34" s="270"/>
      <c r="C34" s="265"/>
      <c r="F34" s="231"/>
      <c r="H34" s="223"/>
      <c r="I34" s="231"/>
      <c r="K34" s="251" t="s">
        <v>753</v>
      </c>
      <c r="L34" s="252" t="s">
        <v>794</v>
      </c>
      <c r="M34" s="230">
        <f ca="1">INDIRECT(B47&amp;"!O20")</f>
        <v>0</v>
      </c>
      <c r="N34" s="269"/>
    </row>
    <row r="35" spans="1:16" s="220" customFormat="1" ht="21.75" customHeight="1" thickBot="1">
      <c r="A35" s="231"/>
      <c r="C35" s="231"/>
      <c r="F35" s="231"/>
      <c r="H35" s="223"/>
      <c r="I35" s="224"/>
      <c r="K35" s="271"/>
      <c r="L35" s="241" t="s">
        <v>740</v>
      </c>
      <c r="M35" s="242">
        <f ca="1">INDIRECT(B47&amp;"!P20")</f>
        <v>0</v>
      </c>
      <c r="N35" s="269"/>
    </row>
    <row r="36" spans="1:16" s="220" customFormat="1" ht="21.75" customHeight="1">
      <c r="A36" s="231"/>
      <c r="F36" s="231"/>
      <c r="H36" s="221" t="s">
        <v>795</v>
      </c>
      <c r="I36" s="226"/>
      <c r="K36" s="272" t="s">
        <v>758</v>
      </c>
      <c r="L36" s="273" t="s">
        <v>796</v>
      </c>
      <c r="M36" s="235">
        <f ca="1">INDIRECT(B47&amp;"!M22")</f>
        <v>0</v>
      </c>
      <c r="N36" s="269"/>
      <c r="O36" s="220" t="s">
        <v>797</v>
      </c>
    </row>
    <row r="37" spans="1:16" s="220" customFormat="1" ht="34.5" customHeight="1" thickBot="1">
      <c r="F37" s="231"/>
      <c r="H37" s="229" t="s">
        <v>798</v>
      </c>
      <c r="I37" s="230">
        <f ca="1">INDIRECT(B47&amp;"!L22")</f>
        <v>0</v>
      </c>
      <c r="K37" s="251" t="s">
        <v>786</v>
      </c>
      <c r="L37" s="252" t="s">
        <v>799</v>
      </c>
      <c r="M37" s="239">
        <f ca="1">INDIRECT(B47&amp;"!N22")</f>
        <v>0</v>
      </c>
      <c r="O37" s="274">
        <f ca="1">INDIRECT(B47&amp;"!O24")</f>
        <v>0</v>
      </c>
      <c r="P37" s="274"/>
    </row>
    <row r="38" spans="1:16" s="220" customFormat="1" ht="21.75" customHeight="1" thickBot="1">
      <c r="B38" s="275" t="s">
        <v>800</v>
      </c>
      <c r="C38" s="276">
        <f ca="1">INDIRECT(B47&amp;"!E6")</f>
        <v>0</v>
      </c>
      <c r="F38" s="231"/>
      <c r="H38" s="223"/>
      <c r="I38" s="224"/>
      <c r="L38" s="241" t="s">
        <v>740</v>
      </c>
      <c r="M38" s="242">
        <f ca="1">INDIRECT(B47&amp;"!P22")</f>
        <v>0</v>
      </c>
      <c r="O38" s="277"/>
      <c r="P38" s="277"/>
    </row>
    <row r="39" spans="1:16" s="220" customFormat="1" ht="21.75" customHeight="1">
      <c r="B39" s="278" t="s">
        <v>801</v>
      </c>
      <c r="C39" s="279">
        <f ca="1">INDIRECT(B47&amp;"!E7")</f>
        <v>0</v>
      </c>
      <c r="E39" s="232" t="s">
        <v>802</v>
      </c>
      <c r="F39" s="226"/>
      <c r="H39" s="223"/>
      <c r="I39" s="224"/>
      <c r="L39" s="224"/>
      <c r="M39" s="224"/>
      <c r="O39" s="232" t="s">
        <v>803</v>
      </c>
      <c r="P39" s="226"/>
    </row>
    <row r="40" spans="1:16" s="220" customFormat="1" ht="21.75" customHeight="1" thickBot="1">
      <c r="B40" s="280" t="s">
        <v>804</v>
      </c>
      <c r="C40" s="281">
        <f ca="1">INDIRECT(B47&amp;"!E8")</f>
        <v>0</v>
      </c>
      <c r="E40" s="229" t="s">
        <v>805</v>
      </c>
      <c r="F40" s="230">
        <f ca="1">INDIRECT(B47&amp;"!L25")</f>
        <v>0</v>
      </c>
      <c r="H40" s="223"/>
      <c r="I40" s="224"/>
      <c r="L40" s="224"/>
      <c r="M40" s="224"/>
      <c r="O40" s="229"/>
      <c r="P40" s="230">
        <f ca="1">INDIRECT(B47&amp;"!O27")</f>
        <v>0</v>
      </c>
    </row>
    <row r="41" spans="1:16" ht="21.75" customHeight="1"/>
    <row r="42" spans="1:16" ht="20.100000000000001" hidden="1" customHeight="1"/>
    <row r="43" spans="1:16" ht="20.100000000000001" hidden="1" customHeight="1"/>
    <row r="44" spans="1:16" ht="20.100000000000001" hidden="1" customHeight="1"/>
    <row r="45" spans="1:16" ht="20.100000000000001" hidden="1" customHeight="1"/>
    <row r="47" spans="1:16" hidden="1">
      <c r="B47" s="205" t="s">
        <v>806</v>
      </c>
    </row>
  </sheetData>
  <mergeCells count="4">
    <mergeCell ref="A1:P2"/>
    <mergeCell ref="A4:C4"/>
    <mergeCell ref="B8:C8"/>
    <mergeCell ref="O37:P38"/>
  </mergeCells>
  <phoneticPr fontId="3"/>
  <printOptions horizontalCentered="1"/>
  <pageMargins left="0.39370078740157483" right="0.39370078740157483" top="0.59055118110236227" bottom="0.39370078740157483" header="0.31496062992125984" footer="0.31496062992125984"/>
  <pageSetup paperSize="9" scale="67" orientation="landscape" horizontalDpi="400" verticalDpi="400" r:id="rId1"/>
  <headerFooter alignWithMargins="0">
    <oddHeader>&amp;R&amp;F   &amp;D   &amp;T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16</vt:i4>
      </vt:variant>
    </vt:vector>
  </HeadingPairs>
  <TitlesOfParts>
    <vt:vector size="25" baseType="lpstr">
      <vt:lpstr>ごみ処理概要</vt:lpstr>
      <vt:lpstr>ごみ搬入量内訳</vt:lpstr>
      <vt:lpstr>施設区分別搬入量内訳</vt:lpstr>
      <vt:lpstr>ごみ処理量内訳</vt:lpstr>
      <vt:lpstr>資源化量内訳</vt:lpstr>
      <vt:lpstr>施設資源化量内訳</vt:lpstr>
      <vt:lpstr>災害廃棄物搬入量</vt:lpstr>
      <vt:lpstr>ごみ集計結果</vt:lpstr>
      <vt:lpstr>ごみフローシート</vt:lpstr>
      <vt:lpstr>ごみフローシート!Print_Area</vt:lpstr>
      <vt:lpstr>ごみ集計結果!Print_Area</vt:lpstr>
      <vt:lpstr>ごみ処理概要!Print_Area</vt:lpstr>
      <vt:lpstr>ごみ処理量内訳!Print_Area</vt:lpstr>
      <vt:lpstr>ごみ搬入量内訳!Print_Area</vt:lpstr>
      <vt:lpstr>災害廃棄物搬入量!Print_Area</vt:lpstr>
      <vt:lpstr>施設区分別搬入量内訳!Print_Area</vt:lpstr>
      <vt:lpstr>施設資源化量内訳!Print_Area</vt:lpstr>
      <vt:lpstr>資源化量内訳!Print_Area</vt:lpstr>
      <vt:lpstr>ごみ処理概要!Print_Titles</vt:lpstr>
      <vt:lpstr>ごみ処理量内訳!Print_Titles</vt:lpstr>
      <vt:lpstr>ごみ搬入量内訳!Print_Titles</vt:lpstr>
      <vt:lpstr>災害廃棄物搬入量!Print_Titles</vt:lpstr>
      <vt:lpstr>施設区分別搬入量内訳!Print_Titles</vt:lpstr>
      <vt:lpstr>施設資源化量内訳!Print_Titles</vt:lpstr>
      <vt:lpstr>資源化量内訳!Print_Titles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2023-03-17T02:09:40Z</dcterms:created>
  <dcterms:modified xsi:type="dcterms:W3CDTF">2023-03-17T02:09:47Z</dcterms:modified>
</cp:coreProperties>
</file>